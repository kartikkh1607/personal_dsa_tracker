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Master" sheetId="3" state="visible" r:id="rId5"/>
  </sheets>
  <definedNames>
    <definedName function="false" hidden="true" localSheetId="2" name="_xlnm._FilterDatabase" vbProcedure="false">Master!$A$1:$L$571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<sst xmlns="http://schemas.openxmlformats.org/spreadsheetml/2006/main" count="4073" uniqueCount="801">
  <si>
    <t xml:space="preserve">DSA Master Revision Sheet</t>
  </si>
  <si>
    <t xml:space="preserve">Built for Kartik  |  C++ / STL  |  placement + internship prep</t>
  </si>
  <si>
    <t xml:space="preserve">How this sheet works</t>
  </si>
  <si>
    <t xml:space="preserve">Master tab = every question. Dashboard tab = auto-updating progress per topic. You only ever edit the Master tab.</t>
  </si>
  <si>
    <t xml:space="preserve">Columns you fill in: Status, Confidence, Attempts, Last Revised, Notes. Everything else is reference and should stay untouched.</t>
  </si>
  <si>
    <t xml:space="preserve">The Dashboard recalculates itself from the Status column. Do not type numbers into the Dashboard.</t>
  </si>
  <si>
    <t xml:space="preserve">Status values (dropdown)</t>
  </si>
  <si>
    <t xml:space="preserve">Not Started  -  haven't opened it yet.</t>
  </si>
  <si>
    <t xml:space="preserve">Attempted  -  tried, could not finish. This is the queue you come back to.</t>
  </si>
  <si>
    <t xml:space="preserve">Solved  -  solved it, but needed a hint or the editorial.</t>
  </si>
  <si>
    <t xml:space="preserve">Mastered  -  solved clean, from scratch, and can re-derive the approach out loud.</t>
  </si>
  <si>
    <t xml:space="preserve">Revisit  -  solved once, but it faded. Schedule it again.</t>
  </si>
  <si>
    <t xml:space="preserve">Dashboard counts Solved + Mastered as done.</t>
  </si>
  <si>
    <t xml:space="preserve">Confidence (1-5 dropdown)</t>
  </si>
  <si>
    <t xml:space="preserve">1 = no idea why it works.  3 = can code it with effort.  5 = can explain the invariant and the complexity without thinking.</t>
  </si>
  <si>
    <t xml:space="preserve">Anything at 3 or below is a revision candidate regardless of Status.</t>
  </si>
  <si>
    <t xml:space="preserve">Recommended order</t>
  </si>
  <si>
    <t xml:space="preserve">1) Basics &amp; Recursion  -&gt;  2) Arrays &amp; Two Pointers  -&gt;  3) Sliding Window  -&gt;  4) Prefix Sum &amp; Kadane  -&gt;  5) Sorting &amp; Cyclic Sort</t>
  </si>
  <si>
    <t xml:space="preserve">6) Binary Search  -&gt;  7) Strings  -&gt;  8) Hashing  -&gt;  9) Matrix  -&gt;  10) Linked List  -&gt;  11) Stack &amp; Queue</t>
  </si>
  <si>
    <t xml:space="preserve">12) Heap  -&gt;  13) Greedy  -&gt;  14) Backtracking  -&gt;  15) Trees &amp; BST  -&gt;  16) Tries</t>
  </si>
  <si>
    <t xml:space="preserve">17) Graphs  -&gt;  18) Dynamic Programming  -&gt;  19) Bit Manipulation  -&gt;  20) Math  -&gt;  21) Intervals  -&gt;  22) Design  -&gt;  23) Advanced DS</t>
  </si>
  <si>
    <t xml:space="preserve">Do not jump to DP before Recursion + Backtracking are solid. DP is memoised recursion; skipping that step is why DP feels impossible.</t>
  </si>
  <si>
    <t xml:space="preserve">Revision protocol (spaced repetition)</t>
  </si>
  <si>
    <t xml:space="preserve">After solving a problem, revisit it on day 3, then day 10, then day 30. Set Last Revised each time so you can sort by it.</t>
  </si>
  <si>
    <t xml:space="preserve">Sort the Master tab by Last Revised (oldest first) and filter Confidence &lt;= 3. That is your revision list for the day. No guessing what to revise.</t>
  </si>
  <si>
    <t xml:space="preserve">Weekly: pick 4 random Mastered problems and re-solve them timed. If any breaks, drop it back to Revisit.</t>
  </si>
  <si>
    <t xml:space="preserve">A note on the links</t>
  </si>
  <si>
    <t xml:space="preserve">LeetCode entries link straight to the problem. Non-LeetCode entries (GeeksforGeeks etc.) use a search link, because GFG problem IDs change over time and a hardcoded ID goes dead.</t>
  </si>
  <si>
    <t xml:space="preserve">When you open a search link and land on the right problem, paste the real URL over it. The sheet gets more accurate as you use it.</t>
  </si>
  <si>
    <t xml:space="preserve">Example row (delete once you start)</t>
  </si>
  <si>
    <t xml:space="preserve">Two Sum  |  Status: Mastered  |  Confidence: 5  |  Attempts: 2  |  Last Revised: 2026-09-13  |  Notes: hashmap of complement, one pass, O(n)</t>
  </si>
  <si>
    <t xml:space="preserve">Progress Dashboard</t>
  </si>
  <si>
    <t xml:space="preserve">Auto-calculated from the Status column on the Master tab. Nothing here should be typed by hand.</t>
  </si>
  <si>
    <t xml:space="preserve">Overall</t>
  </si>
  <si>
    <t xml:space="preserve">questions</t>
  </si>
  <si>
    <t xml:space="preserve">done</t>
  </si>
  <si>
    <t xml:space="preserve">complete</t>
  </si>
  <si>
    <t xml:space="preserve">Topic</t>
  </si>
  <si>
    <t xml:space="preserve">Total</t>
  </si>
  <si>
    <t xml:space="preserve">Easy</t>
  </si>
  <si>
    <t xml:space="preserve">Medium</t>
  </si>
  <si>
    <t xml:space="preserve">Hard</t>
  </si>
  <si>
    <t xml:space="preserve">Done</t>
  </si>
  <si>
    <t xml:space="preserve">Attempted</t>
  </si>
  <si>
    <t xml:space="preserve">Remaining</t>
  </si>
  <si>
    <t xml:space="preserve">% Done</t>
  </si>
  <si>
    <t xml:space="preserve">01. Basics &amp; Recursion</t>
  </si>
  <si>
    <t xml:space="preserve">02. Arrays &amp; Two Pointers</t>
  </si>
  <si>
    <t xml:space="preserve">03. Sliding Window</t>
  </si>
  <si>
    <t xml:space="preserve">04. Prefix Sum &amp; Kadane</t>
  </si>
  <si>
    <t xml:space="preserve">05. Sorting &amp; Cyclic Sort</t>
  </si>
  <si>
    <t xml:space="preserve">06. Binary Search</t>
  </si>
  <si>
    <t xml:space="preserve">07. Strings</t>
  </si>
  <si>
    <t xml:space="preserve">08. Hashing</t>
  </si>
  <si>
    <t xml:space="preserve">09. Matrix / 2D</t>
  </si>
  <si>
    <t xml:space="preserve">10. Linked List</t>
  </si>
  <si>
    <t xml:space="preserve">11. Stack &amp; Queue</t>
  </si>
  <si>
    <t xml:space="preserve">12. Heap &amp; Priority Queue</t>
  </si>
  <si>
    <t xml:space="preserve">13. Greedy</t>
  </si>
  <si>
    <t xml:space="preserve">14. Backtracking</t>
  </si>
  <si>
    <t xml:space="preserve">15. Trees &amp; BST</t>
  </si>
  <si>
    <t xml:space="preserve">16. Tries</t>
  </si>
  <si>
    <t xml:space="preserve">17. Graphs</t>
  </si>
  <si>
    <t xml:space="preserve">18. Dynamic Programming</t>
  </si>
  <si>
    <t xml:space="preserve">19. Bit Manipulation</t>
  </si>
  <si>
    <t xml:space="preserve">20. Math &amp; Number Theory</t>
  </si>
  <si>
    <t xml:space="preserve">21. Intervals</t>
  </si>
  <si>
    <t xml:space="preserve">22. Design</t>
  </si>
  <si>
    <t xml:space="preserve">23. Advanced DS</t>
  </si>
  <si>
    <t xml:space="preserve">TOTAL</t>
  </si>
  <si>
    <t xml:space="preserve">Done = Solved + Mastered.  Attempted = Attempted + Revisit (this is your comeback queue).</t>
  </si>
  <si>
    <t xml:space="preserve">#</t>
  </si>
  <si>
    <t xml:space="preserve">Pattern</t>
  </si>
  <si>
    <t xml:space="preserve">Problem</t>
  </si>
  <si>
    <t xml:space="preserve">Difficulty</t>
  </si>
  <si>
    <t xml:space="preserve">Platform</t>
  </si>
  <si>
    <t xml:space="preserve">Link</t>
  </si>
  <si>
    <t xml:space="preserve">Status</t>
  </si>
  <si>
    <t xml:space="preserve">Confidence</t>
  </si>
  <si>
    <t xml:space="preserve">Attempts</t>
  </si>
  <si>
    <t xml:space="preserve">Last Revised</t>
  </si>
  <si>
    <t xml:space="preserve">Notes</t>
  </si>
  <si>
    <t xml:space="preserve">Recursion warm-up</t>
  </si>
  <si>
    <t xml:space="preserve">Print 1 to N using Recursion</t>
  </si>
  <si>
    <t xml:space="preserve">GeeksforGeeks</t>
  </si>
  <si>
    <t xml:space="preserve">Open</t>
  </si>
  <si>
    <t xml:space="preserve">Not Started</t>
  </si>
  <si>
    <t xml:space="preserve">Sum of First N Natural Numbers</t>
  </si>
  <si>
    <t xml:space="preserve">Factorial of a Number</t>
  </si>
  <si>
    <t xml:space="preserve">Sum of Digits</t>
  </si>
  <si>
    <t xml:space="preserve">Reverse an Array using Recursion</t>
  </si>
  <si>
    <t xml:space="preserve">Palindrome String (recursive)</t>
  </si>
  <si>
    <t xml:space="preserve">Check if an Array is Sorted</t>
  </si>
  <si>
    <t xml:space="preserve">Remove All Occurrences of a Character</t>
  </si>
  <si>
    <t xml:space="preserve">Fibonacci Number</t>
  </si>
  <si>
    <t xml:space="preserve">LeetCode</t>
  </si>
  <si>
    <t xml:space="preserve">Pow(x, n)</t>
  </si>
  <si>
    <t xml:space="preserve">Divide &amp; Conquer</t>
  </si>
  <si>
    <t xml:space="preserve">Merge Sort</t>
  </si>
  <si>
    <t xml:space="preserve">Quick Sort</t>
  </si>
  <si>
    <t xml:space="preserve">Count Inversions</t>
  </si>
  <si>
    <t xml:space="preserve">Sort an Array</t>
  </si>
  <si>
    <t xml:space="preserve">Majority Element</t>
  </si>
  <si>
    <t xml:space="preserve">Basics</t>
  </si>
  <si>
    <t xml:space="preserve">Two Sum</t>
  </si>
  <si>
    <t xml:space="preserve">Two pointers</t>
  </si>
  <si>
    <t xml:space="preserve">Two Sum II - Input Array Is Sorted</t>
  </si>
  <si>
    <t xml:space="preserve">Remove Duplicates from Sorted Array</t>
  </si>
  <si>
    <t xml:space="preserve">Remove Duplicates from Sorted Array II</t>
  </si>
  <si>
    <t xml:space="preserve">Move Zeroes</t>
  </si>
  <si>
    <t xml:space="preserve">Squares of a Sorted Array</t>
  </si>
  <si>
    <t xml:space="preserve">Merge Sorted Array</t>
  </si>
  <si>
    <t xml:space="preserve">Valid Palindrome</t>
  </si>
  <si>
    <t xml:space="preserve">Valid Palindrome II</t>
  </si>
  <si>
    <t xml:space="preserve">Backspace String Compare</t>
  </si>
  <si>
    <t xml:space="preserve">Dutch National Flag</t>
  </si>
  <si>
    <t xml:space="preserve">Sort Colors</t>
  </si>
  <si>
    <t xml:space="preserve">Segregate 0s and 1s</t>
  </si>
  <si>
    <t xml:space="preserve">Container With Most Water</t>
  </si>
  <si>
    <t xml:space="preserve">Trapping Rain Water</t>
  </si>
  <si>
    <t xml:space="preserve">K-Sum</t>
  </si>
  <si>
    <t xml:space="preserve">3Sum</t>
  </si>
  <si>
    <t xml:space="preserve">3Sum Closest</t>
  </si>
  <si>
    <t xml:space="preserve">4Sum</t>
  </si>
  <si>
    <t xml:space="preserve">Count Triplets with Sum Smaller than X</t>
  </si>
  <si>
    <t xml:space="preserve">Subarray Product Less Than K</t>
  </si>
  <si>
    <t xml:space="preserve">Boats to Save People</t>
  </si>
  <si>
    <t xml:space="preserve">Rearrangement</t>
  </si>
  <si>
    <t xml:space="preserve">Rotate Array</t>
  </si>
  <si>
    <t xml:space="preserve">Next Permutation</t>
  </si>
  <si>
    <t xml:space="preserve">Rearrange Array Elements by Sign</t>
  </si>
  <si>
    <t xml:space="preserve">Shortest Unsorted Continuous Subarray</t>
  </si>
  <si>
    <t xml:space="preserve">Voting / counting</t>
  </si>
  <si>
    <t xml:space="preserve">Majority Element II</t>
  </si>
  <si>
    <t xml:space="preserve">Longest Mountain in Array</t>
  </si>
  <si>
    <t xml:space="preserve">Sort Array By Parity</t>
  </si>
  <si>
    <t xml:space="preserve">Best Time to Buy and Sell Stock</t>
  </si>
  <si>
    <t xml:space="preserve">Fixed window</t>
  </si>
  <si>
    <t xml:space="preserve">Maximum Average Subarray I</t>
  </si>
  <si>
    <t xml:space="preserve">Max Sum Subarray of Size K</t>
  </si>
  <si>
    <t xml:space="preserve">Maximum Points You Can Obtain from Cards</t>
  </si>
  <si>
    <t xml:space="preserve">Variable window</t>
  </si>
  <si>
    <t xml:space="preserve">Minimum Size Subarray Sum</t>
  </si>
  <si>
    <t xml:space="preserve">Longest Substring Without Repeating Characters</t>
  </si>
  <si>
    <t xml:space="preserve">Longest Repeating Character Replacement</t>
  </si>
  <si>
    <t xml:space="preserve">Max Consecutive Ones III</t>
  </si>
  <si>
    <t xml:space="preserve">Fruit Into Baskets</t>
  </si>
  <si>
    <t xml:space="preserve">Longest K Unique Characters Substring</t>
  </si>
  <si>
    <t xml:space="preserve">Maximum Erasure Value</t>
  </si>
  <si>
    <t xml:space="preserve">Frequency of the Most Frequent Element</t>
  </si>
  <si>
    <t xml:space="preserve">Anagram window</t>
  </si>
  <si>
    <t xml:space="preserve">Permutation in String</t>
  </si>
  <si>
    <t xml:space="preserve">Find All Anagrams in a String</t>
  </si>
  <si>
    <t xml:space="preserve">Count exactly-K trick</t>
  </si>
  <si>
    <t xml:space="preserve">Binary Subarrays With Sum</t>
  </si>
  <si>
    <t xml:space="preserve">Count Number of Nice Subarrays</t>
  </si>
  <si>
    <t xml:space="preserve">Subarrays with K Different Integers</t>
  </si>
  <si>
    <t xml:space="preserve">Number of Substrings Containing All Three Characters</t>
  </si>
  <si>
    <t xml:space="preserve">Hard window</t>
  </si>
  <si>
    <t xml:space="preserve">Minimum Window Substring</t>
  </si>
  <si>
    <t xml:space="preserve">Substring with Concatenation of All Words</t>
  </si>
  <si>
    <t xml:space="preserve">Deque window</t>
  </si>
  <si>
    <t xml:space="preserve">Sliding Window Maximum</t>
  </si>
  <si>
    <t xml:space="preserve">Prefix basics</t>
  </si>
  <si>
    <t xml:space="preserve">Running Sum of 1d Array</t>
  </si>
  <si>
    <t xml:space="preserve">Find Pivot Index</t>
  </si>
  <si>
    <t xml:space="preserve">Product of Array Except Self</t>
  </si>
  <si>
    <t xml:space="preserve">Range Sum Query - Immutable</t>
  </si>
  <si>
    <t xml:space="preserve">Range Sum Query 2D - Immutable</t>
  </si>
  <si>
    <t xml:space="preserve">Prefix + HashMap</t>
  </si>
  <si>
    <t xml:space="preserve">Subarray Sum Equals K</t>
  </si>
  <si>
    <t xml:space="preserve">Subarray Sums Divisible by K</t>
  </si>
  <si>
    <t xml:space="preserve">Contiguous Array</t>
  </si>
  <si>
    <t xml:space="preserve">Continuous Subarray Sum</t>
  </si>
  <si>
    <t xml:space="preserve">Longest Sub-Array with Sum K</t>
  </si>
  <si>
    <t xml:space="preserve">Difference array</t>
  </si>
  <si>
    <t xml:space="preserve">Corporate Flight Bookings</t>
  </si>
  <si>
    <t xml:space="preserve">Car Pooling</t>
  </si>
  <si>
    <t xml:space="preserve">Kadane</t>
  </si>
  <si>
    <t xml:space="preserve">Maximum Subarray</t>
  </si>
  <si>
    <t xml:space="preserve">Smallest Sum Contiguous Subarray</t>
  </si>
  <si>
    <t xml:space="preserve">Maximum Product Subarray</t>
  </si>
  <si>
    <t xml:space="preserve">Maximum Sum Circular Subarray</t>
  </si>
  <si>
    <t xml:space="preserve">Maximum Absolute Sum of Any Subarray</t>
  </si>
  <si>
    <t xml:space="preserve">Maximum Subarray Sum with One Deletion</t>
  </si>
  <si>
    <t xml:space="preserve">Prefix + Heap/Deque</t>
  </si>
  <si>
    <t xml:space="preserve">Shortest Subarray with Sum at Least K</t>
  </si>
  <si>
    <t xml:space="preserve">Prefix + BIT</t>
  </si>
  <si>
    <t xml:space="preserve">Count of Range Sum</t>
  </si>
  <si>
    <t xml:space="preserve">Cyclic sort</t>
  </si>
  <si>
    <t xml:space="preserve">Missing Number</t>
  </si>
  <si>
    <t xml:space="preserve">Find All Numbers Disappeared in an Array</t>
  </si>
  <si>
    <t xml:space="preserve">Find All Duplicates in an Array</t>
  </si>
  <si>
    <t xml:space="preserve">Set Mismatch</t>
  </si>
  <si>
    <t xml:space="preserve">First Missing Positive</t>
  </si>
  <si>
    <t xml:space="preserve">Find the Duplicate Number</t>
  </si>
  <si>
    <t xml:space="preserve">Custom comparator</t>
  </si>
  <si>
    <t xml:space="preserve">Largest Number</t>
  </si>
  <si>
    <t xml:space="preserve">Sort Characters By Frequency</t>
  </si>
  <si>
    <t xml:space="preserve">Relative Sort Array</t>
  </si>
  <si>
    <t xml:space="preserve">Custom Sort String</t>
  </si>
  <si>
    <t xml:space="preserve">Counting sort</t>
  </si>
  <si>
    <t xml:space="preserve">Sort an Array by Increasing Frequency</t>
  </si>
  <si>
    <t xml:space="preserve">Sorting application</t>
  </si>
  <si>
    <t xml:space="preserve">H-Index</t>
  </si>
  <si>
    <t xml:space="preserve">Wiggle Sort II</t>
  </si>
  <si>
    <t xml:space="preserve">Maximum Gap</t>
  </si>
  <si>
    <t xml:space="preserve">Vanilla BS</t>
  </si>
  <si>
    <t xml:space="preserve">Binary Search</t>
  </si>
  <si>
    <t xml:space="preserve">Search Insert Position</t>
  </si>
  <si>
    <t xml:space="preserve">Lower/Upper bound</t>
  </si>
  <si>
    <t xml:space="preserve">Find First and Last Position of Element</t>
  </si>
  <si>
    <t xml:space="preserve">Number of Occurrences</t>
  </si>
  <si>
    <t xml:space="preserve">Ceil in a Sorted Array</t>
  </si>
  <si>
    <t xml:space="preserve">Floor in a Sorted Array</t>
  </si>
  <si>
    <t xml:space="preserve">BS on answer</t>
  </si>
  <si>
    <t xml:space="preserve">Sqrt(x)</t>
  </si>
  <si>
    <t xml:space="preserve">Valid Perfect Square</t>
  </si>
  <si>
    <t xml:space="preserve">Interactive</t>
  </si>
  <si>
    <t xml:space="preserve">Guess Number Higher or Lower</t>
  </si>
  <si>
    <t xml:space="preserve">Rotated array</t>
  </si>
  <si>
    <t xml:space="preserve">Search in Rotated Sorted Array</t>
  </si>
  <si>
    <t xml:space="preserve">Search in Rotated Sorted Array II</t>
  </si>
  <si>
    <t xml:space="preserve">Find Minimum in Rotated Sorted Array</t>
  </si>
  <si>
    <t xml:space="preserve">Find Minimum in Rotated Sorted Array II</t>
  </si>
  <si>
    <t xml:space="preserve">Rotation Count in Sorted Array</t>
  </si>
  <si>
    <t xml:space="preserve">Peak finding</t>
  </si>
  <si>
    <t xml:space="preserve">Peak Index in a Mountain Array</t>
  </si>
  <si>
    <t xml:space="preserve">Find Peak Element</t>
  </si>
  <si>
    <t xml:space="preserve">Parity trick</t>
  </si>
  <si>
    <t xml:space="preserve">Single Element in a Sorted Array</t>
  </si>
  <si>
    <t xml:space="preserve">Unbounded BS</t>
  </si>
  <si>
    <t xml:space="preserve">Search in Infinite Sorted Array</t>
  </si>
  <si>
    <t xml:space="preserve">BS on matrix</t>
  </si>
  <si>
    <t xml:space="preserve">Search a 2D Matrix</t>
  </si>
  <si>
    <t xml:space="preserve">Search a 2D Matrix II</t>
  </si>
  <si>
    <t xml:space="preserve">Kth Smallest Element in a Sorted Matrix</t>
  </si>
  <si>
    <t xml:space="preserve">Kth Smallest Number in Multiplication Table</t>
  </si>
  <si>
    <t xml:space="preserve">Median in a Row-wise Sorted Matrix</t>
  </si>
  <si>
    <t xml:space="preserve">Partition BS</t>
  </si>
  <si>
    <t xml:space="preserve">Median of Two Sorted Arrays</t>
  </si>
  <si>
    <t xml:space="preserve">K-th Element of Two Sorted Arrays</t>
  </si>
  <si>
    <t xml:space="preserve">Find K Closest Elements</t>
  </si>
  <si>
    <t xml:space="preserve">Koko Eating Bananas</t>
  </si>
  <si>
    <t xml:space="preserve">Capacity To Ship Packages Within D Days</t>
  </si>
  <si>
    <t xml:space="preserve">Minimum Number of Days to Make m Bouquets</t>
  </si>
  <si>
    <t xml:space="preserve">Find the Smallest Divisor Given a Threshold</t>
  </si>
  <si>
    <t xml:space="preserve">Minimum Speed to Arrive on Time</t>
  </si>
  <si>
    <t xml:space="preserve">Split Array Largest Sum</t>
  </si>
  <si>
    <t xml:space="preserve">Allocate Minimum Number of Pages</t>
  </si>
  <si>
    <t xml:space="preserve">Aggressive Cows</t>
  </si>
  <si>
    <t xml:space="preserve">Magnetic Force Between Two Balls</t>
  </si>
  <si>
    <t xml:space="preserve">Maximum Candies Allocated to K Children</t>
  </si>
  <si>
    <t xml:space="preserve">Minimize Max Distance to Gas Station</t>
  </si>
  <si>
    <t xml:space="preserve">H-Index II</t>
  </si>
  <si>
    <t xml:space="preserve">Reverse String</t>
  </si>
  <si>
    <t xml:space="preserve">Reverse Words in a String</t>
  </si>
  <si>
    <t xml:space="preserve">String Compression</t>
  </si>
  <si>
    <t xml:space="preserve">Longest Common Prefix</t>
  </si>
  <si>
    <t xml:space="preserve">Anagram</t>
  </si>
  <si>
    <t xml:space="preserve">Valid Anagram</t>
  </si>
  <si>
    <t xml:space="preserve">Group Anagrams</t>
  </si>
  <si>
    <t xml:space="preserve">Parsing</t>
  </si>
  <si>
    <t xml:space="preserve">Roman to Integer</t>
  </si>
  <si>
    <t xml:space="preserve">Integer to Roman</t>
  </si>
  <si>
    <t xml:space="preserve">String to Integer (atoi)</t>
  </si>
  <si>
    <t xml:space="preserve">Add Binary</t>
  </si>
  <si>
    <t xml:space="preserve">Multiply Strings</t>
  </si>
  <si>
    <t xml:space="preserve">Compare Version Numbers</t>
  </si>
  <si>
    <t xml:space="preserve">Count and Say</t>
  </si>
  <si>
    <t xml:space="preserve">Palindrome</t>
  </si>
  <si>
    <t xml:space="preserve">Longest Palindromic Substring</t>
  </si>
  <si>
    <t xml:space="preserve">Palindromic Substrings</t>
  </si>
  <si>
    <t xml:space="preserve">Shortest Palindrome</t>
  </si>
  <si>
    <t xml:space="preserve">Mapping</t>
  </si>
  <si>
    <t xml:space="preserve">Isomorphic Strings</t>
  </si>
  <si>
    <t xml:space="preserve">Word Pattern</t>
  </si>
  <si>
    <t xml:space="preserve">Pattern matching</t>
  </si>
  <si>
    <t xml:space="preserve">Find the Index of the First Occurrence in a String</t>
  </si>
  <si>
    <t xml:space="preserve">Repeated Substring Pattern</t>
  </si>
  <si>
    <t xml:space="preserve">Rotate String</t>
  </si>
  <si>
    <t xml:space="preserve">Longest Prefix Suffix (KMP)</t>
  </si>
  <si>
    <t xml:space="preserve">Z Algorithm for Pattern Searching</t>
  </si>
  <si>
    <t xml:space="preserve">Rabin-Karp Algorithm</t>
  </si>
  <si>
    <t xml:space="preserve">Simulation</t>
  </si>
  <si>
    <t xml:space="preserve">Zigzag Conversion</t>
  </si>
  <si>
    <t xml:space="preserve">Text Justification</t>
  </si>
  <si>
    <t xml:space="preserve">Minimum Add to Make Parentheses Valid</t>
  </si>
  <si>
    <t xml:space="preserve">Set basics</t>
  </si>
  <si>
    <t xml:space="preserve">Contains Duplicate</t>
  </si>
  <si>
    <t xml:space="preserve">Contains Duplicate II</t>
  </si>
  <si>
    <t xml:space="preserve">Intersection of Two Arrays</t>
  </si>
  <si>
    <t xml:space="preserve">Intersection of Two Arrays II</t>
  </si>
  <si>
    <t xml:space="preserve">Frequency map</t>
  </si>
  <si>
    <t xml:space="preserve">First Unique Character in a String</t>
  </si>
  <si>
    <t xml:space="preserve">Ransom Note</t>
  </si>
  <si>
    <t xml:space="preserve">Maximum Number of Balloons</t>
  </si>
  <si>
    <t xml:space="preserve">Longest Palindrome</t>
  </si>
  <si>
    <t xml:space="preserve">Number of Good Pairs</t>
  </si>
  <si>
    <t xml:space="preserve">Minimum Index Sum of Two Lists</t>
  </si>
  <si>
    <t xml:space="preserve">Cycle detection</t>
  </si>
  <si>
    <t xml:space="preserve">Happy Number</t>
  </si>
  <si>
    <t xml:space="preserve">Set + scan</t>
  </si>
  <si>
    <t xml:space="preserve">Longest Consecutive Sequence</t>
  </si>
  <si>
    <t xml:space="preserve">Meet in the middle</t>
  </si>
  <si>
    <t xml:space="preserve">4Sum II</t>
  </si>
  <si>
    <t xml:space="preserve">Grid hashing</t>
  </si>
  <si>
    <t xml:space="preserve">Valid Sudoku</t>
  </si>
  <si>
    <t xml:space="preserve">Line hashing</t>
  </si>
  <si>
    <t xml:space="preserve">Brick Wall</t>
  </si>
  <si>
    <t xml:space="preserve">Max Points on a Line</t>
  </si>
  <si>
    <t xml:space="preserve">Traversal</t>
  </si>
  <si>
    <t xml:space="preserve">Spiral Matrix</t>
  </si>
  <si>
    <t xml:space="preserve">Spiral Matrix II</t>
  </si>
  <si>
    <t xml:space="preserve">Diagonal Traverse</t>
  </si>
  <si>
    <t xml:space="preserve">Matrix Diagonal Sum</t>
  </si>
  <si>
    <t xml:space="preserve">In-place ops</t>
  </si>
  <si>
    <t xml:space="preserve">Rotate Image</t>
  </si>
  <si>
    <t xml:space="preserve">Set Matrix Zeroes</t>
  </si>
  <si>
    <t xml:space="preserve">Transpose Matrix</t>
  </si>
  <si>
    <t xml:space="preserve">Game of Life</t>
  </si>
  <si>
    <t xml:space="preserve">Properties</t>
  </si>
  <si>
    <t xml:space="preserve">Toeplitz Matrix</t>
  </si>
  <si>
    <t xml:space="preserve">Construction</t>
  </si>
  <si>
    <t xml:space="preserve">Pascal's Triangle</t>
  </si>
  <si>
    <t xml:space="preserve">Pascal's Triangle II</t>
  </si>
  <si>
    <t xml:space="preserve">Reversal</t>
  </si>
  <si>
    <t xml:space="preserve">Reverse Linked List</t>
  </si>
  <si>
    <t xml:space="preserve">Reverse Linked List II</t>
  </si>
  <si>
    <t xml:space="preserve">Swap Nodes in Pairs</t>
  </si>
  <si>
    <t xml:space="preserve">Reverse Nodes in k-Group</t>
  </si>
  <si>
    <t xml:space="preserve">Reverse Nodes in Even Length Groups</t>
  </si>
  <si>
    <t xml:space="preserve">Fast &amp; slow</t>
  </si>
  <si>
    <t xml:space="preserve">Middle of the Linked List</t>
  </si>
  <si>
    <t xml:space="preserve">Linked List Cycle</t>
  </si>
  <si>
    <t xml:space="preserve">Linked List Cycle II</t>
  </si>
  <si>
    <t xml:space="preserve">Palindrome Linked List</t>
  </si>
  <si>
    <t xml:space="preserve">Remove Nth Node From End of List</t>
  </si>
  <si>
    <t xml:space="preserve">Reorder List</t>
  </si>
  <si>
    <t xml:space="preserve">Deletion</t>
  </si>
  <si>
    <t xml:space="preserve">Remove Duplicates from Sorted List</t>
  </si>
  <si>
    <t xml:space="preserve">Remove Duplicates from Sorted List II</t>
  </si>
  <si>
    <t xml:space="preserve">Remove Linked List Elements</t>
  </si>
  <si>
    <t xml:space="preserve">Delete Node in a Linked List</t>
  </si>
  <si>
    <t xml:space="preserve">Remove Nodes From Linked List</t>
  </si>
  <si>
    <t xml:space="preserve">Merging</t>
  </si>
  <si>
    <t xml:space="preserve">Merge Two Sorted Lists</t>
  </si>
  <si>
    <t xml:space="preserve">Merge k Sorted Lists</t>
  </si>
  <si>
    <t xml:space="preserve">Sort List</t>
  </si>
  <si>
    <t xml:space="preserve">Arithmetic</t>
  </si>
  <si>
    <t xml:space="preserve">Add Two Numbers</t>
  </si>
  <si>
    <t xml:space="preserve">Add Two Numbers II</t>
  </si>
  <si>
    <t xml:space="preserve">Odd Even Linked List</t>
  </si>
  <si>
    <t xml:space="preserve">Partition List</t>
  </si>
  <si>
    <t xml:space="preserve">Rotate List</t>
  </si>
  <si>
    <t xml:space="preserve">Split Linked List in Parts</t>
  </si>
  <si>
    <t xml:space="preserve">Pointers</t>
  </si>
  <si>
    <t xml:space="preserve">Intersection of Two Linked Lists</t>
  </si>
  <si>
    <t xml:space="preserve">Copy List with Random Pointer</t>
  </si>
  <si>
    <t xml:space="preserve">Flatten a Multilevel Doubly Linked List</t>
  </si>
  <si>
    <t xml:space="preserve">Flattening a Linked List</t>
  </si>
  <si>
    <t xml:space="preserve">Design</t>
  </si>
  <si>
    <t xml:space="preserve">Design Linked List</t>
  </si>
  <si>
    <t xml:space="preserve">Parentheses</t>
  </si>
  <si>
    <t xml:space="preserve">Valid Parentheses</t>
  </si>
  <si>
    <t xml:space="preserve">Longest Valid Parentheses</t>
  </si>
  <si>
    <t xml:space="preserve">Score of Parentheses</t>
  </si>
  <si>
    <t xml:space="preserve">Min Stack</t>
  </si>
  <si>
    <t xml:space="preserve">Implement Stack using Queues</t>
  </si>
  <si>
    <t xml:space="preserve">Implement Queue using Stacks</t>
  </si>
  <si>
    <t xml:space="preserve">Design Circular Queue</t>
  </si>
  <si>
    <t xml:space="preserve">Maximum Frequency Stack</t>
  </si>
  <si>
    <t xml:space="preserve">Expression</t>
  </si>
  <si>
    <t xml:space="preserve">Evaluate Reverse Polish Notation</t>
  </si>
  <si>
    <t xml:space="preserve">Basic Calculator</t>
  </si>
  <si>
    <t xml:space="preserve">Basic Calculator II</t>
  </si>
  <si>
    <t xml:space="preserve">Infix to Postfix Conversion</t>
  </si>
  <si>
    <t xml:space="preserve">Decode String</t>
  </si>
  <si>
    <t xml:space="preserve">Remove All Adjacent Duplicates In String</t>
  </si>
  <si>
    <t xml:space="preserve">Remove All Adjacent Duplicates in String II</t>
  </si>
  <si>
    <t xml:space="preserve">Simplify Path</t>
  </si>
  <si>
    <t xml:space="preserve">Asteroid Collision</t>
  </si>
  <si>
    <t xml:space="preserve">The Celebrity Problem</t>
  </si>
  <si>
    <t xml:space="preserve">Monotonic stack</t>
  </si>
  <si>
    <t xml:space="preserve">Next Greater Element I</t>
  </si>
  <si>
    <t xml:space="preserve">Next Greater Element II</t>
  </si>
  <si>
    <t xml:space="preserve">Daily Temperatures</t>
  </si>
  <si>
    <t xml:space="preserve">Online Stock Span</t>
  </si>
  <si>
    <t xml:space="preserve">Number of Visible People in a Queue</t>
  </si>
  <si>
    <t xml:space="preserve">132 Pattern</t>
  </si>
  <si>
    <t xml:space="preserve">Car Fleet</t>
  </si>
  <si>
    <t xml:space="preserve">Remove K Digits</t>
  </si>
  <si>
    <t xml:space="preserve">Sum of Subarray Minimums</t>
  </si>
  <si>
    <t xml:space="preserve">Largest Rectangle in Histogram</t>
  </si>
  <si>
    <t xml:space="preserve">Maximal Rectangle</t>
  </si>
  <si>
    <t xml:space="preserve">Kth element</t>
  </si>
  <si>
    <t xml:space="preserve">Kth Largest Element in an Array</t>
  </si>
  <si>
    <t xml:space="preserve">Kth Smallest Element</t>
  </si>
  <si>
    <t xml:space="preserve">Kth Largest Element in a Stream</t>
  </si>
  <si>
    <t xml:space="preserve">Ugly Number II</t>
  </si>
  <si>
    <t xml:space="preserve">Top K</t>
  </si>
  <si>
    <t xml:space="preserve">Top K Frequent Elements</t>
  </si>
  <si>
    <t xml:space="preserve">Top K Frequent Words</t>
  </si>
  <si>
    <t xml:space="preserve">K Closest Points to Origin</t>
  </si>
  <si>
    <t xml:space="preserve">The K Weakest Rows in a Matrix</t>
  </si>
  <si>
    <t xml:space="preserve">Find K Pairs with Smallest Sums</t>
  </si>
  <si>
    <t xml:space="preserve">K-way merge</t>
  </si>
  <si>
    <t xml:space="preserve">Merge K Sorted Arrays</t>
  </si>
  <si>
    <t xml:space="preserve">Smallest Range Covering Elements from K Lists</t>
  </si>
  <si>
    <t xml:space="preserve">Greedy + heap</t>
  </si>
  <si>
    <t xml:space="preserve">Last Stone Weight</t>
  </si>
  <si>
    <t xml:space="preserve">Minimum Cost of Ropes</t>
  </si>
  <si>
    <t xml:space="preserve">Task Scheduler</t>
  </si>
  <si>
    <t xml:space="preserve">Reorganize String</t>
  </si>
  <si>
    <t xml:space="preserve">Hand of Straights</t>
  </si>
  <si>
    <t xml:space="preserve">IPO</t>
  </si>
  <si>
    <t xml:space="preserve">Minimum Number of Refueling Stops</t>
  </si>
  <si>
    <t xml:space="preserve">Course Schedule III</t>
  </si>
  <si>
    <t xml:space="preserve">Maximum Subsequence Score</t>
  </si>
  <si>
    <t xml:space="preserve">Total Cost to Hire K Workers</t>
  </si>
  <si>
    <t xml:space="preserve">Two heaps</t>
  </si>
  <si>
    <t xml:space="preserve">Find Median from Data Stream</t>
  </si>
  <si>
    <t xml:space="preserve">Sliding Window Median</t>
  </si>
  <si>
    <t xml:space="preserve">Smallest Number in Infinite Set</t>
  </si>
  <si>
    <t xml:space="preserve">Seat Reservation Manager</t>
  </si>
  <si>
    <t xml:space="preserve">Sort + pick</t>
  </si>
  <si>
    <t xml:space="preserve">Assign Cookies</t>
  </si>
  <si>
    <t xml:space="preserve">Lemonade Change</t>
  </si>
  <si>
    <t xml:space="preserve">Reachability</t>
  </si>
  <si>
    <t xml:space="preserve">Jump Game</t>
  </si>
  <si>
    <t xml:space="preserve">Jump Game II</t>
  </si>
  <si>
    <t xml:space="preserve">Prefix scan</t>
  </si>
  <si>
    <t xml:space="preserve">Gas Station</t>
  </si>
  <si>
    <t xml:space="preserve">Two pass</t>
  </si>
  <si>
    <t xml:space="preserve">Candy</t>
  </si>
  <si>
    <t xml:space="preserve">Wiggle Subsequence</t>
  </si>
  <si>
    <t xml:space="preserve">Partitioning</t>
  </si>
  <si>
    <t xml:space="preserve">Partition Labels</t>
  </si>
  <si>
    <t xml:space="preserve">Interval greedy</t>
  </si>
  <si>
    <t xml:space="preserve">Non-overlapping Intervals</t>
  </si>
  <si>
    <t xml:space="preserve">Minimum Number of Arrows to Burst Balloons</t>
  </si>
  <si>
    <t xml:space="preserve">N Meetings in One Room</t>
  </si>
  <si>
    <t xml:space="preserve">Minimum Platforms</t>
  </si>
  <si>
    <t xml:space="preserve">Job Sequencing Problem</t>
  </si>
  <si>
    <t xml:space="preserve">Classic greedy</t>
  </si>
  <si>
    <t xml:space="preserve">Fractional Knapsack</t>
  </si>
  <si>
    <t xml:space="preserve">Shortest Job First</t>
  </si>
  <si>
    <t xml:space="preserve">Maximum Units on a Truck</t>
  </si>
  <si>
    <t xml:space="preserve">Validation</t>
  </si>
  <si>
    <t xml:space="preserve">Valid Parenthesis String</t>
  </si>
  <si>
    <t xml:space="preserve">Reconstruction</t>
  </si>
  <si>
    <t xml:space="preserve">Queue Reconstruction by Height</t>
  </si>
  <si>
    <t xml:space="preserve">Subsets</t>
  </si>
  <si>
    <t xml:space="preserve">Subsets II</t>
  </si>
  <si>
    <t xml:space="preserve">Subset Sum</t>
  </si>
  <si>
    <t xml:space="preserve">Permutations</t>
  </si>
  <si>
    <t xml:space="preserve">Permutations II</t>
  </si>
  <si>
    <t xml:space="preserve">Permutation Sequence</t>
  </si>
  <si>
    <t xml:space="preserve">Combinations</t>
  </si>
  <si>
    <t xml:space="preserve">Combination Sum</t>
  </si>
  <si>
    <t xml:space="preserve">Combination Sum II</t>
  </si>
  <si>
    <t xml:space="preserve">Combination Sum III</t>
  </si>
  <si>
    <t xml:space="preserve">Letter Combinations of a Phone Number</t>
  </si>
  <si>
    <t xml:space="preserve">String building</t>
  </si>
  <si>
    <t xml:space="preserve">Generate Parentheses</t>
  </si>
  <si>
    <t xml:space="preserve">Restore IP Addresses</t>
  </si>
  <si>
    <t xml:space="preserve">String partition</t>
  </si>
  <si>
    <t xml:space="preserve">Palindrome Partitioning</t>
  </si>
  <si>
    <t xml:space="preserve">Word Break II</t>
  </si>
  <si>
    <t xml:space="preserve">Grid backtracking</t>
  </si>
  <si>
    <t xml:space="preserve">Word Search</t>
  </si>
  <si>
    <t xml:space="preserve">Rat in a Maze Problem</t>
  </si>
  <si>
    <t xml:space="preserve">N-Queens</t>
  </si>
  <si>
    <t xml:space="preserve">N-Queens II</t>
  </si>
  <si>
    <t xml:space="preserve">Sudoku Solver</t>
  </si>
  <si>
    <t xml:space="preserve">Partition into K</t>
  </si>
  <si>
    <t xml:space="preserve">Partition to K Equal Sum Subsets</t>
  </si>
  <si>
    <t xml:space="preserve">Matchsticks to Square</t>
  </si>
  <si>
    <t xml:space="preserve">Graph coloring</t>
  </si>
  <si>
    <t xml:space="preserve">M-Coloring Problem</t>
  </si>
  <si>
    <t xml:space="preserve">Expression Add Operators</t>
  </si>
  <si>
    <t xml:space="preserve">Counting</t>
  </si>
  <si>
    <t xml:space="preserve">Beautiful Arrangement</t>
  </si>
  <si>
    <t xml:space="preserve">Binary Tree Inorder Traversal</t>
  </si>
  <si>
    <t xml:space="preserve">Binary Tree Preorder Traversal</t>
  </si>
  <si>
    <t xml:space="preserve">Binary Tree Postorder Traversal</t>
  </si>
  <si>
    <t xml:space="preserve">Morris Inorder Traversal</t>
  </si>
  <si>
    <t xml:space="preserve">BFS</t>
  </si>
  <si>
    <t xml:space="preserve">Binary Tree Level Order Traversal</t>
  </si>
  <si>
    <t xml:space="preserve">Binary Tree Level Order Traversal II</t>
  </si>
  <si>
    <t xml:space="preserve">Binary Tree Zigzag Level Order Traversal</t>
  </si>
  <si>
    <t xml:space="preserve">Average of Levels in Binary Tree</t>
  </si>
  <si>
    <t xml:space="preserve">N-ary Tree Level Order Traversal</t>
  </si>
  <si>
    <t xml:space="preserve">Views</t>
  </si>
  <si>
    <t xml:space="preserve">Binary Tree Right Side View</t>
  </si>
  <si>
    <t xml:space="preserve">Vertical Order Traversal of a Binary Tree</t>
  </si>
  <si>
    <t xml:space="preserve">Top View of Binary Tree</t>
  </si>
  <si>
    <t xml:space="preserve">Bottom View of Binary Tree</t>
  </si>
  <si>
    <t xml:space="preserve">Boundary Traversal of Binary Tree</t>
  </si>
  <si>
    <t xml:space="preserve">Depth &amp; balance</t>
  </si>
  <si>
    <t xml:space="preserve">Maximum Depth of Binary Tree</t>
  </si>
  <si>
    <t xml:space="preserve">Minimum Depth of Binary Tree</t>
  </si>
  <si>
    <t xml:space="preserve">Balanced Binary Tree</t>
  </si>
  <si>
    <t xml:space="preserve">Diameter of Binary Tree</t>
  </si>
  <si>
    <t xml:space="preserve">Structure</t>
  </si>
  <si>
    <t xml:space="preserve">Same Tree</t>
  </si>
  <si>
    <t xml:space="preserve">Symmetric Tree</t>
  </si>
  <si>
    <t xml:space="preserve">Invert Binary Tree</t>
  </si>
  <si>
    <t xml:space="preserve">Subtree of Another Tree</t>
  </si>
  <si>
    <t xml:space="preserve">Flip Equivalent Binary Trees</t>
  </si>
  <si>
    <t xml:space="preserve">Check Completeness of a Binary Tree</t>
  </si>
  <si>
    <t xml:space="preserve">Count Complete Tree Nodes</t>
  </si>
  <si>
    <t xml:space="preserve">Path sum</t>
  </si>
  <si>
    <t xml:space="preserve">Path Sum</t>
  </si>
  <si>
    <t xml:space="preserve">Path Sum II</t>
  </si>
  <si>
    <t xml:space="preserve">Path Sum III</t>
  </si>
  <si>
    <t xml:space="preserve">Sum Root to Leaf Numbers</t>
  </si>
  <si>
    <t xml:space="preserve">Binary Tree Paths</t>
  </si>
  <si>
    <t xml:space="preserve">Binary Tree Maximum Path Sum</t>
  </si>
  <si>
    <t xml:space="preserve">Distance</t>
  </si>
  <si>
    <t xml:space="preserve">All Nodes Distance K in Binary Tree</t>
  </si>
  <si>
    <t xml:space="preserve">Amount of Time for Binary Tree to Be Infected</t>
  </si>
  <si>
    <t xml:space="preserve">LCA</t>
  </si>
  <si>
    <t xml:space="preserve">Lowest Common Ancestor of a Binary Tree</t>
  </si>
  <si>
    <t xml:space="preserve">Lowest Common Ancestor of a BST</t>
  </si>
  <si>
    <t xml:space="preserve">Lowest Common Ancestor of Deepest Leaves</t>
  </si>
  <si>
    <t xml:space="preserve">Construct Binary Tree from Preorder and Inorder</t>
  </si>
  <si>
    <t xml:space="preserve">Construct Binary Tree from Inorder and Postorder</t>
  </si>
  <si>
    <t xml:space="preserve">Convert Sorted Array to BST</t>
  </si>
  <si>
    <t xml:space="preserve">Flatten Binary Tree to Linked List</t>
  </si>
  <si>
    <t xml:space="preserve">Serialization</t>
  </si>
  <si>
    <t xml:space="preserve">Serialize and Deserialize Binary Tree</t>
  </si>
  <si>
    <t xml:space="preserve">BST basics</t>
  </si>
  <si>
    <t xml:space="preserve">Search in a Binary Search Tree</t>
  </si>
  <si>
    <t xml:space="preserve">Insert into a Binary Search Tree</t>
  </si>
  <si>
    <t xml:space="preserve">Delete Node in a BST</t>
  </si>
  <si>
    <t xml:space="preserve">Range Sum of BST</t>
  </si>
  <si>
    <t xml:space="preserve">BST properties</t>
  </si>
  <si>
    <t xml:space="preserve">Validate Binary Search Tree</t>
  </si>
  <si>
    <t xml:space="preserve">Kth Smallest Element in a BST</t>
  </si>
  <si>
    <t xml:space="preserve">Two Sum IV - Input is a BST</t>
  </si>
  <si>
    <t xml:space="preserve">Recover Binary Search Tree</t>
  </si>
  <si>
    <t xml:space="preserve">Binary Search Tree Iterator</t>
  </si>
  <si>
    <t xml:space="preserve">Inorder Successor in BST</t>
  </si>
  <si>
    <t xml:space="preserve">Largest BST in a Binary Tree</t>
  </si>
  <si>
    <t xml:space="preserve">Implement Trie (Prefix Tree)</t>
  </si>
  <si>
    <t xml:space="preserve">Design Add and Search Words Data Structure</t>
  </si>
  <si>
    <t xml:space="preserve">Map Sum Pairs</t>
  </si>
  <si>
    <t xml:space="preserve">Implement Trie II (count prefixes)</t>
  </si>
  <si>
    <t xml:space="preserve">Prefix search</t>
  </si>
  <si>
    <t xml:space="preserve">Replace Words</t>
  </si>
  <si>
    <t xml:space="preserve">Longest Word in Dictionary</t>
  </si>
  <si>
    <t xml:space="preserve">Search Suggestions System</t>
  </si>
  <si>
    <t xml:space="preserve">Trie + grid</t>
  </si>
  <si>
    <t xml:space="preserve">Word Search II</t>
  </si>
  <si>
    <t xml:space="preserve">Bit trie</t>
  </si>
  <si>
    <t xml:space="preserve">Maximum XOR of Two Numbers in an Array</t>
  </si>
  <si>
    <t xml:space="preserve">Count Distinct Substrings using Trie</t>
  </si>
  <si>
    <t xml:space="preserve">Representation</t>
  </si>
  <si>
    <t xml:space="preserve">Print Adjacency List</t>
  </si>
  <si>
    <t xml:space="preserve">DFS of Graph</t>
  </si>
  <si>
    <t xml:space="preserve">BFS of Graph</t>
  </si>
  <si>
    <t xml:space="preserve">Clone Graph</t>
  </si>
  <si>
    <t xml:space="preserve">Grid DFS/BFS</t>
  </si>
  <si>
    <t xml:space="preserve">Number of Islands</t>
  </si>
  <si>
    <t xml:space="preserve">Max Area of Island</t>
  </si>
  <si>
    <t xml:space="preserve">Flood Fill</t>
  </si>
  <si>
    <t xml:space="preserve">Surrounded Regions</t>
  </si>
  <si>
    <t xml:space="preserve">Number of Enclaves</t>
  </si>
  <si>
    <t xml:space="preserve">Number of Distinct Islands</t>
  </si>
  <si>
    <t xml:space="preserve">Pacific Atlantic Water Flow</t>
  </si>
  <si>
    <t xml:space="preserve">Multi-source BFS</t>
  </si>
  <si>
    <t xml:space="preserve">Rotting Oranges</t>
  </si>
  <si>
    <t xml:space="preserve">01 Matrix</t>
  </si>
  <si>
    <t xml:space="preserve">BFS shortest path</t>
  </si>
  <si>
    <t xml:space="preserve">Shortest Path in Binary Matrix</t>
  </si>
  <si>
    <t xml:space="preserve">Shortest Path in Undirected Graph (unit weights)</t>
  </si>
  <si>
    <t xml:space="preserve">Word Ladder</t>
  </si>
  <si>
    <t xml:space="preserve">Word Ladder II</t>
  </si>
  <si>
    <t xml:space="preserve">Minimum Multiplications to Reach End</t>
  </si>
  <si>
    <t xml:space="preserve">Connected components</t>
  </si>
  <si>
    <t xml:space="preserve">Number of Provinces</t>
  </si>
  <si>
    <t xml:space="preserve">Detect Cycle in an Undirected Graph</t>
  </si>
  <si>
    <t xml:space="preserve">Detect Cycle in a Directed Graph</t>
  </si>
  <si>
    <t xml:space="preserve">Find Eventual Safe States</t>
  </si>
  <si>
    <t xml:space="preserve">Coloring</t>
  </si>
  <si>
    <t xml:space="preserve">Is Graph Bipartite?</t>
  </si>
  <si>
    <t xml:space="preserve">Topological sort</t>
  </si>
  <si>
    <t xml:space="preserve">Topological Sort</t>
  </si>
  <si>
    <t xml:space="preserve">Course Schedule</t>
  </si>
  <si>
    <t xml:space="preserve">Course Schedule II</t>
  </si>
  <si>
    <t xml:space="preserve">Alien Dictionary</t>
  </si>
  <si>
    <t xml:space="preserve">Minimum Height Trees</t>
  </si>
  <si>
    <t xml:space="preserve">Parallel Courses</t>
  </si>
  <si>
    <t xml:space="preserve">Dijkstra</t>
  </si>
  <si>
    <t xml:space="preserve">Implementing Dijkstra Algorithm</t>
  </si>
  <si>
    <t xml:space="preserve">Network Delay Time</t>
  </si>
  <si>
    <t xml:space="preserve">Path With Minimum Effort</t>
  </si>
  <si>
    <t xml:space="preserve">Swim in Rising Water</t>
  </si>
  <si>
    <t xml:space="preserve">Path with Maximum Probability</t>
  </si>
  <si>
    <t xml:space="preserve">Number of Ways to Arrive at Destination</t>
  </si>
  <si>
    <t xml:space="preserve">Bellman-Ford</t>
  </si>
  <si>
    <t xml:space="preserve">Distance from the Source (Bellman-Ford)</t>
  </si>
  <si>
    <t xml:space="preserve">Cheapest Flights Within K Stops</t>
  </si>
  <si>
    <t xml:space="preserve">Floyd-Warshall</t>
  </si>
  <si>
    <t xml:space="preserve">Floyd Warshall Algorithm</t>
  </si>
  <si>
    <t xml:space="preserve">Find the City With the Smallest Number of Neighbors</t>
  </si>
  <si>
    <t xml:space="preserve">MST</t>
  </si>
  <si>
    <t xml:space="preserve">Minimum Spanning Tree (Prim's)</t>
  </si>
  <si>
    <t xml:space="preserve">Kruskal's Algorithm</t>
  </si>
  <si>
    <t xml:space="preserve">Min Cost to Connect All Points</t>
  </si>
  <si>
    <t xml:space="preserve">DSU</t>
  </si>
  <si>
    <t xml:space="preserve">Disjoint Set (Union by Rank &amp; Path Compression)</t>
  </si>
  <si>
    <t xml:space="preserve">Redundant Connection</t>
  </si>
  <si>
    <t xml:space="preserve">Number of Operations to Make Network Connected</t>
  </si>
  <si>
    <t xml:space="preserve">Accounts Merge</t>
  </si>
  <si>
    <t xml:space="preserve">Most Stones Removed with Same Row or Column</t>
  </si>
  <si>
    <t xml:space="preserve">Satisfiability of Equality Equations</t>
  </si>
  <si>
    <t xml:space="preserve">Making A Large Island</t>
  </si>
  <si>
    <t xml:space="preserve">Number of Islands II</t>
  </si>
  <si>
    <t xml:space="preserve">Bridges &amp; APs</t>
  </si>
  <si>
    <t xml:space="preserve">Critical Connections in a Network</t>
  </si>
  <si>
    <t xml:space="preserve">Articulation Point in a Graph</t>
  </si>
  <si>
    <t xml:space="preserve">SCC</t>
  </si>
  <si>
    <t xml:space="preserve">Strongly Connected Components (Kosaraju)</t>
  </si>
  <si>
    <t xml:space="preserve">Euler path</t>
  </si>
  <si>
    <t xml:space="preserve">Reconstruct Itinerary</t>
  </si>
  <si>
    <t xml:space="preserve">Misc</t>
  </si>
  <si>
    <t xml:space="preserve">Graph Valid Tree</t>
  </si>
  <si>
    <t xml:space="preserve">Evaluate Division</t>
  </si>
  <si>
    <t xml:space="preserve">1D DP</t>
  </si>
  <si>
    <t xml:space="preserve">Climbing Stairs</t>
  </si>
  <si>
    <t xml:space="preserve">Min Cost Climbing Stairs</t>
  </si>
  <si>
    <t xml:space="preserve">Frog Jump</t>
  </si>
  <si>
    <t xml:space="preserve">House Robber</t>
  </si>
  <si>
    <t xml:space="preserve">House Robber II</t>
  </si>
  <si>
    <t xml:space="preserve">Maximum Sum of Non-Adjacent Elements</t>
  </si>
  <si>
    <t xml:space="preserve">Decode Ways</t>
  </si>
  <si>
    <t xml:space="preserve">Delete and Earn</t>
  </si>
  <si>
    <t xml:space="preserve">Word Break</t>
  </si>
  <si>
    <t xml:space="preserve">Grid DP</t>
  </si>
  <si>
    <t xml:space="preserve">Unique Paths</t>
  </si>
  <si>
    <t xml:space="preserve">Unique Paths II</t>
  </si>
  <si>
    <t xml:space="preserve">Minimum Path Sum</t>
  </si>
  <si>
    <t xml:space="preserve">Triangle</t>
  </si>
  <si>
    <t xml:space="preserve">Minimum Falling Path Sum</t>
  </si>
  <si>
    <t xml:space="preserve">Cherry Pickup II</t>
  </si>
  <si>
    <t xml:space="preserve">Dungeon Game</t>
  </si>
  <si>
    <t xml:space="preserve">Longest Increasing Path in a Matrix</t>
  </si>
  <si>
    <t xml:space="preserve">0/1 Knapsack</t>
  </si>
  <si>
    <t xml:space="preserve">0 - 1 Knapsack Problem</t>
  </si>
  <si>
    <t xml:space="preserve">Subset Sum Problem</t>
  </si>
  <si>
    <t xml:space="preserve">Partition Equal Subset Sum</t>
  </si>
  <si>
    <t xml:space="preserve">Target Sum</t>
  </si>
  <si>
    <t xml:space="preserve">Count Subsets with Sum K</t>
  </si>
  <si>
    <t xml:space="preserve">Minimum Subset Sum Difference</t>
  </si>
  <si>
    <t xml:space="preserve">Ones and Zeroes</t>
  </si>
  <si>
    <t xml:space="preserve">Unbounded Knapsack</t>
  </si>
  <si>
    <t xml:space="preserve">Rod Cutting</t>
  </si>
  <si>
    <t xml:space="preserve">Coin Change</t>
  </si>
  <si>
    <t xml:space="preserve">Coin Change II</t>
  </si>
  <si>
    <t xml:space="preserve">Combination Sum IV</t>
  </si>
  <si>
    <t xml:space="preserve">Perfect Squares</t>
  </si>
  <si>
    <t xml:space="preserve">LIS</t>
  </si>
  <si>
    <t xml:space="preserve">Longest Increasing Subsequence</t>
  </si>
  <si>
    <t xml:space="preserve">Number of Longest Increasing Subsequence</t>
  </si>
  <si>
    <t xml:space="preserve">Largest Divisible Subset</t>
  </si>
  <si>
    <t xml:space="preserve">Longest String Chain</t>
  </si>
  <si>
    <t xml:space="preserve">Russian Doll Envelopes</t>
  </si>
  <si>
    <t xml:space="preserve">Maximum Sum Increasing Subsequence</t>
  </si>
  <si>
    <t xml:space="preserve">Longest Bitonic Subsequence</t>
  </si>
  <si>
    <t xml:space="preserve">String DP</t>
  </si>
  <si>
    <t xml:space="preserve">Longest Common Subsequence</t>
  </si>
  <si>
    <t xml:space="preserve">Longest Common Substring</t>
  </si>
  <si>
    <t xml:space="preserve">Shortest Common Supersequence</t>
  </si>
  <si>
    <t xml:space="preserve">Delete Operation for Two Strings</t>
  </si>
  <si>
    <t xml:space="preserve">Edit Distance</t>
  </si>
  <si>
    <t xml:space="preserve">Distinct Subsequences</t>
  </si>
  <si>
    <t xml:space="preserve">Wildcard Matching</t>
  </si>
  <si>
    <t xml:space="preserve">Regular Expression Matching</t>
  </si>
  <si>
    <t xml:space="preserve">Interleaving String</t>
  </si>
  <si>
    <t xml:space="preserve">Longest Palindromic Subsequence</t>
  </si>
  <si>
    <t xml:space="preserve">Minimum Insertion Steps to Make a String Palindrome</t>
  </si>
  <si>
    <t xml:space="preserve">Stocks DP</t>
  </si>
  <si>
    <t xml:space="preserve">Best Time to Buy and Sell Stock II</t>
  </si>
  <si>
    <t xml:space="preserve">Best Time to Buy and Sell Stock III</t>
  </si>
  <si>
    <t xml:space="preserve">Best Time to Buy and Sell Stock IV</t>
  </si>
  <si>
    <t xml:space="preserve">Best Time to Buy and Sell Stock with Cooldown</t>
  </si>
  <si>
    <t xml:space="preserve">Best Time to Buy and Sell Stock with Transaction Fee</t>
  </si>
  <si>
    <t xml:space="preserve">Partition DP</t>
  </si>
  <si>
    <t xml:space="preserve">Matrix Chain Multiplication</t>
  </si>
  <si>
    <t xml:space="preserve">Minimum Cost to Cut a Stick</t>
  </si>
  <si>
    <t xml:space="preserve">Burst Balloons</t>
  </si>
  <si>
    <t xml:space="preserve">Palindrome Partitioning II</t>
  </si>
  <si>
    <t xml:space="preserve">Partition Array for Maximum Sum</t>
  </si>
  <si>
    <t xml:space="preserve">Boolean Parenthesization</t>
  </si>
  <si>
    <t xml:space="preserve">Squares in matrix</t>
  </si>
  <si>
    <t xml:space="preserve">Maximal Square</t>
  </si>
  <si>
    <t xml:space="preserve">Count Square Submatrices with All Ones</t>
  </si>
  <si>
    <t xml:space="preserve">DP on trees</t>
  </si>
  <si>
    <t xml:space="preserve">House Robber III</t>
  </si>
  <si>
    <t xml:space="preserve">Binary Tree Cameras</t>
  </si>
  <si>
    <t xml:space="preserve">Game DP</t>
  </si>
  <si>
    <t xml:space="preserve">Stone Game</t>
  </si>
  <si>
    <t xml:space="preserve">Predict the Winner</t>
  </si>
  <si>
    <t xml:space="preserve">Counting DP</t>
  </si>
  <si>
    <t xml:space="preserve">Number of Dice Rolls With Target Sum</t>
  </si>
  <si>
    <t xml:space="preserve">Knight Probability in Chessboard</t>
  </si>
  <si>
    <t xml:space="preserve">Bitmask DP</t>
  </si>
  <si>
    <t xml:space="preserve">Travelling Salesman Problem</t>
  </si>
  <si>
    <t xml:space="preserve">Shortest Path Visiting All Nodes</t>
  </si>
  <si>
    <t xml:space="preserve">Number of 1 Bits</t>
  </si>
  <si>
    <t xml:space="preserve">Counting Bits</t>
  </si>
  <si>
    <t xml:space="preserve">Reverse Bits</t>
  </si>
  <si>
    <t xml:space="preserve">Power of Two</t>
  </si>
  <si>
    <t xml:space="preserve">Power of Four</t>
  </si>
  <si>
    <t xml:space="preserve">Swap Two Numbers Without Temp Variable</t>
  </si>
  <si>
    <t xml:space="preserve">Minimum Bit Flips to Convert Number</t>
  </si>
  <si>
    <t xml:space="preserve">XOR tricks</t>
  </si>
  <si>
    <t xml:space="preserve">Single Number</t>
  </si>
  <si>
    <t xml:space="preserve">Single Number II</t>
  </si>
  <si>
    <t xml:space="preserve">Single Number III</t>
  </si>
  <si>
    <t xml:space="preserve">Hamming Distance</t>
  </si>
  <si>
    <t xml:space="preserve">Total Hamming Distance</t>
  </si>
  <si>
    <t xml:space="preserve">XOR Queries of a Subarray</t>
  </si>
  <si>
    <t xml:space="preserve">Find XOR of Numbers from 1 to N</t>
  </si>
  <si>
    <t xml:space="preserve">Bit arithmetic</t>
  </si>
  <si>
    <t xml:space="preserve">Sum of Two Integers</t>
  </si>
  <si>
    <t xml:space="preserve">Divide Two Integers</t>
  </si>
  <si>
    <t xml:space="preserve">Bitwise AND of Numbers Range</t>
  </si>
  <si>
    <t xml:space="preserve">Bitmask</t>
  </si>
  <si>
    <t xml:space="preserve">Maximum Product of Word Lengths</t>
  </si>
  <si>
    <t xml:space="preserve">Gray Code</t>
  </si>
  <si>
    <t xml:space="preserve">Count Total Set Bits from 1 to N</t>
  </si>
  <si>
    <t xml:space="preserve">Primes</t>
  </si>
  <si>
    <t xml:space="preserve">Sieve of Eratosthenes</t>
  </si>
  <si>
    <t xml:space="preserve">Count Primes</t>
  </si>
  <si>
    <t xml:space="preserve">Prime Factorization using Smallest Prime Factor</t>
  </si>
  <si>
    <t xml:space="preserve">GCD/LCM</t>
  </si>
  <si>
    <t xml:space="preserve">GCD using Euclidean Algorithm</t>
  </si>
  <si>
    <t xml:space="preserve">LCM and GCD</t>
  </si>
  <si>
    <t xml:space="preserve">Modular</t>
  </si>
  <si>
    <t xml:space="preserve">Modular Exponentiation for Large Numbers</t>
  </si>
  <si>
    <t xml:space="preserve">nCr mod p</t>
  </si>
  <si>
    <t xml:space="preserve">Digits</t>
  </si>
  <si>
    <t xml:space="preserve">Palindrome Number</t>
  </si>
  <si>
    <t xml:space="preserve">Reverse Integer</t>
  </si>
  <si>
    <t xml:space="preserve">Add Digits</t>
  </si>
  <si>
    <t xml:space="preserve">Number of Digit One</t>
  </si>
  <si>
    <t xml:space="preserve">Factorials</t>
  </si>
  <si>
    <t xml:space="preserve">Factorial Trailing Zeroes</t>
  </si>
  <si>
    <t xml:space="preserve">Base conversion</t>
  </si>
  <si>
    <t xml:space="preserve">Excel Sheet Column Title</t>
  </si>
  <si>
    <t xml:space="preserve">Excel Sheet Column Number</t>
  </si>
  <si>
    <t xml:space="preserve">Sequences</t>
  </si>
  <si>
    <t xml:space="preserve">Ugly Number</t>
  </si>
  <si>
    <t xml:space="preserve">Nth Catalan Number</t>
  </si>
  <si>
    <t xml:space="preserve">Classic</t>
  </si>
  <si>
    <t xml:space="preserve">Josephus Problem</t>
  </si>
  <si>
    <t xml:space="preserve">Merge Intervals</t>
  </si>
  <si>
    <t xml:space="preserve">Insert Interval</t>
  </si>
  <si>
    <t xml:space="preserve">Interval List Intersections</t>
  </si>
  <si>
    <t xml:space="preserve">Remove Covered Intervals</t>
  </si>
  <si>
    <t xml:space="preserve">Scheduling</t>
  </si>
  <si>
    <t xml:space="preserve">Meeting Rooms</t>
  </si>
  <si>
    <t xml:space="preserve">Attend All Meetings II (Min Meeting Rooms)</t>
  </si>
  <si>
    <t xml:space="preserve">Maximum CPU Load</t>
  </si>
  <si>
    <t xml:space="preserve">Employee Free Time</t>
  </si>
  <si>
    <t xml:space="preserve">Booking</t>
  </si>
  <si>
    <t xml:space="preserve">My Calendar I</t>
  </si>
  <si>
    <t xml:space="preserve">My Calendar II</t>
  </si>
  <si>
    <t xml:space="preserve">Streaming</t>
  </si>
  <si>
    <t xml:space="preserve">Data Stream as Disjoint Intervals</t>
  </si>
  <si>
    <t xml:space="preserve">Cache</t>
  </si>
  <si>
    <t xml:space="preserve">LRU Cache</t>
  </si>
  <si>
    <t xml:space="preserve">LFU Cache</t>
  </si>
  <si>
    <t xml:space="preserve">Hash structures</t>
  </si>
  <si>
    <t xml:space="preserve">Design HashMap</t>
  </si>
  <si>
    <t xml:space="preserve">Design HashSet</t>
  </si>
  <si>
    <t xml:space="preserve">Insert Delete GetRandom O(1)</t>
  </si>
  <si>
    <t xml:space="preserve">All O`one Data Structure</t>
  </si>
  <si>
    <t xml:space="preserve">Systems</t>
  </si>
  <si>
    <t xml:space="preserve">Design Twitter</t>
  </si>
  <si>
    <t xml:space="preserve">Design Underground System</t>
  </si>
  <si>
    <t xml:space="preserve">Design Browser History</t>
  </si>
  <si>
    <t xml:space="preserve">Versioned data</t>
  </si>
  <si>
    <t xml:space="preserve">Time Based Key-Value Store</t>
  </si>
  <si>
    <t xml:space="preserve">Snapshot Array</t>
  </si>
  <si>
    <t xml:space="preserve">Segment tree</t>
  </si>
  <si>
    <t xml:space="preserve">Range Sum Query - Mutable</t>
  </si>
  <si>
    <t xml:space="preserve">Range Minimum Query (Segment Tree)</t>
  </si>
  <si>
    <t xml:space="preserve">Segment Tree with Lazy Propagation</t>
  </si>
  <si>
    <t xml:space="preserve">Fenwick tree</t>
  </si>
  <si>
    <t xml:space="preserve">Binary Indexed Tree (Fenwick Tree)</t>
  </si>
  <si>
    <t xml:space="preserve">Count of Smaller Numbers After Self</t>
  </si>
  <si>
    <t xml:space="preserve">Sweep line</t>
  </si>
  <si>
    <t xml:space="preserve">The Skyline Problem</t>
  </si>
  <si>
    <t xml:space="preserve">Ordered set</t>
  </si>
  <si>
    <t xml:space="preserve">Count of Range Sum (BIT approach)</t>
  </si>
  <si>
    <t xml:space="preserve">Sparse table</t>
  </si>
  <si>
    <t xml:space="preserve">Range Minimum Query using Sparse Table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</si>
</sst>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yyyy\-mm\-d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F0DC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F0D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5F0DC"/>
        </patternFill>
      </fill>
    </dxf>
    <dxf>
      <fill>
        <patternFill>
          <bgColor rgb="FFFDF0D0"/>
        </patternFill>
      </fill>
    </dxf>
    <dxf>
      <fill>
        <patternFill>
          <bgColor rgb="FFF8D7DA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DF0D0"/>
      <rgbColor rgb="FFE2EFDA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0D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oogle.com/search?q=Print+1+to+N+using+Recursion+GeeksforGeeks+practice+problem" TargetMode="External"/><Relationship Id="rId2" Type="http://schemas.openxmlformats.org/officeDocument/2006/relationships/hyperlink" Target="https://www.google.com/search?q=Sum+of+First+N+Natural+Numbers+GeeksforGeeks+practice+problem" TargetMode="External"/><Relationship Id="rId3" Type="http://schemas.openxmlformats.org/officeDocument/2006/relationships/hyperlink" Target="https://www.google.com/search?q=Factorial+of+a+Number+GeeksforGeeks+practice+problem" TargetMode="External"/><Relationship Id="rId4" Type="http://schemas.openxmlformats.org/officeDocument/2006/relationships/hyperlink" Target="https://www.geeksforgeeks.org/problems/sum-of-digits1742/1" TargetMode="External"/><Relationship Id="rId5" Type="http://schemas.openxmlformats.org/officeDocument/2006/relationships/hyperlink" Target="https://www.google.com/search?q=Reverse+an+Array+using+Recursion+GeeksforGeeks+practice+problem" TargetMode="External"/><Relationship Id="rId6" Type="http://schemas.openxmlformats.org/officeDocument/2006/relationships/hyperlink" Target="https://www.geeksforgeeks.org/problems/palindrome-string0817/1" TargetMode="External"/><Relationship Id="rId7" Type="http://schemas.openxmlformats.org/officeDocument/2006/relationships/hyperlink" Target="https://www.geeksforgeeks.org/problems/check-if-an-array-is-sorted0701/1" TargetMode="External"/><Relationship Id="rId8" Type="http://schemas.openxmlformats.org/officeDocument/2006/relationships/hyperlink" Target="https://www.geeksforgeeks.org/problems/remove-all-occurrences-of-a-character-in-a-string/1" TargetMode="External"/><Relationship Id="rId9" Type="http://schemas.openxmlformats.org/officeDocument/2006/relationships/hyperlink" Target="https://leetcode.com/problems/fibonacci-number/" TargetMode="External"/><Relationship Id="rId10" Type="http://schemas.openxmlformats.org/officeDocument/2006/relationships/hyperlink" Target="https://leetcode.com/problems/powx-n/" TargetMode="External"/><Relationship Id="rId11" Type="http://schemas.openxmlformats.org/officeDocument/2006/relationships/hyperlink" Target="https://www.google.com/search?q=Merge+Sort+GeeksforGeeks+practice+problem" TargetMode="External"/><Relationship Id="rId12" Type="http://schemas.openxmlformats.org/officeDocument/2006/relationships/hyperlink" Target="https://www.google.com/search?q=Quick+Sort+GeeksforGeeks+practice+problem" TargetMode="External"/><Relationship Id="rId13" Type="http://schemas.openxmlformats.org/officeDocument/2006/relationships/hyperlink" Target="https://www.google.com/search?q=Count+Inversions+GeeksforGeeks+practice+problem" TargetMode="External"/><Relationship Id="rId14" Type="http://schemas.openxmlformats.org/officeDocument/2006/relationships/hyperlink" Target="https://leetcode.com/problems/sort-an-array/" TargetMode="External"/><Relationship Id="rId15" Type="http://schemas.openxmlformats.org/officeDocument/2006/relationships/hyperlink" Target="https://leetcode.com/problems/majority-element/" TargetMode="External"/><Relationship Id="rId16" Type="http://schemas.openxmlformats.org/officeDocument/2006/relationships/hyperlink" Target="https://leetcode.com/problems/two-sum/" TargetMode="External"/><Relationship Id="rId17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remove-duplicates-from-sorted-array/" TargetMode="External"/><Relationship Id="rId19" Type="http://schemas.openxmlformats.org/officeDocument/2006/relationships/hyperlink" Target="https://leetcode.com/problems/remove-duplicates-from-sorted-array-ii/" TargetMode="External"/><Relationship Id="rId20" Type="http://schemas.openxmlformats.org/officeDocument/2006/relationships/hyperlink" Target="https://leetcode.com/problems/move-zeroes/" TargetMode="External"/><Relationship Id="rId21" Type="http://schemas.openxmlformats.org/officeDocument/2006/relationships/hyperlink" Target="https://leetcode.com/problems/squares-of-a-sorted-array/" TargetMode="External"/><Relationship Id="rId22" Type="http://schemas.openxmlformats.org/officeDocument/2006/relationships/hyperlink" Target="https://leetcode.com/problems/merge-sorted-array/" TargetMode="External"/><Relationship Id="rId23" Type="http://schemas.openxmlformats.org/officeDocument/2006/relationships/hyperlink" Target="https://leetcode.com/problems/valid-palindrome/" TargetMode="External"/><Relationship Id="rId24" Type="http://schemas.openxmlformats.org/officeDocument/2006/relationships/hyperlink" Target="https://leetcode.com/problems/valid-palindrome-ii/" TargetMode="External"/><Relationship Id="rId25" Type="http://schemas.openxmlformats.org/officeDocument/2006/relationships/hyperlink" Target="https://leetcode.com/problems/backspace-string-compare/" TargetMode="External"/><Relationship Id="rId26" Type="http://schemas.openxmlformats.org/officeDocument/2006/relationships/hyperlink" Target="https://leetcode.com/problems/sort-colors/" TargetMode="External"/><Relationship Id="rId27" Type="http://schemas.openxmlformats.org/officeDocument/2006/relationships/hyperlink" Target="https://www.geeksforgeeks.org/problems/segregate-0s-and-1s5106/1" TargetMode="External"/><Relationship Id="rId28" Type="http://schemas.openxmlformats.org/officeDocument/2006/relationships/hyperlink" Target="https://leetcode.com/problems/container-with-most-water/" TargetMode="External"/><Relationship Id="rId29" Type="http://schemas.openxmlformats.org/officeDocument/2006/relationships/hyperlink" Target="https://leetcode.com/problems/trapping-rain-water/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3sum-closest/" TargetMode="External"/><Relationship Id="rId32" Type="http://schemas.openxmlformats.org/officeDocument/2006/relationships/hyperlink" Target="https://leetcode.com/problems/4sum/" TargetMode="External"/><Relationship Id="rId33" Type="http://schemas.openxmlformats.org/officeDocument/2006/relationships/hyperlink" Target="https://www.geeksforgeeks.org/problems/count-triplets-with-sum-smaller-than-x5549/1" TargetMode="External"/><Relationship Id="rId34" Type="http://schemas.openxmlformats.org/officeDocument/2006/relationships/hyperlink" Target="https://leetcode.com/problems/subarray-product-less-than-k/" TargetMode="External"/><Relationship Id="rId35" Type="http://schemas.openxmlformats.org/officeDocument/2006/relationships/hyperlink" Target="https://leetcode.com/problems/boats-to-save-people/" TargetMode="External"/><Relationship Id="rId36" Type="http://schemas.openxmlformats.org/officeDocument/2006/relationships/hyperlink" Target="https://leetcode.com/problems/rotate-array/" TargetMode="External"/><Relationship Id="rId37" Type="http://schemas.openxmlformats.org/officeDocument/2006/relationships/hyperlink" Target="https://leetcode.com/problems/next-permutation/" TargetMode="External"/><Relationship Id="rId38" Type="http://schemas.openxmlformats.org/officeDocument/2006/relationships/hyperlink" Target="https://leetcode.com/problems/rearrange-array-elements-by-sign/" TargetMode="External"/><Relationship Id="rId39" Type="http://schemas.openxmlformats.org/officeDocument/2006/relationships/hyperlink" Target="https://leetcode.com/problems/shortest-unsorted-continuous-subarray/" TargetMode="External"/><Relationship Id="rId40" Type="http://schemas.openxmlformats.org/officeDocument/2006/relationships/hyperlink" Target="https://leetcode.com/problems/majority-element-ii/" TargetMode="External"/><Relationship Id="rId41" Type="http://schemas.openxmlformats.org/officeDocument/2006/relationships/hyperlink" Target="https://leetcode.com/problems/longest-mountain-in-array/" TargetMode="External"/><Relationship Id="rId42" Type="http://schemas.openxmlformats.org/officeDocument/2006/relationships/hyperlink" Target="https://leetcode.com/problems/sort-array-by-parity/" TargetMode="External"/><Relationship Id="rId43" Type="http://schemas.openxmlformats.org/officeDocument/2006/relationships/hyperlink" Target="https://leetcode.com/problems/best-time-to-buy-and-sell-stock/" TargetMode="External"/><Relationship Id="rId44" Type="http://schemas.openxmlformats.org/officeDocument/2006/relationships/hyperlink" Target="https://leetcode.com/problems/maximum-average-subarray-i/" TargetMode="External"/><Relationship Id="rId45" Type="http://schemas.openxmlformats.org/officeDocument/2006/relationships/hyperlink" Target="https://www.geeksforgeeks.org/problems/max-sum-subarray-of-size-k5313/1" TargetMode="External"/><Relationship Id="rId46" Type="http://schemas.openxmlformats.org/officeDocument/2006/relationships/hyperlink" Target="https://leetcode.com/problems/maximum-points-you-can-obtain-from-cards/" TargetMode="External"/><Relationship Id="rId47" Type="http://schemas.openxmlformats.org/officeDocument/2006/relationships/hyperlink" Target="https://leetcode.com/problems/minimum-size-subarray-sum/" TargetMode="External"/><Relationship Id="rId48" Type="http://schemas.openxmlformats.org/officeDocument/2006/relationships/hyperlink" Target="https://leetcode.com/problems/longest-substring-without-repeating-characters/" TargetMode="External"/><Relationship Id="rId49" Type="http://schemas.openxmlformats.org/officeDocument/2006/relationships/hyperlink" Target="https://leetcode.com/problems/longest-repeating-character-replacement/" TargetMode="External"/><Relationship Id="rId50" Type="http://schemas.openxmlformats.org/officeDocument/2006/relationships/hyperlink" Target="https://leetcode.com/problems/max-consecutive-ones-iii/" TargetMode="External"/><Relationship Id="rId51" Type="http://schemas.openxmlformats.org/officeDocument/2006/relationships/hyperlink" Target="https://leetcode.com/problems/fruit-into-baskets/" TargetMode="External"/><Relationship Id="rId52" Type="http://schemas.openxmlformats.org/officeDocument/2006/relationships/hyperlink" Target="https://www.geeksforgeeks.org/problems/longest-k-unique-characters-substring0853/1" TargetMode="External"/><Relationship Id="rId53" Type="http://schemas.openxmlformats.org/officeDocument/2006/relationships/hyperlink" Target="https://leetcode.com/problems/maximum-erasure-value/" TargetMode="External"/><Relationship Id="rId54" Type="http://schemas.openxmlformats.org/officeDocument/2006/relationships/hyperlink" Target="https://leetcode.com/problems/frequency-of-the-most-frequent-element/" TargetMode="External"/><Relationship Id="rId55" Type="http://schemas.openxmlformats.org/officeDocument/2006/relationships/hyperlink" Target="https://leetcode.com/problems/permutation-in-string/" TargetMode="External"/><Relationship Id="rId56" Type="http://schemas.openxmlformats.org/officeDocument/2006/relationships/hyperlink" Target="https://leetcode.com/problems/find-all-anagrams-in-a-string/" TargetMode="External"/><Relationship Id="rId57" Type="http://schemas.openxmlformats.org/officeDocument/2006/relationships/hyperlink" Target="https://leetcode.com/problems/binary-subarrays-with-sum/" TargetMode="External"/><Relationship Id="rId58" Type="http://schemas.openxmlformats.org/officeDocument/2006/relationships/hyperlink" Target="https://leetcode.com/problems/count-number-of-nice-subarrays/" TargetMode="External"/><Relationship Id="rId59" Type="http://schemas.openxmlformats.org/officeDocument/2006/relationships/hyperlink" Target="https://leetcode.com/problems/subarrays-with-k-different-integers/" TargetMode="External"/><Relationship Id="rId60" Type="http://schemas.openxmlformats.org/officeDocument/2006/relationships/hyperlink" Target="https://leetcode.com/problems/number-of-substrings-containing-all-three-characters/" TargetMode="External"/><Relationship Id="rId61" Type="http://schemas.openxmlformats.org/officeDocument/2006/relationships/hyperlink" Target="https://leetcode.com/problems/minimum-window-substring/" TargetMode="External"/><Relationship Id="rId62" Type="http://schemas.openxmlformats.org/officeDocument/2006/relationships/hyperlink" Target="https://leetcode.com/problems/substring-with-concatenation-of-all-words/" TargetMode="External"/><Relationship Id="rId63" Type="http://schemas.openxmlformats.org/officeDocument/2006/relationships/hyperlink" Target="https://leetcode.com/problems/sliding-window-maximum/" TargetMode="External"/><Relationship Id="rId64" Type="http://schemas.openxmlformats.org/officeDocument/2006/relationships/hyperlink" Target="https://leetcode.com/problems/running-sum-of-1d-array/" TargetMode="External"/><Relationship Id="rId65" Type="http://schemas.openxmlformats.org/officeDocument/2006/relationships/hyperlink" Target="https://leetcode.com/problems/find-pivot-index/" TargetMode="External"/><Relationship Id="rId66" Type="http://schemas.openxmlformats.org/officeDocument/2006/relationships/hyperlink" Target="https://leetcode.com/problems/product-of-array-except-self/" TargetMode="External"/><Relationship Id="rId67" Type="http://schemas.openxmlformats.org/officeDocument/2006/relationships/hyperlink" Target="https://leetcode.com/problems/range-sum-query-immutable/" TargetMode="External"/><Relationship Id="rId68" Type="http://schemas.openxmlformats.org/officeDocument/2006/relationships/hyperlink" Target="https://leetcode.com/problems/range-sum-query-2d-immutable/" TargetMode="External"/><Relationship Id="rId69" Type="http://schemas.openxmlformats.org/officeDocument/2006/relationships/hyperlink" Target="https://leetcode.com/problems/subarray-sum-equals-k/" TargetMode="External"/><Relationship Id="rId70" Type="http://schemas.openxmlformats.org/officeDocument/2006/relationships/hyperlink" Target="https://leetcode.com/problems/subarray-sums-divisible-by-k/" TargetMode="External"/><Relationship Id="rId71" Type="http://schemas.openxmlformats.org/officeDocument/2006/relationships/hyperlink" Target="https://leetcode.com/problems/contiguous-array/" TargetMode="External"/><Relationship Id="rId72" Type="http://schemas.openxmlformats.org/officeDocument/2006/relationships/hyperlink" Target="https://leetcode.com/problems/continuous-subarray-sum/" TargetMode="External"/><Relationship Id="rId73" Type="http://schemas.openxmlformats.org/officeDocument/2006/relationships/hyperlink" Target="https://www.google.com/search?q=Longest+Sub-Array+with+Sum+K+GeeksforGeeks+practice+problem" TargetMode="External"/><Relationship Id="rId74" Type="http://schemas.openxmlformats.org/officeDocument/2006/relationships/hyperlink" Target="https://leetcode.com/problems/corporate-flight-bookings/" TargetMode="External"/><Relationship Id="rId75" Type="http://schemas.openxmlformats.org/officeDocument/2006/relationships/hyperlink" Target="https://leetcode.com/problems/car-pooling/" TargetMode="External"/><Relationship Id="rId76" Type="http://schemas.openxmlformats.org/officeDocument/2006/relationships/hyperlink" Target="https://leetcode.com/problems/maximum-subarray/" TargetMode="External"/><Relationship Id="rId77" Type="http://schemas.openxmlformats.org/officeDocument/2006/relationships/hyperlink" Target="https://www.geeksforgeeks.org/problems/smallest-sum-contiguous-subarray/1" TargetMode="External"/><Relationship Id="rId78" Type="http://schemas.openxmlformats.org/officeDocument/2006/relationships/hyperlink" Target="https://leetcode.com/problems/maximum-product-subarray/" TargetMode="External"/><Relationship Id="rId79" Type="http://schemas.openxmlformats.org/officeDocument/2006/relationships/hyperlink" Target="https://leetcode.com/problems/maximum-sum-circular-subarray/" TargetMode="External"/><Relationship Id="rId80" Type="http://schemas.openxmlformats.org/officeDocument/2006/relationships/hyperlink" Target="https://leetcode.com/problems/maximum-absolute-sum-of-any-subarray/" TargetMode="External"/><Relationship Id="rId81" Type="http://schemas.openxmlformats.org/officeDocument/2006/relationships/hyperlink" Target="https://leetcode.com/problems/maximum-subarray-sum-with-one-deletion/" TargetMode="External"/><Relationship Id="rId82" Type="http://schemas.openxmlformats.org/officeDocument/2006/relationships/hyperlink" Target="https://leetcode.com/problems/shortest-subarray-with-sum-at-least-k/" TargetMode="External"/><Relationship Id="rId83" Type="http://schemas.openxmlformats.org/officeDocument/2006/relationships/hyperlink" Target="https://leetcode.com/problems/count-of-range-sum/" TargetMode="External"/><Relationship Id="rId84" Type="http://schemas.openxmlformats.org/officeDocument/2006/relationships/hyperlink" Target="https://leetcode.com/problems/missing-number/" TargetMode="External"/><Relationship Id="rId85" Type="http://schemas.openxmlformats.org/officeDocument/2006/relationships/hyperlink" Target="https://leetcode.com/problems/find-all-numbers-disappeared-in-an-array/" TargetMode="External"/><Relationship Id="rId86" Type="http://schemas.openxmlformats.org/officeDocument/2006/relationships/hyperlink" Target="https://leetcode.com/problems/find-all-duplicates-in-an-array/" TargetMode="External"/><Relationship Id="rId87" Type="http://schemas.openxmlformats.org/officeDocument/2006/relationships/hyperlink" Target="https://leetcode.com/problems/set-mismatch/" TargetMode="External"/><Relationship Id="rId88" Type="http://schemas.openxmlformats.org/officeDocument/2006/relationships/hyperlink" Target="https://leetcode.com/problems/first-missing-positive/" TargetMode="External"/><Relationship Id="rId89" Type="http://schemas.openxmlformats.org/officeDocument/2006/relationships/hyperlink" Target="https://leetcode.com/problems/find-the-duplicate-number/" TargetMode="External"/><Relationship Id="rId90" Type="http://schemas.openxmlformats.org/officeDocument/2006/relationships/hyperlink" Target="https://leetcode.com/problems/largest-number/" TargetMode="External"/><Relationship Id="rId91" Type="http://schemas.openxmlformats.org/officeDocument/2006/relationships/hyperlink" Target="https://leetcode.com/problems/sort-characters-by-frequency/" TargetMode="External"/><Relationship Id="rId92" Type="http://schemas.openxmlformats.org/officeDocument/2006/relationships/hyperlink" Target="https://leetcode.com/problems/relative-sort-array/" TargetMode="External"/><Relationship Id="rId93" Type="http://schemas.openxmlformats.org/officeDocument/2006/relationships/hyperlink" Target="https://leetcode.com/problems/custom-sort-string/" TargetMode="External"/><Relationship Id="rId94" Type="http://schemas.openxmlformats.org/officeDocument/2006/relationships/hyperlink" Target="https://leetcode.com/problems/sort-array-by-increasing-frequency/" TargetMode="External"/><Relationship Id="rId95" Type="http://schemas.openxmlformats.org/officeDocument/2006/relationships/hyperlink" Target="https://leetcode.com/problems/h-index/" TargetMode="External"/><Relationship Id="rId96" Type="http://schemas.openxmlformats.org/officeDocument/2006/relationships/hyperlink" Target="https://leetcode.com/problems/wiggle-sort-ii/" TargetMode="External"/><Relationship Id="rId97" Type="http://schemas.openxmlformats.org/officeDocument/2006/relationships/hyperlink" Target="https://leetcode.com/problems/maximum-gap/" TargetMode="External"/><Relationship Id="rId98" Type="http://schemas.openxmlformats.org/officeDocument/2006/relationships/hyperlink" Target="https://leetcode.com/problems/binary-search/" TargetMode="External"/><Relationship Id="rId99" Type="http://schemas.openxmlformats.org/officeDocument/2006/relationships/hyperlink" Target="https://leetcode.com/problems/search-insert-position/" TargetMode="External"/><Relationship Id="rId100" Type="http://schemas.openxmlformats.org/officeDocument/2006/relationships/hyperlink" Target="https://leetcode.com/problems/find-first-and-last-position-of-element-in-sorted-array/" TargetMode="External"/><Relationship Id="rId101" Type="http://schemas.openxmlformats.org/officeDocument/2006/relationships/hyperlink" Target="https://www.geeksforgeeks.org/problems/number-of-occurrence2259/1" TargetMode="External"/><Relationship Id="rId102" Type="http://schemas.openxmlformats.org/officeDocument/2006/relationships/hyperlink" Target="https://www.geeksforgeeks.org/problems/ceil-in-a-sorted-array/1" TargetMode="External"/><Relationship Id="rId103" Type="http://schemas.openxmlformats.org/officeDocument/2006/relationships/hyperlink" Target="https://www.google.com/search?q=Floor+in+a+Sorted+Array+GeeksforGeeks+practice+problem" TargetMode="External"/><Relationship Id="rId104" Type="http://schemas.openxmlformats.org/officeDocument/2006/relationships/hyperlink" Target="https://leetcode.com/problems/sqrtx/" TargetMode="External"/><Relationship Id="rId105" Type="http://schemas.openxmlformats.org/officeDocument/2006/relationships/hyperlink" Target="https://leetcode.com/problems/valid-perfect-square/" TargetMode="External"/><Relationship Id="rId106" Type="http://schemas.openxmlformats.org/officeDocument/2006/relationships/hyperlink" Target="https://leetcode.com/problems/guess-number-higher-or-lower/" TargetMode="External"/><Relationship Id="rId107" Type="http://schemas.openxmlformats.org/officeDocument/2006/relationships/hyperlink" Target="https://leetcode.com/problems/search-in-rotated-sorted-array/" TargetMode="External"/><Relationship Id="rId108" Type="http://schemas.openxmlformats.org/officeDocument/2006/relationships/hyperlink" Target="https://leetcode.com/problems/search-in-rotated-sorted-array-ii/" TargetMode="External"/><Relationship Id="rId109" Type="http://schemas.openxmlformats.org/officeDocument/2006/relationships/hyperlink" Target="https://leetcode.com/problems/find-minimum-in-rotated-sorted-array/" TargetMode="External"/><Relationship Id="rId110" Type="http://schemas.openxmlformats.org/officeDocument/2006/relationships/hyperlink" Target="https://leetcode.com/problems/find-minimum-in-rotated-sorted-array-ii/" TargetMode="External"/><Relationship Id="rId111" Type="http://schemas.openxmlformats.org/officeDocument/2006/relationships/hyperlink" Target="https://www.geeksforgeeks.org/problems/rotation4723/1" TargetMode="External"/><Relationship Id="rId112" Type="http://schemas.openxmlformats.org/officeDocument/2006/relationships/hyperlink" Target="https://leetcode.com/problems/peak-index-in-a-mountain-array/" TargetMode="External"/><Relationship Id="rId113" Type="http://schemas.openxmlformats.org/officeDocument/2006/relationships/hyperlink" Target="https://leetcode.com/problems/find-peak-element/" TargetMode="External"/><Relationship Id="rId114" Type="http://schemas.openxmlformats.org/officeDocument/2006/relationships/hyperlink" Target="https://leetcode.com/problems/single-element-in-a-sorted-array/" TargetMode="External"/><Relationship Id="rId115" Type="http://schemas.openxmlformats.org/officeDocument/2006/relationships/hyperlink" Target="https://www.google.com/search?q=Search+in+Infinite+Sorted+Array+GeeksforGeeks+practice+problem" TargetMode="External"/><Relationship Id="rId116" Type="http://schemas.openxmlformats.org/officeDocument/2006/relationships/hyperlink" Target="https://leetcode.com/problems/search-a-2d-matrix/" TargetMode="External"/><Relationship Id="rId117" Type="http://schemas.openxmlformats.org/officeDocument/2006/relationships/hyperlink" Target="https://leetcode.com/problems/search-a-2d-matrix-ii/" TargetMode="External"/><Relationship Id="rId118" Type="http://schemas.openxmlformats.org/officeDocument/2006/relationships/hyperlink" Target="https://leetcode.com/problems/kth-smallest-element-in-a-sorted-matrix/" TargetMode="External"/><Relationship Id="rId119" Type="http://schemas.openxmlformats.org/officeDocument/2006/relationships/hyperlink" Target="https://leetcode.com/problems/kth-smallest-number-in-multiplication-table/" TargetMode="External"/><Relationship Id="rId120" Type="http://schemas.openxmlformats.org/officeDocument/2006/relationships/hyperlink" Target="https://www.google.com/search?q=Median+in+a+Row-wise+Sorted+Matrix+GeeksforGeeks+practice+problem" TargetMode="External"/><Relationship Id="rId121" Type="http://schemas.openxmlformats.org/officeDocument/2006/relationships/hyperlink" Target="https://leetcode.com/problems/median-of-two-sorted-arrays/" TargetMode="External"/><Relationship Id="rId122" Type="http://schemas.openxmlformats.org/officeDocument/2006/relationships/hyperlink" Target="https://www.google.com/search?q=K-th+Element+of+Two+Sorted+Arrays+GeeksforGeeks+practice+problem" TargetMode="External"/><Relationship Id="rId123" Type="http://schemas.openxmlformats.org/officeDocument/2006/relationships/hyperlink" Target="https://leetcode.com/problems/find-k-closest-elements/" TargetMode="External"/><Relationship Id="rId124" Type="http://schemas.openxmlformats.org/officeDocument/2006/relationships/hyperlink" Target="https://leetcode.com/problems/koko-eating-bananas/" TargetMode="External"/><Relationship Id="rId125" Type="http://schemas.openxmlformats.org/officeDocument/2006/relationships/hyperlink" Target="https://leetcode.com/problems/capacity-to-ship-packages-within-d-days/" TargetMode="External"/><Relationship Id="rId126" Type="http://schemas.openxmlformats.org/officeDocument/2006/relationships/hyperlink" Target="https://leetcode.com/problems/minimum-number-of-days-to-make-m-bouquets/" TargetMode="External"/><Relationship Id="rId127" Type="http://schemas.openxmlformats.org/officeDocument/2006/relationships/hyperlink" Target="https://leetcode.com/problems/find-the-smallest-divisor-given-a-threshold/" TargetMode="External"/><Relationship Id="rId128" Type="http://schemas.openxmlformats.org/officeDocument/2006/relationships/hyperlink" Target="https://leetcode.com/problems/minimum-speed-to-arrive-on-time/" TargetMode="External"/><Relationship Id="rId129" Type="http://schemas.openxmlformats.org/officeDocument/2006/relationships/hyperlink" Target="https://leetcode.com/problems/split-array-largest-sum/" TargetMode="External"/><Relationship Id="rId130" Type="http://schemas.openxmlformats.org/officeDocument/2006/relationships/hyperlink" Target="https://www.geeksforgeeks.org/problems/allocate-minimum-number-of-pages0937/1" TargetMode="External"/><Relationship Id="rId131" Type="http://schemas.openxmlformats.org/officeDocument/2006/relationships/hyperlink" Target="https://www.geeksforgeeks.org/problems/aggressive-cows/1" TargetMode="External"/><Relationship Id="rId132" Type="http://schemas.openxmlformats.org/officeDocument/2006/relationships/hyperlink" Target="https://leetcode.com/problems/magnetic-force-between-two-balls/" TargetMode="External"/><Relationship Id="rId133" Type="http://schemas.openxmlformats.org/officeDocument/2006/relationships/hyperlink" Target="https://leetcode.com/problems/maximum-candies-allocated-to-k-children/" TargetMode="External"/><Relationship Id="rId134" Type="http://schemas.openxmlformats.org/officeDocument/2006/relationships/hyperlink" Target="https://www.google.com/search?q=Minimize+Max+Distance+to+Gas+Station+GeeksforGeeks+practice+problem" TargetMode="External"/><Relationship Id="rId135" Type="http://schemas.openxmlformats.org/officeDocument/2006/relationships/hyperlink" Target="https://leetcode.com/problems/h-index-ii/" TargetMode="External"/><Relationship Id="rId136" Type="http://schemas.openxmlformats.org/officeDocument/2006/relationships/hyperlink" Target="https://leetcode.com/problems/reverse-string/" TargetMode="External"/><Relationship Id="rId137" Type="http://schemas.openxmlformats.org/officeDocument/2006/relationships/hyperlink" Target="https://leetcode.com/problems/reverse-words-in-a-string/" TargetMode="External"/><Relationship Id="rId138" Type="http://schemas.openxmlformats.org/officeDocument/2006/relationships/hyperlink" Target="https://leetcode.com/problems/string-compression/" TargetMode="External"/><Relationship Id="rId139" Type="http://schemas.openxmlformats.org/officeDocument/2006/relationships/hyperlink" Target="https://leetcode.com/problems/longest-common-prefix/" TargetMode="External"/><Relationship Id="rId140" Type="http://schemas.openxmlformats.org/officeDocument/2006/relationships/hyperlink" Target="https://leetcode.com/problems/valid-anagram/" TargetMode="External"/><Relationship Id="rId141" Type="http://schemas.openxmlformats.org/officeDocument/2006/relationships/hyperlink" Target="https://leetcode.com/problems/group-anagrams/" TargetMode="External"/><Relationship Id="rId142" Type="http://schemas.openxmlformats.org/officeDocument/2006/relationships/hyperlink" Target="https://leetcode.com/problems/roman-to-integer/" TargetMode="External"/><Relationship Id="rId143" Type="http://schemas.openxmlformats.org/officeDocument/2006/relationships/hyperlink" Target="https://leetcode.com/problems/integer-to-roman/" TargetMode="External"/><Relationship Id="rId144" Type="http://schemas.openxmlformats.org/officeDocument/2006/relationships/hyperlink" Target="https://leetcode.com/problems/string-to-integer-atoi/" TargetMode="External"/><Relationship Id="rId145" Type="http://schemas.openxmlformats.org/officeDocument/2006/relationships/hyperlink" Target="https://leetcode.com/problems/add-binary/" TargetMode="External"/><Relationship Id="rId146" Type="http://schemas.openxmlformats.org/officeDocument/2006/relationships/hyperlink" Target="https://leetcode.com/problems/multiply-strings/" TargetMode="External"/><Relationship Id="rId147" Type="http://schemas.openxmlformats.org/officeDocument/2006/relationships/hyperlink" Target="https://leetcode.com/problems/compare-version-numbers/" TargetMode="External"/><Relationship Id="rId148" Type="http://schemas.openxmlformats.org/officeDocument/2006/relationships/hyperlink" Target="https://leetcode.com/problems/count-and-say/" TargetMode="External"/><Relationship Id="rId149" Type="http://schemas.openxmlformats.org/officeDocument/2006/relationships/hyperlink" Target="https://leetcode.com/problems/longest-palindromic-substring/" TargetMode="External"/><Relationship Id="rId150" Type="http://schemas.openxmlformats.org/officeDocument/2006/relationships/hyperlink" Target="https://leetcode.com/problems/palindromic-substrings/" TargetMode="External"/><Relationship Id="rId151" Type="http://schemas.openxmlformats.org/officeDocument/2006/relationships/hyperlink" Target="https://leetcode.com/problems/shortest-palindrome/" TargetMode="External"/><Relationship Id="rId152" Type="http://schemas.openxmlformats.org/officeDocument/2006/relationships/hyperlink" Target="https://leetcode.com/problems/isomorphic-strings/" TargetMode="External"/><Relationship Id="rId153" Type="http://schemas.openxmlformats.org/officeDocument/2006/relationships/hyperlink" Target="https://leetcode.com/problems/word-pattern/" TargetMode="External"/><Relationship Id="rId154" Type="http://schemas.openxmlformats.org/officeDocument/2006/relationships/hyperlink" Target="https://leetcode.com/problems/find-the-index-of-the-first-occurrence-in-a-string/" TargetMode="External"/><Relationship Id="rId155" Type="http://schemas.openxmlformats.org/officeDocument/2006/relationships/hyperlink" Target="https://leetcode.com/problems/repeated-substring-pattern/" TargetMode="External"/><Relationship Id="rId156" Type="http://schemas.openxmlformats.org/officeDocument/2006/relationships/hyperlink" Target="https://leetcode.com/problems/rotate-string/" TargetMode="External"/><Relationship Id="rId157" Type="http://schemas.openxmlformats.org/officeDocument/2006/relationships/hyperlink" Target="https://www.google.com/search?q=Longest+Prefix+Suffix+%28KMP%29+GeeksforGeeks+practice+problem" TargetMode="External"/><Relationship Id="rId158" Type="http://schemas.openxmlformats.org/officeDocument/2006/relationships/hyperlink" Target="https://www.google.com/search?q=Z+Algorithm+for+Pattern+Searching+GeeksforGeeks+practice+problem" TargetMode="External"/><Relationship Id="rId159" Type="http://schemas.openxmlformats.org/officeDocument/2006/relationships/hyperlink" Target="https://www.google.com/search?q=Rabin-Karp+Algorithm+GeeksforGeeks+practice+problem" TargetMode="External"/><Relationship Id="rId160" Type="http://schemas.openxmlformats.org/officeDocument/2006/relationships/hyperlink" Target="https://leetcode.com/problems/zigzag-conversion/" TargetMode="External"/><Relationship Id="rId161" Type="http://schemas.openxmlformats.org/officeDocument/2006/relationships/hyperlink" Target="https://leetcode.com/problems/text-justification/" TargetMode="External"/><Relationship Id="rId162" Type="http://schemas.openxmlformats.org/officeDocument/2006/relationships/hyperlink" Target="https://leetcode.com/problems/minimum-add-to-make-parentheses-valid/" TargetMode="External"/><Relationship Id="rId163" Type="http://schemas.openxmlformats.org/officeDocument/2006/relationships/hyperlink" Target="https://leetcode.com/problems/contains-duplicate/" TargetMode="External"/><Relationship Id="rId164" Type="http://schemas.openxmlformats.org/officeDocument/2006/relationships/hyperlink" Target="https://leetcode.com/problems/contains-duplicate-ii/" TargetMode="External"/><Relationship Id="rId165" Type="http://schemas.openxmlformats.org/officeDocument/2006/relationships/hyperlink" Target="https://leetcode.com/problems/intersection-of-two-arrays/" TargetMode="External"/><Relationship Id="rId166" Type="http://schemas.openxmlformats.org/officeDocument/2006/relationships/hyperlink" Target="https://leetcode.com/problems/intersection-of-two-arrays-ii/" TargetMode="External"/><Relationship Id="rId167" Type="http://schemas.openxmlformats.org/officeDocument/2006/relationships/hyperlink" Target="https://leetcode.com/problems/first-unique-character-in-a-string/" TargetMode="External"/><Relationship Id="rId168" Type="http://schemas.openxmlformats.org/officeDocument/2006/relationships/hyperlink" Target="https://leetcode.com/problems/ransom-note/" TargetMode="External"/><Relationship Id="rId169" Type="http://schemas.openxmlformats.org/officeDocument/2006/relationships/hyperlink" Target="https://leetcode.com/problems/maximum-number-of-balloons/" TargetMode="External"/><Relationship Id="rId170" Type="http://schemas.openxmlformats.org/officeDocument/2006/relationships/hyperlink" Target="https://leetcode.com/problems/longest-palindrome/" TargetMode="External"/><Relationship Id="rId171" Type="http://schemas.openxmlformats.org/officeDocument/2006/relationships/hyperlink" Target="https://leetcode.com/problems/number-of-good-pairs/" TargetMode="External"/><Relationship Id="rId172" Type="http://schemas.openxmlformats.org/officeDocument/2006/relationships/hyperlink" Target="https://leetcode.com/problems/minimum-index-sum-of-two-lists/" TargetMode="External"/><Relationship Id="rId173" Type="http://schemas.openxmlformats.org/officeDocument/2006/relationships/hyperlink" Target="https://leetcode.com/problems/happy-number/" TargetMode="External"/><Relationship Id="rId174" Type="http://schemas.openxmlformats.org/officeDocument/2006/relationships/hyperlink" Target="https://leetcode.com/problems/longest-consecutive-sequence/" TargetMode="External"/><Relationship Id="rId175" Type="http://schemas.openxmlformats.org/officeDocument/2006/relationships/hyperlink" Target="https://leetcode.com/problems/4sum-ii/" TargetMode="External"/><Relationship Id="rId176" Type="http://schemas.openxmlformats.org/officeDocument/2006/relationships/hyperlink" Target="https://leetcode.com/problems/valid-sudoku/" TargetMode="External"/><Relationship Id="rId177" Type="http://schemas.openxmlformats.org/officeDocument/2006/relationships/hyperlink" Target="https://leetcode.com/problems/brick-wall/" TargetMode="External"/><Relationship Id="rId178" Type="http://schemas.openxmlformats.org/officeDocument/2006/relationships/hyperlink" Target="https://leetcode.com/problems/max-points-on-a-line/" TargetMode="External"/><Relationship Id="rId179" Type="http://schemas.openxmlformats.org/officeDocument/2006/relationships/hyperlink" Target="https://leetcode.com/problems/spiral-matrix/" TargetMode="External"/><Relationship Id="rId180" Type="http://schemas.openxmlformats.org/officeDocument/2006/relationships/hyperlink" Target="https://leetcode.com/problems/spiral-matrix-ii/" TargetMode="External"/><Relationship Id="rId181" Type="http://schemas.openxmlformats.org/officeDocument/2006/relationships/hyperlink" Target="https://leetcode.com/problems/diagonal-traverse/" TargetMode="External"/><Relationship Id="rId182" Type="http://schemas.openxmlformats.org/officeDocument/2006/relationships/hyperlink" Target="https://leetcode.com/problems/matrix-diagonal-sum/" TargetMode="External"/><Relationship Id="rId183" Type="http://schemas.openxmlformats.org/officeDocument/2006/relationships/hyperlink" Target="https://leetcode.com/problems/rotate-image/" TargetMode="External"/><Relationship Id="rId184" Type="http://schemas.openxmlformats.org/officeDocument/2006/relationships/hyperlink" Target="https://leetcode.com/problems/set-matrix-zeroes/" TargetMode="External"/><Relationship Id="rId185" Type="http://schemas.openxmlformats.org/officeDocument/2006/relationships/hyperlink" Target="https://leetcode.com/problems/transpose-matrix/" TargetMode="External"/><Relationship Id="rId186" Type="http://schemas.openxmlformats.org/officeDocument/2006/relationships/hyperlink" Target="https://leetcode.com/problems/game-of-life/" TargetMode="External"/><Relationship Id="rId187" Type="http://schemas.openxmlformats.org/officeDocument/2006/relationships/hyperlink" Target="https://leetcode.com/problems/toeplitz-matrix/" TargetMode="External"/><Relationship Id="rId188" Type="http://schemas.openxmlformats.org/officeDocument/2006/relationships/hyperlink" Target="https://leetcode.com/problems/pascals-triangle/" TargetMode="External"/><Relationship Id="rId189" Type="http://schemas.openxmlformats.org/officeDocument/2006/relationships/hyperlink" Target="https://leetcode.com/problems/pascals-triangle-ii/" TargetMode="External"/><Relationship Id="rId190" Type="http://schemas.openxmlformats.org/officeDocument/2006/relationships/hyperlink" Target="https://leetcode.com/problems/reverse-linked-list/" TargetMode="External"/><Relationship Id="rId191" Type="http://schemas.openxmlformats.org/officeDocument/2006/relationships/hyperlink" Target="https://leetcode.com/problems/reverse-linked-list-ii/" TargetMode="External"/><Relationship Id="rId192" Type="http://schemas.openxmlformats.org/officeDocument/2006/relationships/hyperlink" Target="https://leetcode.com/problems/swap-nodes-in-pairs/" TargetMode="External"/><Relationship Id="rId193" Type="http://schemas.openxmlformats.org/officeDocument/2006/relationships/hyperlink" Target="https://leetcode.com/problems/reverse-nodes-in-k-group/" TargetMode="External"/><Relationship Id="rId194" Type="http://schemas.openxmlformats.org/officeDocument/2006/relationships/hyperlink" Target="https://leetcode.com/problems/reverse-nodes-in-even-length-groups/" TargetMode="External"/><Relationship Id="rId195" Type="http://schemas.openxmlformats.org/officeDocument/2006/relationships/hyperlink" Target="https://leetcode.com/problems/middle-of-the-linked-list/" TargetMode="External"/><Relationship Id="rId196" Type="http://schemas.openxmlformats.org/officeDocument/2006/relationships/hyperlink" Target="https://leetcode.com/problems/linked-list-cycle/" TargetMode="External"/><Relationship Id="rId197" Type="http://schemas.openxmlformats.org/officeDocument/2006/relationships/hyperlink" Target="https://leetcode.com/problems/linked-list-cycle-ii/" TargetMode="External"/><Relationship Id="rId198" Type="http://schemas.openxmlformats.org/officeDocument/2006/relationships/hyperlink" Target="https://leetcode.com/problems/palindrome-linked-list/" TargetMode="External"/><Relationship Id="rId199" Type="http://schemas.openxmlformats.org/officeDocument/2006/relationships/hyperlink" Target="https://leetcode.com/problems/remove-nth-node-from-end-of-list/" TargetMode="External"/><Relationship Id="rId200" Type="http://schemas.openxmlformats.org/officeDocument/2006/relationships/hyperlink" Target="https://leetcode.com/problems/reorder-list/" TargetMode="External"/><Relationship Id="rId201" Type="http://schemas.openxmlformats.org/officeDocument/2006/relationships/hyperlink" Target="https://leetcode.com/problems/remove-duplicates-from-sorted-list/" TargetMode="External"/><Relationship Id="rId202" Type="http://schemas.openxmlformats.org/officeDocument/2006/relationships/hyperlink" Target="https://leetcode.com/problems/remove-duplicates-from-sorted-list-ii/" TargetMode="External"/><Relationship Id="rId203" Type="http://schemas.openxmlformats.org/officeDocument/2006/relationships/hyperlink" Target="https://leetcode.com/problems/remove-linked-list-elements/" TargetMode="External"/><Relationship Id="rId204" Type="http://schemas.openxmlformats.org/officeDocument/2006/relationships/hyperlink" Target="https://leetcode.com/problems/delete-node-in-a-linked-list/" TargetMode="External"/><Relationship Id="rId205" Type="http://schemas.openxmlformats.org/officeDocument/2006/relationships/hyperlink" Target="https://leetcode.com/problems/remove-nodes-from-linked-list/" TargetMode="External"/><Relationship Id="rId206" Type="http://schemas.openxmlformats.org/officeDocument/2006/relationships/hyperlink" Target="https://leetcode.com/problems/merge-two-sorted-lists/" TargetMode="External"/><Relationship Id="rId207" Type="http://schemas.openxmlformats.org/officeDocument/2006/relationships/hyperlink" Target="https://leetcode.com/problems/merge-k-sorted-lists/" TargetMode="External"/><Relationship Id="rId208" Type="http://schemas.openxmlformats.org/officeDocument/2006/relationships/hyperlink" Target="https://leetcode.com/problems/sort-list/" TargetMode="External"/><Relationship Id="rId209" Type="http://schemas.openxmlformats.org/officeDocument/2006/relationships/hyperlink" Target="https://leetcode.com/problems/add-two-numbers/" TargetMode="External"/><Relationship Id="rId210" Type="http://schemas.openxmlformats.org/officeDocument/2006/relationships/hyperlink" Target="https://leetcode.com/problems/add-two-numbers-ii/" TargetMode="External"/><Relationship Id="rId211" Type="http://schemas.openxmlformats.org/officeDocument/2006/relationships/hyperlink" Target="https://leetcode.com/problems/odd-even-linked-list/" TargetMode="External"/><Relationship Id="rId212" Type="http://schemas.openxmlformats.org/officeDocument/2006/relationships/hyperlink" Target="https://leetcode.com/problems/partition-list/" TargetMode="External"/><Relationship Id="rId213" Type="http://schemas.openxmlformats.org/officeDocument/2006/relationships/hyperlink" Target="https://leetcode.com/problems/rotate-list/" TargetMode="External"/><Relationship Id="rId214" Type="http://schemas.openxmlformats.org/officeDocument/2006/relationships/hyperlink" Target="https://leetcode.com/problems/split-linked-list-in-parts/" TargetMode="External"/><Relationship Id="rId215" Type="http://schemas.openxmlformats.org/officeDocument/2006/relationships/hyperlink" Target="https://leetcode.com/problems/intersection-of-two-linked-lists/" TargetMode="External"/><Relationship Id="rId216" Type="http://schemas.openxmlformats.org/officeDocument/2006/relationships/hyperlink" Target="https://leetcode.com/problems/copy-list-with-random-pointer/" TargetMode="External"/><Relationship Id="rId217" Type="http://schemas.openxmlformats.org/officeDocument/2006/relationships/hyperlink" Target="https://leetcode.com/problems/flatten-a-multilevel-doubly-linked-list/" TargetMode="External"/><Relationship Id="rId218" Type="http://schemas.openxmlformats.org/officeDocument/2006/relationships/hyperlink" Target="https://www.google.com/search?q=Flattening+a+Linked+List+GeeksforGeeks+practice+problem" TargetMode="External"/><Relationship Id="rId219" Type="http://schemas.openxmlformats.org/officeDocument/2006/relationships/hyperlink" Target="https://leetcode.com/problems/design-linked-list/" TargetMode="External"/><Relationship Id="rId220" Type="http://schemas.openxmlformats.org/officeDocument/2006/relationships/hyperlink" Target="https://leetcode.com/problems/valid-parentheses/" TargetMode="External"/><Relationship Id="rId221" Type="http://schemas.openxmlformats.org/officeDocument/2006/relationships/hyperlink" Target="https://leetcode.com/problems/longest-valid-parentheses/" TargetMode="External"/><Relationship Id="rId222" Type="http://schemas.openxmlformats.org/officeDocument/2006/relationships/hyperlink" Target="https://leetcode.com/problems/score-of-parentheses/" TargetMode="External"/><Relationship Id="rId223" Type="http://schemas.openxmlformats.org/officeDocument/2006/relationships/hyperlink" Target="https://leetcode.com/problems/min-stack/" TargetMode="External"/><Relationship Id="rId224" Type="http://schemas.openxmlformats.org/officeDocument/2006/relationships/hyperlink" Target="https://leetcode.com/problems/implement-stack-using-queues/" TargetMode="External"/><Relationship Id="rId225" Type="http://schemas.openxmlformats.org/officeDocument/2006/relationships/hyperlink" Target="https://leetcode.com/problems/implement-queue-using-stacks/" TargetMode="External"/><Relationship Id="rId226" Type="http://schemas.openxmlformats.org/officeDocument/2006/relationships/hyperlink" Target="https://leetcode.com/problems/design-circular-queue/" TargetMode="External"/><Relationship Id="rId227" Type="http://schemas.openxmlformats.org/officeDocument/2006/relationships/hyperlink" Target="https://leetcode.com/problems/maximum-frequency-stack/" TargetMode="External"/><Relationship Id="rId228" Type="http://schemas.openxmlformats.org/officeDocument/2006/relationships/hyperlink" Target="https://leetcode.com/problems/evaluate-reverse-polish-notation/" TargetMode="External"/><Relationship Id="rId229" Type="http://schemas.openxmlformats.org/officeDocument/2006/relationships/hyperlink" Target="https://leetcode.com/problems/basic-calculator/" TargetMode="External"/><Relationship Id="rId230" Type="http://schemas.openxmlformats.org/officeDocument/2006/relationships/hyperlink" Target="https://leetcode.com/problems/basic-calculator-ii/" TargetMode="External"/><Relationship Id="rId231" Type="http://schemas.openxmlformats.org/officeDocument/2006/relationships/hyperlink" Target="https://www.google.com/search?q=Infix+to+Postfix+Conversion+GeeksforGeeks+practice+problem" TargetMode="External"/><Relationship Id="rId232" Type="http://schemas.openxmlformats.org/officeDocument/2006/relationships/hyperlink" Target="https://leetcode.com/problems/decode-string/" TargetMode="External"/><Relationship Id="rId233" Type="http://schemas.openxmlformats.org/officeDocument/2006/relationships/hyperlink" Target="https://leetcode.com/problems/remove-all-adjacent-duplicates-in-string/" TargetMode="External"/><Relationship Id="rId234" Type="http://schemas.openxmlformats.org/officeDocument/2006/relationships/hyperlink" Target="https://leetcode.com/problems/remove-all-adjacent-duplicates-in-string-ii/" TargetMode="External"/><Relationship Id="rId235" Type="http://schemas.openxmlformats.org/officeDocument/2006/relationships/hyperlink" Target="https://leetcode.com/problems/simplify-path/" TargetMode="External"/><Relationship Id="rId236" Type="http://schemas.openxmlformats.org/officeDocument/2006/relationships/hyperlink" Target="https://leetcode.com/problems/asteroid-collision/" TargetMode="External"/><Relationship Id="rId237" Type="http://schemas.openxmlformats.org/officeDocument/2006/relationships/hyperlink" Target="https://www.google.com/search?q=The+Celebrity+Problem+GeeksforGeeks+practice+problem" TargetMode="External"/><Relationship Id="rId238" Type="http://schemas.openxmlformats.org/officeDocument/2006/relationships/hyperlink" Target="https://leetcode.com/problems/next-greater-element-i/" TargetMode="External"/><Relationship Id="rId239" Type="http://schemas.openxmlformats.org/officeDocument/2006/relationships/hyperlink" Target="https://leetcode.com/problems/next-greater-element-ii/" TargetMode="External"/><Relationship Id="rId240" Type="http://schemas.openxmlformats.org/officeDocument/2006/relationships/hyperlink" Target="https://leetcode.com/problems/daily-temperatures/" TargetMode="External"/><Relationship Id="rId241" Type="http://schemas.openxmlformats.org/officeDocument/2006/relationships/hyperlink" Target="https://leetcode.com/problems/online-stock-span/" TargetMode="External"/><Relationship Id="rId242" Type="http://schemas.openxmlformats.org/officeDocument/2006/relationships/hyperlink" Target="https://leetcode.com/problems/number-of-visible-people-in-a-queue/" TargetMode="External"/><Relationship Id="rId243" Type="http://schemas.openxmlformats.org/officeDocument/2006/relationships/hyperlink" Target="https://leetcode.com/problems/132-pattern/" TargetMode="External"/><Relationship Id="rId244" Type="http://schemas.openxmlformats.org/officeDocument/2006/relationships/hyperlink" Target="https://leetcode.com/problems/car-fleet/" TargetMode="External"/><Relationship Id="rId245" Type="http://schemas.openxmlformats.org/officeDocument/2006/relationships/hyperlink" Target="https://leetcode.com/problems/remove-k-digits/" TargetMode="External"/><Relationship Id="rId246" Type="http://schemas.openxmlformats.org/officeDocument/2006/relationships/hyperlink" Target="https://leetcode.com/problems/sum-of-subarray-minimums/" TargetMode="External"/><Relationship Id="rId247" Type="http://schemas.openxmlformats.org/officeDocument/2006/relationships/hyperlink" Target="https://leetcode.com/problems/largest-rectangle-in-histogram/" TargetMode="External"/><Relationship Id="rId248" Type="http://schemas.openxmlformats.org/officeDocument/2006/relationships/hyperlink" Target="https://leetcode.com/problems/maximal-rectangle/" TargetMode="External"/><Relationship Id="rId249" Type="http://schemas.openxmlformats.org/officeDocument/2006/relationships/hyperlink" Target="https://leetcode.com/problems/kth-largest-element-in-an-array/" TargetMode="External"/><Relationship Id="rId250" Type="http://schemas.openxmlformats.org/officeDocument/2006/relationships/hyperlink" Target="https://www.geeksforgeeks.org/problems/kth-smallest-element5635/1" TargetMode="External"/><Relationship Id="rId251" Type="http://schemas.openxmlformats.org/officeDocument/2006/relationships/hyperlink" Target="https://leetcode.com/problems/kth-largest-element-in-a-stream/" TargetMode="External"/><Relationship Id="rId252" Type="http://schemas.openxmlformats.org/officeDocument/2006/relationships/hyperlink" Target="https://leetcode.com/problems/ugly-number-ii/" TargetMode="External"/><Relationship Id="rId253" Type="http://schemas.openxmlformats.org/officeDocument/2006/relationships/hyperlink" Target="https://leetcode.com/problems/top-k-frequent-elements/" TargetMode="External"/><Relationship Id="rId254" Type="http://schemas.openxmlformats.org/officeDocument/2006/relationships/hyperlink" Target="https://leetcode.com/problems/top-k-frequent-words/" TargetMode="External"/><Relationship Id="rId255" Type="http://schemas.openxmlformats.org/officeDocument/2006/relationships/hyperlink" Target="https://leetcode.com/problems/k-closest-points-to-origin/" TargetMode="External"/><Relationship Id="rId256" Type="http://schemas.openxmlformats.org/officeDocument/2006/relationships/hyperlink" Target="https://leetcode.com/problems/the-k-weakest-rows-in-a-matrix/" TargetMode="External"/><Relationship Id="rId257" Type="http://schemas.openxmlformats.org/officeDocument/2006/relationships/hyperlink" Target="https://leetcode.com/problems/find-k-pairs-with-smallest-sums/" TargetMode="External"/><Relationship Id="rId258" Type="http://schemas.openxmlformats.org/officeDocument/2006/relationships/hyperlink" Target="https://www.geeksforgeeks.org/problems/merge-k-sorted-arrays/1" TargetMode="External"/><Relationship Id="rId259" Type="http://schemas.openxmlformats.org/officeDocument/2006/relationships/hyperlink" Target="https://leetcode.com/problems/smallest-range-covering-elements-from-k-lists/" TargetMode="External"/><Relationship Id="rId260" Type="http://schemas.openxmlformats.org/officeDocument/2006/relationships/hyperlink" Target="https://leetcode.com/problems/last-stone-weight/" TargetMode="External"/><Relationship Id="rId261" Type="http://schemas.openxmlformats.org/officeDocument/2006/relationships/hyperlink" Target="https://www.google.com/search?q=Minimum+Cost+of+Ropes+GeeksforGeeks+practice+problem" TargetMode="External"/><Relationship Id="rId262" Type="http://schemas.openxmlformats.org/officeDocument/2006/relationships/hyperlink" Target="https://leetcode.com/problems/task-scheduler/" TargetMode="External"/><Relationship Id="rId263" Type="http://schemas.openxmlformats.org/officeDocument/2006/relationships/hyperlink" Target="https://leetcode.com/problems/reorganize-string/" TargetMode="External"/><Relationship Id="rId264" Type="http://schemas.openxmlformats.org/officeDocument/2006/relationships/hyperlink" Target="https://leetcode.com/problems/hand-of-straights/" TargetMode="External"/><Relationship Id="rId265" Type="http://schemas.openxmlformats.org/officeDocument/2006/relationships/hyperlink" Target="https://leetcode.com/problems/ipo/" TargetMode="External"/><Relationship Id="rId266" Type="http://schemas.openxmlformats.org/officeDocument/2006/relationships/hyperlink" Target="https://leetcode.com/problems/minimum-number-of-refueling-stops/" TargetMode="External"/><Relationship Id="rId267" Type="http://schemas.openxmlformats.org/officeDocument/2006/relationships/hyperlink" Target="https://leetcode.com/problems/course-schedule-iii/" TargetMode="External"/><Relationship Id="rId268" Type="http://schemas.openxmlformats.org/officeDocument/2006/relationships/hyperlink" Target="https://leetcode.com/problems/maximum-subsequence-score/" TargetMode="External"/><Relationship Id="rId269" Type="http://schemas.openxmlformats.org/officeDocument/2006/relationships/hyperlink" Target="https://leetcode.com/problems/total-cost-to-hire-k-workers/" TargetMode="External"/><Relationship Id="rId270" Type="http://schemas.openxmlformats.org/officeDocument/2006/relationships/hyperlink" Target="https://leetcode.com/problems/find-median-from-data-stream/" TargetMode="External"/><Relationship Id="rId271" Type="http://schemas.openxmlformats.org/officeDocument/2006/relationships/hyperlink" Target="https://leetcode.com/problems/sliding-window-median/" TargetMode="External"/><Relationship Id="rId272" Type="http://schemas.openxmlformats.org/officeDocument/2006/relationships/hyperlink" Target="https://leetcode.com/problems/smallest-number-in-infinite-set/" TargetMode="External"/><Relationship Id="rId273" Type="http://schemas.openxmlformats.org/officeDocument/2006/relationships/hyperlink" Target="https://leetcode.com/problems/seat-reservation-manager/" TargetMode="External"/><Relationship Id="rId274" Type="http://schemas.openxmlformats.org/officeDocument/2006/relationships/hyperlink" Target="https://leetcode.com/problems/assign-cookies/" TargetMode="External"/><Relationship Id="rId275" Type="http://schemas.openxmlformats.org/officeDocument/2006/relationships/hyperlink" Target="https://leetcode.com/problems/lemonade-change/" TargetMode="External"/><Relationship Id="rId276" Type="http://schemas.openxmlformats.org/officeDocument/2006/relationships/hyperlink" Target="https://leetcode.com/problems/jump-game/" TargetMode="External"/><Relationship Id="rId277" Type="http://schemas.openxmlformats.org/officeDocument/2006/relationships/hyperlink" Target="https://leetcode.com/problems/jump-game-ii/" TargetMode="External"/><Relationship Id="rId278" Type="http://schemas.openxmlformats.org/officeDocument/2006/relationships/hyperlink" Target="https://leetcode.com/problems/gas-station/" TargetMode="External"/><Relationship Id="rId279" Type="http://schemas.openxmlformats.org/officeDocument/2006/relationships/hyperlink" Target="https://leetcode.com/problems/candy/" TargetMode="External"/><Relationship Id="rId280" Type="http://schemas.openxmlformats.org/officeDocument/2006/relationships/hyperlink" Target="https://leetcode.com/problems/wiggle-subsequence/" TargetMode="External"/><Relationship Id="rId281" Type="http://schemas.openxmlformats.org/officeDocument/2006/relationships/hyperlink" Target="https://leetcode.com/problems/partition-labels/" TargetMode="External"/><Relationship Id="rId282" Type="http://schemas.openxmlformats.org/officeDocument/2006/relationships/hyperlink" Target="https://leetcode.com/problems/non-overlapping-intervals/" TargetMode="External"/><Relationship Id="rId283" Type="http://schemas.openxmlformats.org/officeDocument/2006/relationships/hyperlink" Target="https://leetcode.com/problems/minimum-number-of-arrows-to-burst-balloons/" TargetMode="External"/><Relationship Id="rId284" Type="http://schemas.openxmlformats.org/officeDocument/2006/relationships/hyperlink" Target="https://www.google.com/search?q=N+Meetings+in+One+Room+GeeksforGeeks+practice+problem" TargetMode="External"/><Relationship Id="rId285" Type="http://schemas.openxmlformats.org/officeDocument/2006/relationships/hyperlink" Target="https://www.google.com/search?q=Minimum+Platforms+GeeksforGeeks+practice+problem" TargetMode="External"/><Relationship Id="rId286" Type="http://schemas.openxmlformats.org/officeDocument/2006/relationships/hyperlink" Target="https://www.google.com/search?q=Job+Sequencing+Problem+GeeksforGeeks+practice+problem" TargetMode="External"/><Relationship Id="rId287" Type="http://schemas.openxmlformats.org/officeDocument/2006/relationships/hyperlink" Target="https://www.geeksforgeeks.org/problems/fractional-knapsack-1587115620/1" TargetMode="External"/><Relationship Id="rId288" Type="http://schemas.openxmlformats.org/officeDocument/2006/relationships/hyperlink" Target="https://www.google.com/search?q=Shortest+Job+First+GeeksforGeeks+practice+problem" TargetMode="External"/><Relationship Id="rId289" Type="http://schemas.openxmlformats.org/officeDocument/2006/relationships/hyperlink" Target="https://leetcode.com/problems/maximum-units-on-a-truck/" TargetMode="External"/><Relationship Id="rId290" Type="http://schemas.openxmlformats.org/officeDocument/2006/relationships/hyperlink" Target="https://leetcode.com/problems/valid-parenthesis-string/" TargetMode="External"/><Relationship Id="rId291" Type="http://schemas.openxmlformats.org/officeDocument/2006/relationships/hyperlink" Target="https://leetcode.com/problems/queue-reconstruction-by-height/" TargetMode="External"/><Relationship Id="rId292" Type="http://schemas.openxmlformats.org/officeDocument/2006/relationships/hyperlink" Target="https://leetcode.com/problems/subsets/" TargetMode="External"/><Relationship Id="rId293" Type="http://schemas.openxmlformats.org/officeDocument/2006/relationships/hyperlink" Target="https://leetcode.com/problems/subsets-ii/" TargetMode="External"/><Relationship Id="rId294" Type="http://schemas.openxmlformats.org/officeDocument/2006/relationships/hyperlink" Target="https://www.google.com/search?q=Subset+Sum+GeeksforGeeks+practice+problem" TargetMode="External"/><Relationship Id="rId295" Type="http://schemas.openxmlformats.org/officeDocument/2006/relationships/hyperlink" Target="https://leetcode.com/problems/permutations/" TargetMode="External"/><Relationship Id="rId296" Type="http://schemas.openxmlformats.org/officeDocument/2006/relationships/hyperlink" Target="https://leetcode.com/problems/permutations-ii/" TargetMode="External"/><Relationship Id="rId297" Type="http://schemas.openxmlformats.org/officeDocument/2006/relationships/hyperlink" Target="https://leetcode.com/problems/permutation-sequence/" TargetMode="External"/><Relationship Id="rId298" Type="http://schemas.openxmlformats.org/officeDocument/2006/relationships/hyperlink" Target="https://leetcode.com/problems/combinations/" TargetMode="External"/><Relationship Id="rId299" Type="http://schemas.openxmlformats.org/officeDocument/2006/relationships/hyperlink" Target="https://leetcode.com/problems/combination-sum/" TargetMode="External"/><Relationship Id="rId300" Type="http://schemas.openxmlformats.org/officeDocument/2006/relationships/hyperlink" Target="https://leetcode.com/problems/combination-sum-ii/" TargetMode="External"/><Relationship Id="rId301" Type="http://schemas.openxmlformats.org/officeDocument/2006/relationships/hyperlink" Target="https://leetcode.com/problems/combination-sum-iii/" TargetMode="External"/><Relationship Id="rId302" Type="http://schemas.openxmlformats.org/officeDocument/2006/relationships/hyperlink" Target="https://leetcode.com/problems/letter-combinations-of-a-phone-number/" TargetMode="External"/><Relationship Id="rId303" Type="http://schemas.openxmlformats.org/officeDocument/2006/relationships/hyperlink" Target="https://leetcode.com/problems/generate-parentheses/" TargetMode="External"/><Relationship Id="rId304" Type="http://schemas.openxmlformats.org/officeDocument/2006/relationships/hyperlink" Target="https://leetcode.com/problems/restore-ip-addresses/" TargetMode="External"/><Relationship Id="rId305" Type="http://schemas.openxmlformats.org/officeDocument/2006/relationships/hyperlink" Target="https://leetcode.com/problems/palindrome-partitioning/" TargetMode="External"/><Relationship Id="rId306" Type="http://schemas.openxmlformats.org/officeDocument/2006/relationships/hyperlink" Target="https://leetcode.com/problems/word-break-ii/" TargetMode="External"/><Relationship Id="rId307" Type="http://schemas.openxmlformats.org/officeDocument/2006/relationships/hyperlink" Target="https://leetcode.com/problems/word-search/" TargetMode="External"/><Relationship Id="rId308" Type="http://schemas.openxmlformats.org/officeDocument/2006/relationships/hyperlink" Target="https://www.google.com/search?q=Rat+in+a+Maze+Problem+GeeksforGeeks+practice+problem" TargetMode="External"/><Relationship Id="rId309" Type="http://schemas.openxmlformats.org/officeDocument/2006/relationships/hyperlink" Target="https://leetcode.com/problems/n-queens/" TargetMode="External"/><Relationship Id="rId310" Type="http://schemas.openxmlformats.org/officeDocument/2006/relationships/hyperlink" Target="https://leetcode.com/problems/n-queens-ii/" TargetMode="External"/><Relationship Id="rId311" Type="http://schemas.openxmlformats.org/officeDocument/2006/relationships/hyperlink" Target="https://leetcode.com/problems/sudoku-solver/" TargetMode="External"/><Relationship Id="rId312" Type="http://schemas.openxmlformats.org/officeDocument/2006/relationships/hyperlink" Target="https://leetcode.com/problems/partition-to-k-equal-sum-subsets/" TargetMode="External"/><Relationship Id="rId313" Type="http://schemas.openxmlformats.org/officeDocument/2006/relationships/hyperlink" Target="https://leetcode.com/problems/matchsticks-to-square/" TargetMode="External"/><Relationship Id="rId314" Type="http://schemas.openxmlformats.org/officeDocument/2006/relationships/hyperlink" Target="https://www.google.com/search?q=M-Coloring+Problem+GeeksforGeeks+practice+problem" TargetMode="External"/><Relationship Id="rId315" Type="http://schemas.openxmlformats.org/officeDocument/2006/relationships/hyperlink" Target="https://leetcode.com/problems/expression-add-operators/" TargetMode="External"/><Relationship Id="rId316" Type="http://schemas.openxmlformats.org/officeDocument/2006/relationships/hyperlink" Target="https://leetcode.com/problems/beautiful-arrangement/" TargetMode="External"/><Relationship Id="rId317" Type="http://schemas.openxmlformats.org/officeDocument/2006/relationships/hyperlink" Target="https://leetcode.com/problems/binary-tree-inorder-traversal/" TargetMode="External"/><Relationship Id="rId318" Type="http://schemas.openxmlformats.org/officeDocument/2006/relationships/hyperlink" Target="https://leetcode.com/problems/binary-tree-preorder-traversal/" TargetMode="External"/><Relationship Id="rId319" Type="http://schemas.openxmlformats.org/officeDocument/2006/relationships/hyperlink" Target="https://leetcode.com/problems/binary-tree-postorder-traversal/" TargetMode="External"/><Relationship Id="rId320" Type="http://schemas.openxmlformats.org/officeDocument/2006/relationships/hyperlink" Target="https://www.google.com/search?q=Morris+Inorder+Traversal+GeeksforGeeks+practice+problem" TargetMode="External"/><Relationship Id="rId321" Type="http://schemas.openxmlformats.org/officeDocument/2006/relationships/hyperlink" Target="https://leetcode.com/problems/binary-tree-level-order-traversal/" TargetMode="External"/><Relationship Id="rId322" Type="http://schemas.openxmlformats.org/officeDocument/2006/relationships/hyperlink" Target="https://leetcode.com/problems/binary-tree-level-order-traversal-ii/" TargetMode="External"/><Relationship Id="rId323" Type="http://schemas.openxmlformats.org/officeDocument/2006/relationships/hyperlink" Target="https://leetcode.com/problems/binary-tree-zigzag-level-order-traversal/" TargetMode="External"/><Relationship Id="rId324" Type="http://schemas.openxmlformats.org/officeDocument/2006/relationships/hyperlink" Target="https://leetcode.com/problems/average-of-levels-in-binary-tree/" TargetMode="External"/><Relationship Id="rId325" Type="http://schemas.openxmlformats.org/officeDocument/2006/relationships/hyperlink" Target="https://leetcode.com/problems/n-ary-tree-level-order-traversal/" TargetMode="External"/><Relationship Id="rId326" Type="http://schemas.openxmlformats.org/officeDocument/2006/relationships/hyperlink" Target="https://leetcode.com/problems/binary-tree-right-side-view/" TargetMode="External"/><Relationship Id="rId327" Type="http://schemas.openxmlformats.org/officeDocument/2006/relationships/hyperlink" Target="https://leetcode.com/problems/vertical-order-traversal-of-a-binary-tree/" TargetMode="External"/><Relationship Id="rId328" Type="http://schemas.openxmlformats.org/officeDocument/2006/relationships/hyperlink" Target="https://www.google.com/search?q=Top+View+of+Binary+Tree+GeeksforGeeks+practice+problem" TargetMode="External"/><Relationship Id="rId329" Type="http://schemas.openxmlformats.org/officeDocument/2006/relationships/hyperlink" Target="https://www.google.com/search?q=Bottom+View+of+Binary+Tree+GeeksforGeeks+practice+problem" TargetMode="External"/><Relationship Id="rId330" Type="http://schemas.openxmlformats.org/officeDocument/2006/relationships/hyperlink" Target="https://www.google.com/search?q=Boundary+Traversal+of+Binary+Tree+GeeksforGeeks+practice+problem" TargetMode="External"/><Relationship Id="rId331" Type="http://schemas.openxmlformats.org/officeDocument/2006/relationships/hyperlink" Target="https://leetcode.com/problems/maximum-depth-of-binary-tree/" TargetMode="External"/><Relationship Id="rId332" Type="http://schemas.openxmlformats.org/officeDocument/2006/relationships/hyperlink" Target="https://leetcode.com/problems/minimum-depth-of-binary-tree/" TargetMode="External"/><Relationship Id="rId333" Type="http://schemas.openxmlformats.org/officeDocument/2006/relationships/hyperlink" Target="https://leetcode.com/problems/balanced-binary-tree/" TargetMode="External"/><Relationship Id="rId334" Type="http://schemas.openxmlformats.org/officeDocument/2006/relationships/hyperlink" Target="https://leetcode.com/problems/diameter-of-binary-tree/" TargetMode="External"/><Relationship Id="rId335" Type="http://schemas.openxmlformats.org/officeDocument/2006/relationships/hyperlink" Target="https://leetcode.com/problems/same-tree/" TargetMode="External"/><Relationship Id="rId336" Type="http://schemas.openxmlformats.org/officeDocument/2006/relationships/hyperlink" Target="https://leetcode.com/problems/symmetric-tree/" TargetMode="External"/><Relationship Id="rId337" Type="http://schemas.openxmlformats.org/officeDocument/2006/relationships/hyperlink" Target="https://leetcode.com/problems/invert-binary-tree/" TargetMode="External"/><Relationship Id="rId338" Type="http://schemas.openxmlformats.org/officeDocument/2006/relationships/hyperlink" Target="https://leetcode.com/problems/subtree-of-another-tree/" TargetMode="External"/><Relationship Id="rId339" Type="http://schemas.openxmlformats.org/officeDocument/2006/relationships/hyperlink" Target="https://leetcode.com/problems/flip-equivalent-binary-trees/" TargetMode="External"/><Relationship Id="rId340" Type="http://schemas.openxmlformats.org/officeDocument/2006/relationships/hyperlink" Target="https://leetcode.com/problems/check-completeness-of-a-binary-tree/" TargetMode="External"/><Relationship Id="rId341" Type="http://schemas.openxmlformats.org/officeDocument/2006/relationships/hyperlink" Target="https://leetcode.com/problems/count-complete-tree-nodes/" TargetMode="External"/><Relationship Id="rId342" Type="http://schemas.openxmlformats.org/officeDocument/2006/relationships/hyperlink" Target="https://leetcode.com/problems/path-sum/" TargetMode="External"/><Relationship Id="rId343" Type="http://schemas.openxmlformats.org/officeDocument/2006/relationships/hyperlink" Target="https://leetcode.com/problems/path-sum-ii/" TargetMode="External"/><Relationship Id="rId344" Type="http://schemas.openxmlformats.org/officeDocument/2006/relationships/hyperlink" Target="https://leetcode.com/problems/path-sum-iii/" TargetMode="External"/><Relationship Id="rId345" Type="http://schemas.openxmlformats.org/officeDocument/2006/relationships/hyperlink" Target="https://leetcode.com/problems/sum-root-to-leaf-numbers/" TargetMode="External"/><Relationship Id="rId346" Type="http://schemas.openxmlformats.org/officeDocument/2006/relationships/hyperlink" Target="https://leetcode.com/problems/binary-tree-paths/" TargetMode="External"/><Relationship Id="rId347" Type="http://schemas.openxmlformats.org/officeDocument/2006/relationships/hyperlink" Target="https://leetcode.com/problems/binary-tree-maximum-path-sum/" TargetMode="External"/><Relationship Id="rId348" Type="http://schemas.openxmlformats.org/officeDocument/2006/relationships/hyperlink" Target="https://leetcode.com/problems/all-nodes-distance-k-in-binary-tree/" TargetMode="External"/><Relationship Id="rId349" Type="http://schemas.openxmlformats.org/officeDocument/2006/relationships/hyperlink" Target="https://leetcode.com/problems/amount-of-time-for-binary-tree-to-be-infected/" TargetMode="External"/><Relationship Id="rId350" Type="http://schemas.openxmlformats.org/officeDocument/2006/relationships/hyperlink" Target="https://leetcode.com/problems/lowest-common-ancestor-of-a-binary-tree/" TargetMode="External"/><Relationship Id="rId351" Type="http://schemas.openxmlformats.org/officeDocument/2006/relationships/hyperlink" Target="https://leetcode.com/problems/lowest-common-ancestor-of-a-binary-search-tree/" TargetMode="External"/><Relationship Id="rId352" Type="http://schemas.openxmlformats.org/officeDocument/2006/relationships/hyperlink" Target="https://leetcode.com/problems/lowest-common-ancestor-of-deepest-leaves/" TargetMode="External"/><Relationship Id="rId353" Type="http://schemas.openxmlformats.org/officeDocument/2006/relationships/hyperlink" Target="https://leetcode.com/problems/construct-binary-tree-from-preorder-and-inorder-traversal/" TargetMode="External"/><Relationship Id="rId354" Type="http://schemas.openxmlformats.org/officeDocument/2006/relationships/hyperlink" Target="https://leetcode.com/problems/construct-binary-tree-from-inorder-and-postorder-traversal/" TargetMode="External"/><Relationship Id="rId355" Type="http://schemas.openxmlformats.org/officeDocument/2006/relationships/hyperlink" Target="https://leetcode.com/problems/convert-sorted-array-to-binary-search-tree/" TargetMode="External"/><Relationship Id="rId356" Type="http://schemas.openxmlformats.org/officeDocument/2006/relationships/hyperlink" Target="https://leetcode.com/problems/flatten-binary-tree-to-linked-list/" TargetMode="External"/><Relationship Id="rId357" Type="http://schemas.openxmlformats.org/officeDocument/2006/relationships/hyperlink" Target="https://leetcode.com/problems/serialize-and-deserialize-binary-tree/" TargetMode="External"/><Relationship Id="rId358" Type="http://schemas.openxmlformats.org/officeDocument/2006/relationships/hyperlink" Target="https://leetcode.com/problems/search-in-a-binary-search-tree/" TargetMode="External"/><Relationship Id="rId359" Type="http://schemas.openxmlformats.org/officeDocument/2006/relationships/hyperlink" Target="https://leetcode.com/problems/insert-into-a-binary-search-tree/" TargetMode="External"/><Relationship Id="rId360" Type="http://schemas.openxmlformats.org/officeDocument/2006/relationships/hyperlink" Target="https://leetcode.com/problems/delete-node-in-a-bst/" TargetMode="External"/><Relationship Id="rId361" Type="http://schemas.openxmlformats.org/officeDocument/2006/relationships/hyperlink" Target="https://leetcode.com/problems/range-sum-of-bst/" TargetMode="External"/><Relationship Id="rId362" Type="http://schemas.openxmlformats.org/officeDocument/2006/relationships/hyperlink" Target="https://leetcode.com/problems/validate-binary-search-tree/" TargetMode="External"/><Relationship Id="rId363" Type="http://schemas.openxmlformats.org/officeDocument/2006/relationships/hyperlink" Target="https://leetcode.com/problems/kth-smallest-element-in-a-bst/" TargetMode="External"/><Relationship Id="rId364" Type="http://schemas.openxmlformats.org/officeDocument/2006/relationships/hyperlink" Target="https://leetcode.com/problems/two-sum-iv-input-is-a-bst/" TargetMode="External"/><Relationship Id="rId365" Type="http://schemas.openxmlformats.org/officeDocument/2006/relationships/hyperlink" Target="https://leetcode.com/problems/recover-binary-search-tree/" TargetMode="External"/><Relationship Id="rId366" Type="http://schemas.openxmlformats.org/officeDocument/2006/relationships/hyperlink" Target="https://leetcode.com/problems/binary-search-tree-iterator/" TargetMode="External"/><Relationship Id="rId367" Type="http://schemas.openxmlformats.org/officeDocument/2006/relationships/hyperlink" Target="https://www.google.com/search?q=Inorder+Successor+in+BST+GeeksforGeeks+practice+problem" TargetMode="External"/><Relationship Id="rId368" Type="http://schemas.openxmlformats.org/officeDocument/2006/relationships/hyperlink" Target="https://www.google.com/search?q=Largest+BST+in+a+Binary+Tree+GeeksforGeeks+practice+problem" TargetMode="External"/><Relationship Id="rId369" Type="http://schemas.openxmlformats.org/officeDocument/2006/relationships/hyperlink" Target="https://leetcode.com/problems/implement-trie-prefix-tree/" TargetMode="External"/><Relationship Id="rId370" Type="http://schemas.openxmlformats.org/officeDocument/2006/relationships/hyperlink" Target="https://leetcode.com/problems/design-add-and-search-words-data-structure/" TargetMode="External"/><Relationship Id="rId371" Type="http://schemas.openxmlformats.org/officeDocument/2006/relationships/hyperlink" Target="https://leetcode.com/problems/map-sum-pairs/" TargetMode="External"/><Relationship Id="rId372" Type="http://schemas.openxmlformats.org/officeDocument/2006/relationships/hyperlink" Target="https://www.google.com/search?q=Implement+Trie+II+%28count+prefixes%29+GeeksforGeeks+practice+problem" TargetMode="External"/><Relationship Id="rId373" Type="http://schemas.openxmlformats.org/officeDocument/2006/relationships/hyperlink" Target="https://leetcode.com/problems/replace-words/" TargetMode="External"/><Relationship Id="rId374" Type="http://schemas.openxmlformats.org/officeDocument/2006/relationships/hyperlink" Target="https://leetcode.com/problems/longest-word-in-dictionary/" TargetMode="External"/><Relationship Id="rId375" Type="http://schemas.openxmlformats.org/officeDocument/2006/relationships/hyperlink" Target="https://leetcode.com/problems/search-suggestions-system/" TargetMode="External"/><Relationship Id="rId376" Type="http://schemas.openxmlformats.org/officeDocument/2006/relationships/hyperlink" Target="https://leetcode.com/problems/word-search-ii/" TargetMode="External"/><Relationship Id="rId377" Type="http://schemas.openxmlformats.org/officeDocument/2006/relationships/hyperlink" Target="https://leetcode.com/problems/maximum-xor-of-two-numbers-in-an-array/" TargetMode="External"/><Relationship Id="rId378" Type="http://schemas.openxmlformats.org/officeDocument/2006/relationships/hyperlink" Target="https://www.google.com/search?q=Count+Distinct+Substrings+using+Trie+GeeksforGeeks+practice+problem" TargetMode="External"/><Relationship Id="rId379" Type="http://schemas.openxmlformats.org/officeDocument/2006/relationships/hyperlink" Target="https://www.geeksforgeeks.org/problems/print-adjacency-list-1587115620/1" TargetMode="External"/><Relationship Id="rId380" Type="http://schemas.openxmlformats.org/officeDocument/2006/relationships/hyperlink" Target="https://www.geeksforgeeks.org/problems/depth-first-traversal-for-a-graph/1" TargetMode="External"/><Relationship Id="rId381" Type="http://schemas.openxmlformats.org/officeDocument/2006/relationships/hyperlink" Target="https://www.geeksforgeeks.org/problems/bfs-traversal-of-graph/1" TargetMode="External"/><Relationship Id="rId382" Type="http://schemas.openxmlformats.org/officeDocument/2006/relationships/hyperlink" Target="https://leetcode.com/problems/clone-graph/" TargetMode="External"/><Relationship Id="rId383" Type="http://schemas.openxmlformats.org/officeDocument/2006/relationships/hyperlink" Target="https://leetcode.com/problems/number-of-islands/" TargetMode="External"/><Relationship Id="rId384" Type="http://schemas.openxmlformats.org/officeDocument/2006/relationships/hyperlink" Target="https://leetcode.com/problems/max-area-of-island/" TargetMode="External"/><Relationship Id="rId385" Type="http://schemas.openxmlformats.org/officeDocument/2006/relationships/hyperlink" Target="https://leetcode.com/problems/flood-fill/" TargetMode="External"/><Relationship Id="rId386" Type="http://schemas.openxmlformats.org/officeDocument/2006/relationships/hyperlink" Target="https://leetcode.com/problems/surrounded-regions/" TargetMode="External"/><Relationship Id="rId387" Type="http://schemas.openxmlformats.org/officeDocument/2006/relationships/hyperlink" Target="https://leetcode.com/problems/number-of-enclaves/" TargetMode="External"/><Relationship Id="rId388" Type="http://schemas.openxmlformats.org/officeDocument/2006/relationships/hyperlink" Target="https://www.google.com/search?q=Number+of+Distinct+Islands+GeeksforGeeks+practice+problem" TargetMode="External"/><Relationship Id="rId389" Type="http://schemas.openxmlformats.org/officeDocument/2006/relationships/hyperlink" Target="https://leetcode.com/problems/pacific-atlantic-water-flow/" TargetMode="External"/><Relationship Id="rId390" Type="http://schemas.openxmlformats.org/officeDocument/2006/relationships/hyperlink" Target="https://leetcode.com/problems/rotting-oranges/" TargetMode="External"/><Relationship Id="rId391" Type="http://schemas.openxmlformats.org/officeDocument/2006/relationships/hyperlink" Target="https://leetcode.com/problems/01-matrix/" TargetMode="External"/><Relationship Id="rId392" Type="http://schemas.openxmlformats.org/officeDocument/2006/relationships/hyperlink" Target="https://leetcode.com/problems/shortest-path-in-binary-matrix/" TargetMode="External"/><Relationship Id="rId393" Type="http://schemas.openxmlformats.org/officeDocument/2006/relationships/hyperlink" Target="https://www.geeksforgeeks.org/problems/shortest-path-in-undirected-graph-having-unit-distance/1" TargetMode="External"/><Relationship Id="rId394" Type="http://schemas.openxmlformats.org/officeDocument/2006/relationships/hyperlink" Target="https://leetcode.com/problems/word-ladder/" TargetMode="External"/><Relationship Id="rId395" Type="http://schemas.openxmlformats.org/officeDocument/2006/relationships/hyperlink" Target="https://leetcode.com/problems/word-ladder-ii/" TargetMode="External"/><Relationship Id="rId396" Type="http://schemas.openxmlformats.org/officeDocument/2006/relationships/hyperlink" Target="https://www.google.com/search?q=Minimum+Multiplications+to+Reach+End+GeeksforGeeks+practice+problem" TargetMode="External"/><Relationship Id="rId397" Type="http://schemas.openxmlformats.org/officeDocument/2006/relationships/hyperlink" Target="https://leetcode.com/problems/number-of-provinces/" TargetMode="External"/><Relationship Id="rId398" Type="http://schemas.openxmlformats.org/officeDocument/2006/relationships/hyperlink" Target="https://www.geeksforgeeks.org/problems/detect-cycle-in-an-undirected-graph/1" TargetMode="External"/><Relationship Id="rId399" Type="http://schemas.openxmlformats.org/officeDocument/2006/relationships/hyperlink" Target="https://www.geeksforgeeks.org/problems/detect-cycle-in-a-directed-graph/1" TargetMode="External"/><Relationship Id="rId400" Type="http://schemas.openxmlformats.org/officeDocument/2006/relationships/hyperlink" Target="https://leetcode.com/problems/find-eventual-safe-states/" TargetMode="External"/><Relationship Id="rId401" Type="http://schemas.openxmlformats.org/officeDocument/2006/relationships/hyperlink" Target="https://leetcode.com/problems/is-graph-bipartite/" TargetMode="External"/><Relationship Id="rId402" Type="http://schemas.openxmlformats.org/officeDocument/2006/relationships/hyperlink" Target="https://www.geeksforgeeks.org/problems/topological-sort/1" TargetMode="External"/><Relationship Id="rId403" Type="http://schemas.openxmlformats.org/officeDocument/2006/relationships/hyperlink" Target="https://leetcode.com/problems/course-schedule/" TargetMode="External"/><Relationship Id="rId404" Type="http://schemas.openxmlformats.org/officeDocument/2006/relationships/hyperlink" Target="https://leetcode.com/problems/course-schedule-ii/" TargetMode="External"/><Relationship Id="rId405" Type="http://schemas.openxmlformats.org/officeDocument/2006/relationships/hyperlink" Target="https://www.google.com/search?q=Alien+Dictionary+GeeksforGeeks+practice+problem" TargetMode="External"/><Relationship Id="rId406" Type="http://schemas.openxmlformats.org/officeDocument/2006/relationships/hyperlink" Target="https://leetcode.com/problems/minimum-height-trees/" TargetMode="External"/><Relationship Id="rId407" Type="http://schemas.openxmlformats.org/officeDocument/2006/relationships/hyperlink" Target="https://www.google.com/search?q=Parallel+Courses+GeeksforGeeks+practice+problem" TargetMode="External"/><Relationship Id="rId408" Type="http://schemas.openxmlformats.org/officeDocument/2006/relationships/hyperlink" Target="https://www.geeksforgeeks.org/problems/implementing-dijkstra-set-1-adjacency-matrix/1" TargetMode="External"/><Relationship Id="rId409" Type="http://schemas.openxmlformats.org/officeDocument/2006/relationships/hyperlink" Target="https://leetcode.com/problems/network-delay-time/" TargetMode="External"/><Relationship Id="rId410" Type="http://schemas.openxmlformats.org/officeDocument/2006/relationships/hyperlink" Target="https://leetcode.com/problems/path-with-minimum-effort/" TargetMode="External"/><Relationship Id="rId411" Type="http://schemas.openxmlformats.org/officeDocument/2006/relationships/hyperlink" Target="https://leetcode.com/problems/swim-in-rising-water/" TargetMode="External"/><Relationship Id="rId412" Type="http://schemas.openxmlformats.org/officeDocument/2006/relationships/hyperlink" Target="https://leetcode.com/problems/path-with-maximum-probability/" TargetMode="External"/><Relationship Id="rId413" Type="http://schemas.openxmlformats.org/officeDocument/2006/relationships/hyperlink" Target="https://leetcode.com/problems/number-of-ways-to-arrive-at-destination/" TargetMode="External"/><Relationship Id="rId414" Type="http://schemas.openxmlformats.org/officeDocument/2006/relationships/hyperlink" Target="https://www.geeksforgeeks.org/problems/distance-from-the-source-bellman-ford-algorithm/1" TargetMode="External"/><Relationship Id="rId415" Type="http://schemas.openxmlformats.org/officeDocument/2006/relationships/hyperlink" Target="https://leetcode.com/problems/cheapest-flights-within-k-stops/" TargetMode="External"/><Relationship Id="rId416" Type="http://schemas.openxmlformats.org/officeDocument/2006/relationships/hyperlink" Target="https://www.google.com/search?q=Floyd+Warshall+Algorithm+GeeksforGeeks+practice+problem" TargetMode="External"/><Relationship Id="rId417" Type="http://schemas.openxmlformats.org/officeDocument/2006/relationships/hyperlink" Target="https://leetcode.com/problems/find-the-city-with-the-smallest-number-of-neighbors-at-a-threshold-distance/" TargetMode="External"/><Relationship Id="rId418" Type="http://schemas.openxmlformats.org/officeDocument/2006/relationships/hyperlink" Target="https://www.geeksforgeeks.org/problems/minimum-spanning-tree/1" TargetMode="External"/><Relationship Id="rId419" Type="http://schemas.openxmlformats.org/officeDocument/2006/relationships/hyperlink" Target="https://www.google.com/search?q=Kruskal%27s+Algorithm+GeeksforGeeks+practice+problem" TargetMode="External"/><Relationship Id="rId420" Type="http://schemas.openxmlformats.org/officeDocument/2006/relationships/hyperlink" Target="https://leetcode.com/problems/min-cost-to-connect-all-points/" TargetMode="External"/><Relationship Id="rId421" Type="http://schemas.openxmlformats.org/officeDocument/2006/relationships/hyperlink" Target="https://www.google.com/search?q=Disjoint+Set+%28Union+by+Rank+%26+Path+Compression%29+GeeksforGeeks+practice+problem" TargetMode="External"/><Relationship Id="rId422" Type="http://schemas.openxmlformats.org/officeDocument/2006/relationships/hyperlink" Target="https://leetcode.com/problems/redundant-connection/" TargetMode="External"/><Relationship Id="rId423" Type="http://schemas.openxmlformats.org/officeDocument/2006/relationships/hyperlink" Target="https://leetcode.com/problems/number-of-operations-to-make-network-connected/" TargetMode="External"/><Relationship Id="rId424" Type="http://schemas.openxmlformats.org/officeDocument/2006/relationships/hyperlink" Target="https://leetcode.com/problems/accounts-merge/" TargetMode="External"/><Relationship Id="rId425" Type="http://schemas.openxmlformats.org/officeDocument/2006/relationships/hyperlink" Target="https://leetcode.com/problems/most-stones-removed-with-same-row-or-column/" TargetMode="External"/><Relationship Id="rId426" Type="http://schemas.openxmlformats.org/officeDocument/2006/relationships/hyperlink" Target="https://leetcode.com/problems/satisfiability-of-equality-equations/" TargetMode="External"/><Relationship Id="rId427" Type="http://schemas.openxmlformats.org/officeDocument/2006/relationships/hyperlink" Target="https://leetcode.com/problems/making-a-large-island/" TargetMode="External"/><Relationship Id="rId428" Type="http://schemas.openxmlformats.org/officeDocument/2006/relationships/hyperlink" Target="https://www.google.com/search?q=Number+of+Islands+II+GeeksforGeeks+practice+problem" TargetMode="External"/><Relationship Id="rId429" Type="http://schemas.openxmlformats.org/officeDocument/2006/relationships/hyperlink" Target="https://leetcode.com/problems/critical-connections-in-a-network/" TargetMode="External"/><Relationship Id="rId430" Type="http://schemas.openxmlformats.org/officeDocument/2006/relationships/hyperlink" Target="https://www.google.com/search?q=Articulation+Point+in+a+Graph+GeeksforGeeks+practice+problem" TargetMode="External"/><Relationship Id="rId431" Type="http://schemas.openxmlformats.org/officeDocument/2006/relationships/hyperlink" Target="https://www.google.com/search?q=Strongly+Connected+Components+%28Kosaraju%29+GeeksforGeeks+practice+problem" TargetMode="External"/><Relationship Id="rId432" Type="http://schemas.openxmlformats.org/officeDocument/2006/relationships/hyperlink" Target="https://leetcode.com/problems/reconstruct-itinerary/" TargetMode="External"/><Relationship Id="rId433" Type="http://schemas.openxmlformats.org/officeDocument/2006/relationships/hyperlink" Target="https://www.google.com/search?q=Graph+Valid+Tree+GeeksforGeeks+practice+problem" TargetMode="External"/><Relationship Id="rId434" Type="http://schemas.openxmlformats.org/officeDocument/2006/relationships/hyperlink" Target="https://leetcode.com/problems/evaluate-division/" TargetMode="External"/><Relationship Id="rId435" Type="http://schemas.openxmlformats.org/officeDocument/2006/relationships/hyperlink" Target="https://leetcode.com/problems/climbing-stairs/" TargetMode="External"/><Relationship Id="rId436" Type="http://schemas.openxmlformats.org/officeDocument/2006/relationships/hyperlink" Target="https://leetcode.com/problems/min-cost-climbing-stairs/" TargetMode="External"/><Relationship Id="rId437" Type="http://schemas.openxmlformats.org/officeDocument/2006/relationships/hyperlink" Target="https://www.google.com/search?q=Frog+Jump+GeeksforGeeks+practice+problem" TargetMode="External"/><Relationship Id="rId438" Type="http://schemas.openxmlformats.org/officeDocument/2006/relationships/hyperlink" Target="https://leetcode.com/problems/house-robber/" TargetMode="External"/><Relationship Id="rId439" Type="http://schemas.openxmlformats.org/officeDocument/2006/relationships/hyperlink" Target="https://leetcode.com/problems/house-robber-ii/" TargetMode="External"/><Relationship Id="rId440" Type="http://schemas.openxmlformats.org/officeDocument/2006/relationships/hyperlink" Target="https://www.google.com/search?q=Maximum+Sum+of+Non-Adjacent+Elements+GeeksforGeeks+practice+problem" TargetMode="External"/><Relationship Id="rId441" Type="http://schemas.openxmlformats.org/officeDocument/2006/relationships/hyperlink" Target="https://leetcode.com/problems/decode-ways/" TargetMode="External"/><Relationship Id="rId442" Type="http://schemas.openxmlformats.org/officeDocument/2006/relationships/hyperlink" Target="https://leetcode.com/problems/delete-and-earn/" TargetMode="External"/><Relationship Id="rId443" Type="http://schemas.openxmlformats.org/officeDocument/2006/relationships/hyperlink" Target="https://leetcode.com/problems/word-break/" TargetMode="External"/><Relationship Id="rId444" Type="http://schemas.openxmlformats.org/officeDocument/2006/relationships/hyperlink" Target="https://leetcode.com/problems/unique-paths/" TargetMode="External"/><Relationship Id="rId445" Type="http://schemas.openxmlformats.org/officeDocument/2006/relationships/hyperlink" Target="https://leetcode.com/problems/unique-paths-ii/" TargetMode="External"/><Relationship Id="rId446" Type="http://schemas.openxmlformats.org/officeDocument/2006/relationships/hyperlink" Target="https://leetcode.com/problems/minimum-path-sum/" TargetMode="External"/><Relationship Id="rId447" Type="http://schemas.openxmlformats.org/officeDocument/2006/relationships/hyperlink" Target="https://leetcode.com/problems/triangle/" TargetMode="External"/><Relationship Id="rId448" Type="http://schemas.openxmlformats.org/officeDocument/2006/relationships/hyperlink" Target="https://leetcode.com/problems/minimum-falling-path-sum/" TargetMode="External"/><Relationship Id="rId449" Type="http://schemas.openxmlformats.org/officeDocument/2006/relationships/hyperlink" Target="https://leetcode.com/problems/cherry-pickup-ii/" TargetMode="External"/><Relationship Id="rId450" Type="http://schemas.openxmlformats.org/officeDocument/2006/relationships/hyperlink" Target="https://leetcode.com/problems/dungeon-game/" TargetMode="External"/><Relationship Id="rId451" Type="http://schemas.openxmlformats.org/officeDocument/2006/relationships/hyperlink" Target="https://leetcode.com/problems/longest-increasing-path-in-a-matrix/" TargetMode="External"/><Relationship Id="rId452" Type="http://schemas.openxmlformats.org/officeDocument/2006/relationships/hyperlink" Target="https://www.geeksforgeeks.org/problems/0-1-knapsack-problem0945/1" TargetMode="External"/><Relationship Id="rId453" Type="http://schemas.openxmlformats.org/officeDocument/2006/relationships/hyperlink" Target="https://www.geeksforgeeks.org/problems/subset-sum-problem-1611555638/1" TargetMode="External"/><Relationship Id="rId454" Type="http://schemas.openxmlformats.org/officeDocument/2006/relationships/hyperlink" Target="https://leetcode.com/problems/partition-equal-subset-sum/" TargetMode="External"/><Relationship Id="rId455" Type="http://schemas.openxmlformats.org/officeDocument/2006/relationships/hyperlink" Target="https://leetcode.com/problems/target-sum/" TargetMode="External"/><Relationship Id="rId456" Type="http://schemas.openxmlformats.org/officeDocument/2006/relationships/hyperlink" Target="https://www.google.com/search?q=Count+Subsets+with+Sum+K+GeeksforGeeks+practice+problem" TargetMode="External"/><Relationship Id="rId457" Type="http://schemas.openxmlformats.org/officeDocument/2006/relationships/hyperlink" Target="https://www.google.com/search?q=Minimum+Subset+Sum+Difference+GeeksforGeeks+practice+problem" TargetMode="External"/><Relationship Id="rId458" Type="http://schemas.openxmlformats.org/officeDocument/2006/relationships/hyperlink" Target="https://leetcode.com/problems/ones-and-zeroes/" TargetMode="External"/><Relationship Id="rId459" Type="http://schemas.openxmlformats.org/officeDocument/2006/relationships/hyperlink" Target="https://www.google.com/search?q=Unbounded+Knapsack+GeeksforGeeks+practice+problem" TargetMode="External"/><Relationship Id="rId460" Type="http://schemas.openxmlformats.org/officeDocument/2006/relationships/hyperlink" Target="https://www.google.com/search?q=Rod+Cutting+GeeksforGeeks+practice+problem" TargetMode="External"/><Relationship Id="rId461" Type="http://schemas.openxmlformats.org/officeDocument/2006/relationships/hyperlink" Target="https://leetcode.com/problems/coin-change/" TargetMode="External"/><Relationship Id="rId462" Type="http://schemas.openxmlformats.org/officeDocument/2006/relationships/hyperlink" Target="https://leetcode.com/problems/coin-change-ii/" TargetMode="External"/><Relationship Id="rId463" Type="http://schemas.openxmlformats.org/officeDocument/2006/relationships/hyperlink" Target="https://leetcode.com/problems/combination-sum-iv/" TargetMode="External"/><Relationship Id="rId464" Type="http://schemas.openxmlformats.org/officeDocument/2006/relationships/hyperlink" Target="https://leetcode.com/problems/perfect-squares/" TargetMode="External"/><Relationship Id="rId465" Type="http://schemas.openxmlformats.org/officeDocument/2006/relationships/hyperlink" Target="https://leetcode.com/problems/longest-increasing-subsequence/" TargetMode="External"/><Relationship Id="rId466" Type="http://schemas.openxmlformats.org/officeDocument/2006/relationships/hyperlink" Target="https://leetcode.com/problems/number-of-longest-increasing-subsequence/" TargetMode="External"/><Relationship Id="rId467" Type="http://schemas.openxmlformats.org/officeDocument/2006/relationships/hyperlink" Target="https://leetcode.com/problems/largest-divisible-subset/" TargetMode="External"/><Relationship Id="rId468" Type="http://schemas.openxmlformats.org/officeDocument/2006/relationships/hyperlink" Target="https://leetcode.com/problems/longest-string-chain/" TargetMode="External"/><Relationship Id="rId469" Type="http://schemas.openxmlformats.org/officeDocument/2006/relationships/hyperlink" Target="https://leetcode.com/problems/russian-doll-envelopes/" TargetMode="External"/><Relationship Id="rId470" Type="http://schemas.openxmlformats.org/officeDocument/2006/relationships/hyperlink" Target="https://www.google.com/search?q=Maximum+Sum+Increasing+Subsequence+GeeksforGeeks+practice+problem" TargetMode="External"/><Relationship Id="rId471" Type="http://schemas.openxmlformats.org/officeDocument/2006/relationships/hyperlink" Target="https://www.google.com/search?q=Longest+Bitonic+Subsequence+GeeksforGeeks+practice+problem" TargetMode="External"/><Relationship Id="rId472" Type="http://schemas.openxmlformats.org/officeDocument/2006/relationships/hyperlink" Target="https://leetcode.com/problems/longest-common-subsequence/" TargetMode="External"/><Relationship Id="rId473" Type="http://schemas.openxmlformats.org/officeDocument/2006/relationships/hyperlink" Target="https://www.google.com/search?q=Longest+Common+Substring+GeeksforGeeks+practice+problem" TargetMode="External"/><Relationship Id="rId474" Type="http://schemas.openxmlformats.org/officeDocument/2006/relationships/hyperlink" Target="https://leetcode.com/problems/shortest-common-supersequence/" TargetMode="External"/><Relationship Id="rId475" Type="http://schemas.openxmlformats.org/officeDocument/2006/relationships/hyperlink" Target="https://leetcode.com/problems/delete-operation-for-two-strings/" TargetMode="External"/><Relationship Id="rId476" Type="http://schemas.openxmlformats.org/officeDocument/2006/relationships/hyperlink" Target="https://leetcode.com/problems/edit-distance/" TargetMode="External"/><Relationship Id="rId477" Type="http://schemas.openxmlformats.org/officeDocument/2006/relationships/hyperlink" Target="https://leetcode.com/problems/distinct-subsequences/" TargetMode="External"/><Relationship Id="rId478" Type="http://schemas.openxmlformats.org/officeDocument/2006/relationships/hyperlink" Target="https://leetcode.com/problems/wildcard-matching/" TargetMode="External"/><Relationship Id="rId479" Type="http://schemas.openxmlformats.org/officeDocument/2006/relationships/hyperlink" Target="https://leetcode.com/problems/regular-expression-matching/" TargetMode="External"/><Relationship Id="rId480" Type="http://schemas.openxmlformats.org/officeDocument/2006/relationships/hyperlink" Target="https://leetcode.com/problems/interleaving-string/" TargetMode="External"/><Relationship Id="rId481" Type="http://schemas.openxmlformats.org/officeDocument/2006/relationships/hyperlink" Target="https://leetcode.com/problems/longest-palindromic-subsequence/" TargetMode="External"/><Relationship Id="rId482" Type="http://schemas.openxmlformats.org/officeDocument/2006/relationships/hyperlink" Target="https://leetcode.com/problems/minimum-insertion-steps-to-make-a-string-palindrome/" TargetMode="External"/><Relationship Id="rId483" Type="http://schemas.openxmlformats.org/officeDocument/2006/relationships/hyperlink" Target="https://leetcode.com/problems/best-time-to-buy-and-sell-stock-ii/" TargetMode="External"/><Relationship Id="rId484" Type="http://schemas.openxmlformats.org/officeDocument/2006/relationships/hyperlink" Target="https://leetcode.com/problems/best-time-to-buy-and-sell-stock-iii/" TargetMode="External"/><Relationship Id="rId485" Type="http://schemas.openxmlformats.org/officeDocument/2006/relationships/hyperlink" Target="https://leetcode.com/problems/best-time-to-buy-and-sell-stock-iv/" TargetMode="External"/><Relationship Id="rId486" Type="http://schemas.openxmlformats.org/officeDocument/2006/relationships/hyperlink" Target="https://leetcode.com/problems/best-time-to-buy-and-sell-stock-with-cooldown/" TargetMode="External"/><Relationship Id="rId487" Type="http://schemas.openxmlformats.org/officeDocument/2006/relationships/hyperlink" Target="https://leetcode.com/problems/best-time-to-buy-and-sell-stock-with-transaction-fee/" TargetMode="External"/><Relationship Id="rId488" Type="http://schemas.openxmlformats.org/officeDocument/2006/relationships/hyperlink" Target="https://www.google.com/search?q=Matrix+Chain+Multiplication+GeeksforGeeks+practice+problem" TargetMode="External"/><Relationship Id="rId489" Type="http://schemas.openxmlformats.org/officeDocument/2006/relationships/hyperlink" Target="https://leetcode.com/problems/minimum-cost-to-cut-a-stick/" TargetMode="External"/><Relationship Id="rId490" Type="http://schemas.openxmlformats.org/officeDocument/2006/relationships/hyperlink" Target="https://leetcode.com/problems/burst-balloons/" TargetMode="External"/><Relationship Id="rId491" Type="http://schemas.openxmlformats.org/officeDocument/2006/relationships/hyperlink" Target="https://leetcode.com/problems/palindrome-partitioning-ii/" TargetMode="External"/><Relationship Id="rId492" Type="http://schemas.openxmlformats.org/officeDocument/2006/relationships/hyperlink" Target="https://leetcode.com/problems/partition-array-for-maximum-sum/" TargetMode="External"/><Relationship Id="rId493" Type="http://schemas.openxmlformats.org/officeDocument/2006/relationships/hyperlink" Target="https://www.google.com/search?q=Boolean+Parenthesization+GeeksforGeeks+practice+problem" TargetMode="External"/><Relationship Id="rId494" Type="http://schemas.openxmlformats.org/officeDocument/2006/relationships/hyperlink" Target="https://leetcode.com/problems/maximal-square/" TargetMode="External"/><Relationship Id="rId495" Type="http://schemas.openxmlformats.org/officeDocument/2006/relationships/hyperlink" Target="https://leetcode.com/problems/count-square-submatrices-with-all-ones/" TargetMode="External"/><Relationship Id="rId496" Type="http://schemas.openxmlformats.org/officeDocument/2006/relationships/hyperlink" Target="https://leetcode.com/problems/house-robber-iii/" TargetMode="External"/><Relationship Id="rId497" Type="http://schemas.openxmlformats.org/officeDocument/2006/relationships/hyperlink" Target="https://leetcode.com/problems/binary-tree-cameras/" TargetMode="External"/><Relationship Id="rId498" Type="http://schemas.openxmlformats.org/officeDocument/2006/relationships/hyperlink" Target="https://leetcode.com/problems/stone-game/" TargetMode="External"/><Relationship Id="rId499" Type="http://schemas.openxmlformats.org/officeDocument/2006/relationships/hyperlink" Target="https://leetcode.com/problems/predict-the-winner/" TargetMode="External"/><Relationship Id="rId500" Type="http://schemas.openxmlformats.org/officeDocument/2006/relationships/hyperlink" Target="https://leetcode.com/problems/number-of-dice-rolls-with-target-sum/" TargetMode="External"/><Relationship Id="rId501" Type="http://schemas.openxmlformats.org/officeDocument/2006/relationships/hyperlink" Target="https://leetcode.com/problems/knight-probability-in-chessboard/" TargetMode="External"/><Relationship Id="rId502" Type="http://schemas.openxmlformats.org/officeDocument/2006/relationships/hyperlink" Target="https://www.google.com/search?q=Travelling+Salesman+Problem+GeeksforGeeks+practice+problem" TargetMode="External"/><Relationship Id="rId503" Type="http://schemas.openxmlformats.org/officeDocument/2006/relationships/hyperlink" Target="https://leetcode.com/problems/shortest-path-visiting-all-nodes/" TargetMode="External"/><Relationship Id="rId504" Type="http://schemas.openxmlformats.org/officeDocument/2006/relationships/hyperlink" Target="https://leetcode.com/problems/number-of-1-bits/" TargetMode="External"/><Relationship Id="rId505" Type="http://schemas.openxmlformats.org/officeDocument/2006/relationships/hyperlink" Target="https://leetcode.com/problems/counting-bits/" TargetMode="External"/><Relationship Id="rId506" Type="http://schemas.openxmlformats.org/officeDocument/2006/relationships/hyperlink" Target="https://leetcode.com/problems/reverse-bits/" TargetMode="External"/><Relationship Id="rId507" Type="http://schemas.openxmlformats.org/officeDocument/2006/relationships/hyperlink" Target="https://leetcode.com/problems/power-of-two/" TargetMode="External"/><Relationship Id="rId508" Type="http://schemas.openxmlformats.org/officeDocument/2006/relationships/hyperlink" Target="https://leetcode.com/problems/power-of-four/" TargetMode="External"/><Relationship Id="rId509" Type="http://schemas.openxmlformats.org/officeDocument/2006/relationships/hyperlink" Target="https://www.google.com/search?q=Swap+Two+Numbers+Without+Temp+Variable+GeeksforGeeks+practice+problem" TargetMode="External"/><Relationship Id="rId510" Type="http://schemas.openxmlformats.org/officeDocument/2006/relationships/hyperlink" Target="https://leetcode.com/problems/minimum-bit-flips-to-convert-number/" TargetMode="External"/><Relationship Id="rId511" Type="http://schemas.openxmlformats.org/officeDocument/2006/relationships/hyperlink" Target="https://leetcode.com/problems/single-number/" TargetMode="External"/><Relationship Id="rId512" Type="http://schemas.openxmlformats.org/officeDocument/2006/relationships/hyperlink" Target="https://leetcode.com/problems/single-number-ii/" TargetMode="External"/><Relationship Id="rId513" Type="http://schemas.openxmlformats.org/officeDocument/2006/relationships/hyperlink" Target="https://leetcode.com/problems/single-number-iii/" TargetMode="External"/><Relationship Id="rId514" Type="http://schemas.openxmlformats.org/officeDocument/2006/relationships/hyperlink" Target="https://leetcode.com/problems/hamming-distance/" TargetMode="External"/><Relationship Id="rId515" Type="http://schemas.openxmlformats.org/officeDocument/2006/relationships/hyperlink" Target="https://leetcode.com/problems/total-hamming-distance/" TargetMode="External"/><Relationship Id="rId516" Type="http://schemas.openxmlformats.org/officeDocument/2006/relationships/hyperlink" Target="https://leetcode.com/problems/xor-queries-of-a-subarray/" TargetMode="External"/><Relationship Id="rId517" Type="http://schemas.openxmlformats.org/officeDocument/2006/relationships/hyperlink" Target="https://www.google.com/search?q=Find+XOR+of+Numbers+from+1+to+N+GeeksforGeeks+practice+problem" TargetMode="External"/><Relationship Id="rId518" Type="http://schemas.openxmlformats.org/officeDocument/2006/relationships/hyperlink" Target="https://leetcode.com/problems/sum-of-two-integers/" TargetMode="External"/><Relationship Id="rId519" Type="http://schemas.openxmlformats.org/officeDocument/2006/relationships/hyperlink" Target="https://leetcode.com/problems/divide-two-integers/" TargetMode="External"/><Relationship Id="rId520" Type="http://schemas.openxmlformats.org/officeDocument/2006/relationships/hyperlink" Target="https://leetcode.com/problems/bitwise-and-of-numbers-range/" TargetMode="External"/><Relationship Id="rId521" Type="http://schemas.openxmlformats.org/officeDocument/2006/relationships/hyperlink" Target="https://leetcode.com/problems/maximum-product-of-word-lengths/" TargetMode="External"/><Relationship Id="rId522" Type="http://schemas.openxmlformats.org/officeDocument/2006/relationships/hyperlink" Target="https://leetcode.com/problems/gray-code/" TargetMode="External"/><Relationship Id="rId523" Type="http://schemas.openxmlformats.org/officeDocument/2006/relationships/hyperlink" Target="https://www.google.com/search?q=Count+Total+Set+Bits+from+1+to+N+GeeksforGeeks+practice+problem" TargetMode="External"/><Relationship Id="rId524" Type="http://schemas.openxmlformats.org/officeDocument/2006/relationships/hyperlink" Target="https://www.google.com/search?q=Sieve+of+Eratosthenes+GeeksforGeeks+practice+problem" TargetMode="External"/><Relationship Id="rId525" Type="http://schemas.openxmlformats.org/officeDocument/2006/relationships/hyperlink" Target="https://leetcode.com/problems/count-primes/" TargetMode="External"/><Relationship Id="rId526" Type="http://schemas.openxmlformats.org/officeDocument/2006/relationships/hyperlink" Target="https://www.google.com/search?q=Prime+Factorization+using+Smallest+Prime+Factor+GeeksforGeeks+practice+problem" TargetMode="External"/><Relationship Id="rId527" Type="http://schemas.openxmlformats.org/officeDocument/2006/relationships/hyperlink" Target="https://www.google.com/search?q=GCD+using+Euclidean+Algorithm+GeeksforGeeks+practice+problem" TargetMode="External"/><Relationship Id="rId528" Type="http://schemas.openxmlformats.org/officeDocument/2006/relationships/hyperlink" Target="https://www.google.com/search?q=LCM+and+GCD+GeeksforGeeks+practice+problem" TargetMode="External"/><Relationship Id="rId529" Type="http://schemas.openxmlformats.org/officeDocument/2006/relationships/hyperlink" Target="https://www.google.com/search?q=Modular+Exponentiation+for+Large+Numbers+GeeksforGeeks+practice+problem" TargetMode="External"/><Relationship Id="rId530" Type="http://schemas.openxmlformats.org/officeDocument/2006/relationships/hyperlink" Target="https://www.google.com/search?q=nCr+mod+p+GeeksforGeeks+practice+problem" TargetMode="External"/><Relationship Id="rId531" Type="http://schemas.openxmlformats.org/officeDocument/2006/relationships/hyperlink" Target="https://leetcode.com/problems/palindrome-number/" TargetMode="External"/><Relationship Id="rId532" Type="http://schemas.openxmlformats.org/officeDocument/2006/relationships/hyperlink" Target="https://leetcode.com/problems/reverse-integer/" TargetMode="External"/><Relationship Id="rId533" Type="http://schemas.openxmlformats.org/officeDocument/2006/relationships/hyperlink" Target="https://leetcode.com/problems/add-digits/" TargetMode="External"/><Relationship Id="rId534" Type="http://schemas.openxmlformats.org/officeDocument/2006/relationships/hyperlink" Target="https://leetcode.com/problems/number-of-digit-one/" TargetMode="External"/><Relationship Id="rId535" Type="http://schemas.openxmlformats.org/officeDocument/2006/relationships/hyperlink" Target="https://leetcode.com/problems/factorial-trailing-zeroes/" TargetMode="External"/><Relationship Id="rId536" Type="http://schemas.openxmlformats.org/officeDocument/2006/relationships/hyperlink" Target="https://leetcode.com/problems/excel-sheet-column-title/" TargetMode="External"/><Relationship Id="rId537" Type="http://schemas.openxmlformats.org/officeDocument/2006/relationships/hyperlink" Target="https://leetcode.com/problems/excel-sheet-column-number/" TargetMode="External"/><Relationship Id="rId538" Type="http://schemas.openxmlformats.org/officeDocument/2006/relationships/hyperlink" Target="https://leetcode.com/problems/ugly-number/" TargetMode="External"/><Relationship Id="rId539" Type="http://schemas.openxmlformats.org/officeDocument/2006/relationships/hyperlink" Target="https://www.google.com/search?q=Nth+Catalan+Number+GeeksforGeeks+practice+problem" TargetMode="External"/><Relationship Id="rId540" Type="http://schemas.openxmlformats.org/officeDocument/2006/relationships/hyperlink" Target="https://www.google.com/search?q=Josephus+Problem+GeeksforGeeks+practice+problem" TargetMode="External"/><Relationship Id="rId541" Type="http://schemas.openxmlformats.org/officeDocument/2006/relationships/hyperlink" Target="https://leetcode.com/problems/merge-intervals/" TargetMode="External"/><Relationship Id="rId542" Type="http://schemas.openxmlformats.org/officeDocument/2006/relationships/hyperlink" Target="https://leetcode.com/problems/insert-interval/" TargetMode="External"/><Relationship Id="rId543" Type="http://schemas.openxmlformats.org/officeDocument/2006/relationships/hyperlink" Target="https://leetcode.com/problems/interval-list-intersections/" TargetMode="External"/><Relationship Id="rId544" Type="http://schemas.openxmlformats.org/officeDocument/2006/relationships/hyperlink" Target="https://leetcode.com/problems/remove-covered-intervals/" TargetMode="External"/><Relationship Id="rId545" Type="http://schemas.openxmlformats.org/officeDocument/2006/relationships/hyperlink" Target="https://www.google.com/search?q=Meeting+Rooms+GeeksforGeeks+practice+problem" TargetMode="External"/><Relationship Id="rId546" Type="http://schemas.openxmlformats.org/officeDocument/2006/relationships/hyperlink" Target="https://www.geeksforgeeks.org/problems/attend-all-meetings-ii/1" TargetMode="External"/><Relationship Id="rId547" Type="http://schemas.openxmlformats.org/officeDocument/2006/relationships/hyperlink" Target="https://www.google.com/search?q=Maximum+CPU+Load+GeeksforGeeks+practice+problem" TargetMode="External"/><Relationship Id="rId548" Type="http://schemas.openxmlformats.org/officeDocument/2006/relationships/hyperlink" Target="https://www.google.com/search?q=Employee+Free+Time+GeeksforGeeks+practice+problem" TargetMode="External"/><Relationship Id="rId549" Type="http://schemas.openxmlformats.org/officeDocument/2006/relationships/hyperlink" Target="https://leetcode.com/problems/my-calendar-i/" TargetMode="External"/><Relationship Id="rId550" Type="http://schemas.openxmlformats.org/officeDocument/2006/relationships/hyperlink" Target="https://leetcode.com/problems/my-calendar-ii/" TargetMode="External"/><Relationship Id="rId551" Type="http://schemas.openxmlformats.org/officeDocument/2006/relationships/hyperlink" Target="https://leetcode.com/problems/data-stream-as-disjoint-intervals/" TargetMode="External"/><Relationship Id="rId552" Type="http://schemas.openxmlformats.org/officeDocument/2006/relationships/hyperlink" Target="https://leetcode.com/problems/lru-cache/" TargetMode="External"/><Relationship Id="rId553" Type="http://schemas.openxmlformats.org/officeDocument/2006/relationships/hyperlink" Target="https://leetcode.com/problems/lfu-cache/" TargetMode="External"/><Relationship Id="rId554" Type="http://schemas.openxmlformats.org/officeDocument/2006/relationships/hyperlink" Target="https://leetcode.com/problems/design-hashmap/" TargetMode="External"/><Relationship Id="rId555" Type="http://schemas.openxmlformats.org/officeDocument/2006/relationships/hyperlink" Target="https://leetcode.com/problems/design-hashset/" TargetMode="External"/><Relationship Id="rId556" Type="http://schemas.openxmlformats.org/officeDocument/2006/relationships/hyperlink" Target="https://leetcode.com/problems/insert-delete-getrandom-o1/" TargetMode="External"/><Relationship Id="rId557" Type="http://schemas.openxmlformats.org/officeDocument/2006/relationships/hyperlink" Target="https://leetcode.com/problems/all-oone-data-structure/" TargetMode="External"/><Relationship Id="rId558" Type="http://schemas.openxmlformats.org/officeDocument/2006/relationships/hyperlink" Target="https://leetcode.com/problems/design-twitter/" TargetMode="External"/><Relationship Id="rId559" Type="http://schemas.openxmlformats.org/officeDocument/2006/relationships/hyperlink" Target="https://leetcode.com/problems/design-underground-system/" TargetMode="External"/><Relationship Id="rId560" Type="http://schemas.openxmlformats.org/officeDocument/2006/relationships/hyperlink" Target="https://leetcode.com/problems/design-browser-history/" TargetMode="External"/><Relationship Id="rId561" Type="http://schemas.openxmlformats.org/officeDocument/2006/relationships/hyperlink" Target="https://leetcode.com/problems/time-based-key-value-store/" TargetMode="External"/><Relationship Id="rId562" Type="http://schemas.openxmlformats.org/officeDocument/2006/relationships/hyperlink" Target="https://leetcode.com/problems/snapshot-array/" TargetMode="External"/><Relationship Id="rId563" Type="http://schemas.openxmlformats.org/officeDocument/2006/relationships/hyperlink" Target="https://leetcode.com/problems/range-sum-query-mutable/" TargetMode="External"/><Relationship Id="rId564" Type="http://schemas.openxmlformats.org/officeDocument/2006/relationships/hyperlink" Target="https://www.google.com/search?q=Range+Minimum+Query+%28Segment+Tree%29+GeeksforGeeks+practice+problem" TargetMode="External"/><Relationship Id="rId565" Type="http://schemas.openxmlformats.org/officeDocument/2006/relationships/hyperlink" Target="https://www.google.com/search?q=Segment+Tree+with+Lazy+Propagation+GeeksforGeeks+practice+problem" TargetMode="External"/><Relationship Id="rId566" Type="http://schemas.openxmlformats.org/officeDocument/2006/relationships/hyperlink" Target="https://www.google.com/search?q=Binary+Indexed+Tree+%28Fenwick+Tree%29+GeeksforGeeks+practice+problem" TargetMode="External"/><Relationship Id="rId567" Type="http://schemas.openxmlformats.org/officeDocument/2006/relationships/hyperlink" Target="https://leetcode.com/problems/count-of-smaller-numbers-after-self/" TargetMode="External"/><Relationship Id="rId568" Type="http://schemas.openxmlformats.org/officeDocument/2006/relationships/hyperlink" Target="https://leetcode.com/problems/the-skyline-problem/" TargetMode="External"/><Relationship Id="rId569" Type="http://schemas.openxmlformats.org/officeDocument/2006/relationships/hyperlink" Target="https://www.google.com/search?q=Count+of+Range+Sum+%28BIT+approach%29+GeeksforGeeks+practice+problem" TargetMode="External"/><Relationship Id="rId570" Type="http://schemas.openxmlformats.org/officeDocument/2006/relationships/hyperlink" Target="https://www.google.com/search?q=Range+Minimum+Query+using+Sparse+Table+GeeksforGeeks+practice+problem" TargetMode="External"/><Relationship Id="rId57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C6" s="4" t="s">
        <v>3</v>
      </c>
    </row>
    <row r="7" customFormat="false" ht="15" hidden="false" customHeight="false" outlineLevel="0" collapsed="false">
      <c r="C7" s="4" t="s">
        <v>4</v>
      </c>
    </row>
    <row r="8" customFormat="false" ht="15" hidden="false" customHeight="false" outlineLevel="0" collapsed="false">
      <c r="C8" s="4" t="s">
        <v>5</v>
      </c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C11" s="4" t="s">
        <v>7</v>
      </c>
    </row>
    <row r="12" customFormat="false" ht="15" hidden="false" customHeight="false" outlineLevel="0" collapsed="false">
      <c r="C12" s="4" t="s">
        <v>8</v>
      </c>
    </row>
    <row r="13" customFormat="false" ht="15" hidden="false" customHeight="false" outlineLevel="0" collapsed="false">
      <c r="C13" s="4" t="s">
        <v>9</v>
      </c>
    </row>
    <row r="14" customFormat="false" ht="15" hidden="false" customHeight="false" outlineLevel="0" collapsed="false">
      <c r="C14" s="4" t="s">
        <v>10</v>
      </c>
    </row>
    <row r="15" customFormat="false" ht="15" hidden="false" customHeight="false" outlineLevel="0" collapsed="false">
      <c r="C15" s="4" t="s">
        <v>11</v>
      </c>
    </row>
    <row r="16" customFormat="false" ht="15" hidden="false" customHeight="false" outlineLevel="0" collapsed="false">
      <c r="C16" s="4" t="s">
        <v>12</v>
      </c>
    </row>
    <row r="18" customFormat="false" ht="15" hidden="false" customHeight="false" outlineLevel="0" collapsed="false">
      <c r="B18" s="3" t="s">
        <v>13</v>
      </c>
    </row>
    <row r="19" customFormat="false" ht="15" hidden="false" customHeight="false" outlineLevel="0" collapsed="false">
      <c r="C19" s="4" t="s">
        <v>14</v>
      </c>
    </row>
    <row r="20" customFormat="false" ht="15" hidden="false" customHeight="false" outlineLevel="0" collapsed="false">
      <c r="C20" s="4" t="s">
        <v>15</v>
      </c>
    </row>
    <row r="22" customFormat="false" ht="15" hidden="false" customHeight="false" outlineLevel="0" collapsed="false">
      <c r="B22" s="3" t="s">
        <v>16</v>
      </c>
    </row>
    <row r="23" customFormat="false" ht="15" hidden="false" customHeight="false" outlineLevel="0" collapsed="false">
      <c r="C23" s="4" t="s">
        <v>17</v>
      </c>
    </row>
    <row r="24" customFormat="false" ht="15" hidden="false" customHeight="false" outlineLevel="0" collapsed="false">
      <c r="C24" s="4" t="s">
        <v>18</v>
      </c>
    </row>
    <row r="25" customFormat="false" ht="15" hidden="false" customHeight="false" outlineLevel="0" collapsed="false">
      <c r="C25" s="4" t="s">
        <v>19</v>
      </c>
    </row>
    <row r="26" customFormat="false" ht="15" hidden="false" customHeight="false" outlineLevel="0" collapsed="false">
      <c r="C26" s="4" t="s">
        <v>20</v>
      </c>
    </row>
    <row r="27" customFormat="false" ht="15" hidden="false" customHeight="false" outlineLevel="0" collapsed="false">
      <c r="C27" s="4" t="s">
        <v>21</v>
      </c>
    </row>
    <row r="29" customFormat="false" ht="15" hidden="false" customHeight="false" outlineLevel="0" collapsed="false">
      <c r="B29" s="3" t="s">
        <v>22</v>
      </c>
    </row>
    <row r="30" customFormat="false" ht="15" hidden="false" customHeight="false" outlineLevel="0" collapsed="false">
      <c r="C30" s="4" t="s">
        <v>23</v>
      </c>
    </row>
    <row r="31" customFormat="false" ht="15" hidden="false" customHeight="false" outlineLevel="0" collapsed="false">
      <c r="C31" s="4" t="s">
        <v>24</v>
      </c>
    </row>
    <row r="32" customFormat="false" ht="15" hidden="false" customHeight="false" outlineLevel="0" collapsed="false">
      <c r="C32" s="4" t="s">
        <v>25</v>
      </c>
    </row>
    <row r="34" customFormat="false" ht="15" hidden="false" customHeight="false" outlineLevel="0" collapsed="false">
      <c r="B34" s="3" t="s">
        <v>26</v>
      </c>
    </row>
    <row r="35" customFormat="false" ht="15" hidden="false" customHeight="false" outlineLevel="0" collapsed="false">
      <c r="C35" s="4" t="s">
        <v>27</v>
      </c>
    </row>
    <row r="36" customFormat="false" ht="15" hidden="false" customHeight="false" outlineLevel="0" collapsed="false">
      <c r="C36" s="4" t="s">
        <v>28</v>
      </c>
    </row>
    <row r="38" customFormat="false" ht="15" hidden="false" customHeight="false" outlineLevel="0" collapsed="false">
      <c r="B38" s="3" t="s">
        <v>29</v>
      </c>
    </row>
    <row r="39" customFormat="false" ht="15" hidden="false" customHeight="false" outlineLevel="0" collapsed="false">
      <c r="C39" s="4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8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9" min="8" style="0" width="12"/>
    <col collapsed="false" customWidth="true" hidden="false" outlineLevel="0" max="10" min="10" style="0" width="11"/>
  </cols>
  <sheetData>
    <row r="2" customFormat="false" ht="19.7" hidden="false" customHeight="false" outlineLevel="0" collapsed="false">
      <c r="B2" s="1" t="s">
        <v>31</v>
      </c>
    </row>
    <row r="3" customFormat="false" ht="15" hidden="false" customHeight="false" outlineLevel="0" collapsed="false">
      <c r="B3" s="2" t="s">
        <v>32</v>
      </c>
    </row>
    <row r="5" customFormat="false" ht="15" hidden="false" customHeight="false" outlineLevel="0" collapsed="false">
      <c r="B5" s="3" t="s">
        <v>33</v>
      </c>
      <c r="C5" s="5" t="n">
        <f aca="false">$C30</f>
        <v>570</v>
      </c>
      <c r="D5" s="2" t="s">
        <v>34</v>
      </c>
      <c r="F5" s="5" t="n">
        <f aca="false">$G30</f>
        <v>0</v>
      </c>
      <c r="G5" s="2" t="s">
        <v>35</v>
      </c>
      <c r="I5" s="6" t="n">
        <f aca="false">$J30</f>
        <v>0</v>
      </c>
      <c r="J5" s="2" t="s">
        <v>36</v>
      </c>
    </row>
    <row r="6" customFormat="false" ht="21.75" hidden="false" customHeight="true" outlineLevel="0" collapsed="false">
      <c r="B6" s="7" t="s">
        <v>37</v>
      </c>
      <c r="C6" s="7" t="s">
        <v>38</v>
      </c>
      <c r="D6" s="7" t="s">
        <v>39</v>
      </c>
      <c r="E6" s="7" t="s">
        <v>40</v>
      </c>
      <c r="F6" s="7" t="s">
        <v>41</v>
      </c>
      <c r="G6" s="7" t="s">
        <v>42</v>
      </c>
      <c r="H6" s="7" t="s">
        <v>43</v>
      </c>
      <c r="I6" s="7" t="s">
        <v>44</v>
      </c>
      <c r="J6" s="7" t="s">
        <v>45</v>
      </c>
    </row>
    <row r="7" customFormat="false" ht="15" hidden="false" customHeight="false" outlineLevel="0" collapsed="false">
      <c r="B7" s="8" t="s">
        <v>46</v>
      </c>
      <c r="C7" s="9" t="n">
        <f aca="false">COUNTIF(Master!$B$2:$B$571,$B7)</f>
        <v>15</v>
      </c>
      <c r="D7" s="9" t="n">
        <f aca="false">COUNTIFS(Master!$B$2:$B$571,$B7,Master!$E$2:$E$571,"Easy")</f>
        <v>10</v>
      </c>
      <c r="E7" s="9" t="n">
        <f aca="false">COUNTIFS(Master!$B$2:$B$571,$B7,Master!$E$2:$E$571,"Medium")</f>
        <v>5</v>
      </c>
      <c r="F7" s="9" t="n">
        <f aca="false">COUNTIFS(Master!$B$2:$B$571,$B7,Master!$E$2:$E$571,"Hard")</f>
        <v>0</v>
      </c>
      <c r="G7" s="9" t="n">
        <f aca="false">COUNTIFS(Master!$B$2:$B$571,$B7,Master!$H$2:$H$571,"Solved")+COUNTIFS(Master!$B$2:$B$571,$B7,Master!$H$2:$H$571,"Mastered")</f>
        <v>0</v>
      </c>
      <c r="H7" s="9" t="n">
        <f aca="false">COUNTIFS(Master!$B$2:$B$571,$B7,Master!$H$2:$H$571,"Attempted")+COUNTIFS(Master!$B$2:$B$571,$B7,Master!$H$2:$H$571,"Revisit")</f>
        <v>0</v>
      </c>
      <c r="I7" s="9" t="n">
        <f aca="false">$C7-$G7</f>
        <v>15</v>
      </c>
      <c r="J7" s="10" t="n">
        <f aca="false">IFERROR($G7/$C7,0)</f>
        <v>0</v>
      </c>
    </row>
    <row r="8" customFormat="false" ht="15" hidden="false" customHeight="false" outlineLevel="0" collapsed="false">
      <c r="B8" s="8" t="s">
        <v>47</v>
      </c>
      <c r="C8" s="9" t="n">
        <f aca="false">COUNTIF(Master!$B$2:$B$571,$B8)</f>
        <v>28</v>
      </c>
      <c r="D8" s="9" t="n">
        <f aca="false">COUNTIFS(Master!$B$2:$B$571,$B8,Master!$E$2:$E$571,"Easy")</f>
        <v>11</v>
      </c>
      <c r="E8" s="9" t="n">
        <f aca="false">COUNTIFS(Master!$B$2:$B$571,$B8,Master!$E$2:$E$571,"Medium")</f>
        <v>16</v>
      </c>
      <c r="F8" s="9" t="n">
        <f aca="false">COUNTIFS(Master!$B$2:$B$571,$B8,Master!$E$2:$E$571,"Hard")</f>
        <v>1</v>
      </c>
      <c r="G8" s="9" t="n">
        <f aca="false">COUNTIFS(Master!$B$2:$B$571,$B8,Master!$H$2:$H$571,"Solved")+COUNTIFS(Master!$B$2:$B$571,$B8,Master!$H$2:$H$571,"Mastered")</f>
        <v>0</v>
      </c>
      <c r="H8" s="9" t="n">
        <f aca="false">COUNTIFS(Master!$B$2:$B$571,$B8,Master!$H$2:$H$571,"Attempted")+COUNTIFS(Master!$B$2:$B$571,$B8,Master!$H$2:$H$571,"Revisit")</f>
        <v>0</v>
      </c>
      <c r="I8" s="9" t="n">
        <f aca="false">$C8-$G8</f>
        <v>28</v>
      </c>
      <c r="J8" s="10" t="n">
        <f aca="false">IFERROR($G8/$C8,0)</f>
        <v>0</v>
      </c>
    </row>
    <row r="9" customFormat="false" ht="15" hidden="false" customHeight="false" outlineLevel="0" collapsed="false">
      <c r="B9" s="8" t="s">
        <v>48</v>
      </c>
      <c r="C9" s="9" t="n">
        <f aca="false">COUNTIF(Master!$B$2:$B$571,$B9)</f>
        <v>20</v>
      </c>
      <c r="D9" s="9" t="n">
        <f aca="false">COUNTIFS(Master!$B$2:$B$571,$B9,Master!$E$2:$E$571,"Easy")</f>
        <v>2</v>
      </c>
      <c r="E9" s="9" t="n">
        <f aca="false">COUNTIFS(Master!$B$2:$B$571,$B9,Master!$E$2:$E$571,"Medium")</f>
        <v>14</v>
      </c>
      <c r="F9" s="9" t="n">
        <f aca="false">COUNTIFS(Master!$B$2:$B$571,$B9,Master!$E$2:$E$571,"Hard")</f>
        <v>4</v>
      </c>
      <c r="G9" s="9" t="n">
        <f aca="false">COUNTIFS(Master!$B$2:$B$571,$B9,Master!$H$2:$H$571,"Solved")+COUNTIFS(Master!$B$2:$B$571,$B9,Master!$H$2:$H$571,"Mastered")</f>
        <v>0</v>
      </c>
      <c r="H9" s="9" t="n">
        <f aca="false">COUNTIFS(Master!$B$2:$B$571,$B9,Master!$H$2:$H$571,"Attempted")+COUNTIFS(Master!$B$2:$B$571,$B9,Master!$H$2:$H$571,"Revisit")</f>
        <v>0</v>
      </c>
      <c r="I9" s="9" t="n">
        <f aca="false">$C9-$G9</f>
        <v>20</v>
      </c>
      <c r="J9" s="10" t="n">
        <f aca="false">IFERROR($G9/$C9,0)</f>
        <v>0</v>
      </c>
    </row>
    <row r="10" customFormat="false" ht="15" hidden="false" customHeight="false" outlineLevel="0" collapsed="false">
      <c r="B10" s="8" t="s">
        <v>49</v>
      </c>
      <c r="C10" s="9" t="n">
        <f aca="false">COUNTIF(Master!$B$2:$B$571,$B10)</f>
        <v>20</v>
      </c>
      <c r="D10" s="9" t="n">
        <f aca="false">COUNTIFS(Master!$B$2:$B$571,$B10,Master!$E$2:$E$571,"Easy")</f>
        <v>4</v>
      </c>
      <c r="E10" s="9" t="n">
        <f aca="false">COUNTIFS(Master!$B$2:$B$571,$B10,Master!$E$2:$E$571,"Medium")</f>
        <v>14</v>
      </c>
      <c r="F10" s="9" t="n">
        <f aca="false">COUNTIFS(Master!$B$2:$B$571,$B10,Master!$E$2:$E$571,"Hard")</f>
        <v>2</v>
      </c>
      <c r="G10" s="9" t="n">
        <f aca="false">COUNTIFS(Master!$B$2:$B$571,$B10,Master!$H$2:$H$571,"Solved")+COUNTIFS(Master!$B$2:$B$571,$B10,Master!$H$2:$H$571,"Mastered")</f>
        <v>0</v>
      </c>
      <c r="H10" s="9" t="n">
        <f aca="false">COUNTIFS(Master!$B$2:$B$571,$B10,Master!$H$2:$H$571,"Attempted")+COUNTIFS(Master!$B$2:$B$571,$B10,Master!$H$2:$H$571,"Revisit")</f>
        <v>0</v>
      </c>
      <c r="I10" s="9" t="n">
        <f aca="false">$C10-$G10</f>
        <v>20</v>
      </c>
      <c r="J10" s="10" t="n">
        <f aca="false">IFERROR($G10/$C10,0)</f>
        <v>0</v>
      </c>
    </row>
    <row r="11" customFormat="false" ht="15" hidden="false" customHeight="false" outlineLevel="0" collapsed="false">
      <c r="B11" s="8" t="s">
        <v>50</v>
      </c>
      <c r="C11" s="9" t="n">
        <f aca="false">COUNTIF(Master!$B$2:$B$571,$B11)</f>
        <v>14</v>
      </c>
      <c r="D11" s="9" t="n">
        <f aca="false">COUNTIFS(Master!$B$2:$B$571,$B11,Master!$E$2:$E$571,"Easy")</f>
        <v>5</v>
      </c>
      <c r="E11" s="9" t="n">
        <f aca="false">COUNTIFS(Master!$B$2:$B$571,$B11,Master!$E$2:$E$571,"Medium")</f>
        <v>8</v>
      </c>
      <c r="F11" s="9" t="n">
        <f aca="false">COUNTIFS(Master!$B$2:$B$571,$B11,Master!$E$2:$E$571,"Hard")</f>
        <v>1</v>
      </c>
      <c r="G11" s="9" t="n">
        <f aca="false">COUNTIFS(Master!$B$2:$B$571,$B11,Master!$H$2:$H$571,"Solved")+COUNTIFS(Master!$B$2:$B$571,$B11,Master!$H$2:$H$571,"Mastered")</f>
        <v>0</v>
      </c>
      <c r="H11" s="9" t="n">
        <f aca="false">COUNTIFS(Master!$B$2:$B$571,$B11,Master!$H$2:$H$571,"Attempted")+COUNTIFS(Master!$B$2:$B$571,$B11,Master!$H$2:$H$571,"Revisit")</f>
        <v>0</v>
      </c>
      <c r="I11" s="9" t="n">
        <f aca="false">$C11-$G11</f>
        <v>14</v>
      </c>
      <c r="J11" s="10" t="n">
        <f aca="false">IFERROR($G11/$C11,0)</f>
        <v>0</v>
      </c>
    </row>
    <row r="12" customFormat="false" ht="15" hidden="false" customHeight="false" outlineLevel="0" collapsed="false">
      <c r="B12" s="8" t="s">
        <v>51</v>
      </c>
      <c r="C12" s="9" t="n">
        <f aca="false">COUNTIF(Master!$B$2:$B$571,$B12)</f>
        <v>38</v>
      </c>
      <c r="D12" s="9" t="n">
        <f aca="false">COUNTIFS(Master!$B$2:$B$571,$B12,Master!$E$2:$E$571,"Easy")</f>
        <v>9</v>
      </c>
      <c r="E12" s="9" t="n">
        <f aca="false">COUNTIFS(Master!$B$2:$B$571,$B12,Master!$E$2:$E$571,"Medium")</f>
        <v>20</v>
      </c>
      <c r="F12" s="9" t="n">
        <f aca="false">COUNTIFS(Master!$B$2:$B$571,$B12,Master!$E$2:$E$571,"Hard")</f>
        <v>9</v>
      </c>
      <c r="G12" s="9" t="n">
        <f aca="false">COUNTIFS(Master!$B$2:$B$571,$B12,Master!$H$2:$H$571,"Solved")+COUNTIFS(Master!$B$2:$B$571,$B12,Master!$H$2:$H$571,"Mastered")</f>
        <v>0</v>
      </c>
      <c r="H12" s="9" t="n">
        <f aca="false">COUNTIFS(Master!$B$2:$B$571,$B12,Master!$H$2:$H$571,"Attempted")+COUNTIFS(Master!$B$2:$B$571,$B12,Master!$H$2:$H$571,"Revisit")</f>
        <v>0</v>
      </c>
      <c r="I12" s="9" t="n">
        <f aca="false">$C12-$G12</f>
        <v>38</v>
      </c>
      <c r="J12" s="10" t="n">
        <f aca="false">IFERROR($G12/$C12,0)</f>
        <v>0</v>
      </c>
    </row>
    <row r="13" customFormat="false" ht="15" hidden="false" customHeight="false" outlineLevel="0" collapsed="false">
      <c r="B13" s="8" t="s">
        <v>52</v>
      </c>
      <c r="C13" s="9" t="n">
        <f aca="false">COUNTIF(Master!$B$2:$B$571,$B13)</f>
        <v>27</v>
      </c>
      <c r="D13" s="9" t="n">
        <f aca="false">COUNTIFS(Master!$B$2:$B$571,$B13,Master!$E$2:$E$571,"Easy")</f>
        <v>10</v>
      </c>
      <c r="E13" s="9" t="n">
        <f aca="false">COUNTIFS(Master!$B$2:$B$571,$B13,Master!$E$2:$E$571,"Medium")</f>
        <v>14</v>
      </c>
      <c r="F13" s="9" t="n">
        <f aca="false">COUNTIFS(Master!$B$2:$B$571,$B13,Master!$E$2:$E$571,"Hard")</f>
        <v>3</v>
      </c>
      <c r="G13" s="9" t="n">
        <f aca="false">COUNTIFS(Master!$B$2:$B$571,$B13,Master!$H$2:$H$571,"Solved")+COUNTIFS(Master!$B$2:$B$571,$B13,Master!$H$2:$H$571,"Mastered")</f>
        <v>0</v>
      </c>
      <c r="H13" s="9" t="n">
        <f aca="false">COUNTIFS(Master!$B$2:$B$571,$B13,Master!$H$2:$H$571,"Attempted")+COUNTIFS(Master!$B$2:$B$571,$B13,Master!$H$2:$H$571,"Revisit")</f>
        <v>0</v>
      </c>
      <c r="I13" s="9" t="n">
        <f aca="false">$C13-$G13</f>
        <v>27</v>
      </c>
      <c r="J13" s="10" t="n">
        <f aca="false">IFERROR($G13/$C13,0)</f>
        <v>0</v>
      </c>
    </row>
    <row r="14" customFormat="false" ht="15" hidden="false" customHeight="false" outlineLevel="0" collapsed="false">
      <c r="B14" s="8" t="s">
        <v>53</v>
      </c>
      <c r="C14" s="9" t="n">
        <f aca="false">COUNTIF(Master!$B$2:$B$571,$B14)</f>
        <v>16</v>
      </c>
      <c r="D14" s="9" t="n">
        <f aca="false">COUNTIFS(Master!$B$2:$B$571,$B14,Master!$E$2:$E$571,"Easy")</f>
        <v>11</v>
      </c>
      <c r="E14" s="9" t="n">
        <f aca="false">COUNTIFS(Master!$B$2:$B$571,$B14,Master!$E$2:$E$571,"Medium")</f>
        <v>4</v>
      </c>
      <c r="F14" s="9" t="n">
        <f aca="false">COUNTIFS(Master!$B$2:$B$571,$B14,Master!$E$2:$E$571,"Hard")</f>
        <v>1</v>
      </c>
      <c r="G14" s="9" t="n">
        <f aca="false">COUNTIFS(Master!$B$2:$B$571,$B14,Master!$H$2:$H$571,"Solved")+COUNTIFS(Master!$B$2:$B$571,$B14,Master!$H$2:$H$571,"Mastered")</f>
        <v>0</v>
      </c>
      <c r="H14" s="9" t="n">
        <f aca="false">COUNTIFS(Master!$B$2:$B$571,$B14,Master!$H$2:$H$571,"Attempted")+COUNTIFS(Master!$B$2:$B$571,$B14,Master!$H$2:$H$571,"Revisit")</f>
        <v>0</v>
      </c>
      <c r="I14" s="9" t="n">
        <f aca="false">$C14-$G14</f>
        <v>16</v>
      </c>
      <c r="J14" s="10" t="n">
        <f aca="false">IFERROR($G14/$C14,0)</f>
        <v>0</v>
      </c>
    </row>
    <row r="15" customFormat="false" ht="15" hidden="false" customHeight="false" outlineLevel="0" collapsed="false">
      <c r="B15" s="8" t="s">
        <v>54</v>
      </c>
      <c r="C15" s="9" t="n">
        <f aca="false">COUNTIF(Master!$B$2:$B$571,$B15)</f>
        <v>11</v>
      </c>
      <c r="D15" s="9" t="n">
        <f aca="false">COUNTIFS(Master!$B$2:$B$571,$B15,Master!$E$2:$E$571,"Easy")</f>
        <v>5</v>
      </c>
      <c r="E15" s="9" t="n">
        <f aca="false">COUNTIFS(Master!$B$2:$B$571,$B15,Master!$E$2:$E$571,"Medium")</f>
        <v>6</v>
      </c>
      <c r="F15" s="9" t="n">
        <f aca="false">COUNTIFS(Master!$B$2:$B$571,$B15,Master!$E$2:$E$571,"Hard")</f>
        <v>0</v>
      </c>
      <c r="G15" s="9" t="n">
        <f aca="false">COUNTIFS(Master!$B$2:$B$571,$B15,Master!$H$2:$H$571,"Solved")+COUNTIFS(Master!$B$2:$B$571,$B15,Master!$H$2:$H$571,"Mastered")</f>
        <v>0</v>
      </c>
      <c r="H15" s="9" t="n">
        <f aca="false">COUNTIFS(Master!$B$2:$B$571,$B15,Master!$H$2:$H$571,"Attempted")+COUNTIFS(Master!$B$2:$B$571,$B15,Master!$H$2:$H$571,"Revisit")</f>
        <v>0</v>
      </c>
      <c r="I15" s="9" t="n">
        <f aca="false">$C15-$G15</f>
        <v>11</v>
      </c>
      <c r="J15" s="10" t="n">
        <f aca="false">IFERROR($G15/$C15,0)</f>
        <v>0</v>
      </c>
    </row>
    <row r="16" customFormat="false" ht="15" hidden="false" customHeight="false" outlineLevel="0" collapsed="false">
      <c r="B16" s="8" t="s">
        <v>55</v>
      </c>
      <c r="C16" s="9" t="n">
        <f aca="false">COUNTIF(Master!$B$2:$B$571,$B16)</f>
        <v>30</v>
      </c>
      <c r="D16" s="9" t="n">
        <f aca="false">COUNTIFS(Master!$B$2:$B$571,$B16,Master!$E$2:$E$571,"Easy")</f>
        <v>8</v>
      </c>
      <c r="E16" s="9" t="n">
        <f aca="false">COUNTIFS(Master!$B$2:$B$571,$B16,Master!$E$2:$E$571,"Medium")</f>
        <v>20</v>
      </c>
      <c r="F16" s="9" t="n">
        <f aca="false">COUNTIFS(Master!$B$2:$B$571,$B16,Master!$E$2:$E$571,"Hard")</f>
        <v>2</v>
      </c>
      <c r="G16" s="9" t="n">
        <f aca="false">COUNTIFS(Master!$B$2:$B$571,$B16,Master!$H$2:$H$571,"Solved")+COUNTIFS(Master!$B$2:$B$571,$B16,Master!$H$2:$H$571,"Mastered")</f>
        <v>0</v>
      </c>
      <c r="H16" s="9" t="n">
        <f aca="false">COUNTIFS(Master!$B$2:$B$571,$B16,Master!$H$2:$H$571,"Attempted")+COUNTIFS(Master!$B$2:$B$571,$B16,Master!$H$2:$H$571,"Revisit")</f>
        <v>0</v>
      </c>
      <c r="I16" s="9" t="n">
        <f aca="false">$C16-$G16</f>
        <v>30</v>
      </c>
      <c r="J16" s="10" t="n">
        <f aca="false">IFERROR($G16/$C16,0)</f>
        <v>0</v>
      </c>
    </row>
    <row r="17" customFormat="false" ht="15" hidden="false" customHeight="false" outlineLevel="0" collapsed="false">
      <c r="B17" s="8" t="s">
        <v>56</v>
      </c>
      <c r="C17" s="9" t="n">
        <f aca="false">COUNTIF(Master!$B$2:$B$571,$B17)</f>
        <v>29</v>
      </c>
      <c r="D17" s="9" t="n">
        <f aca="false">COUNTIFS(Master!$B$2:$B$571,$B17,Master!$E$2:$E$571,"Easy")</f>
        <v>5</v>
      </c>
      <c r="E17" s="9" t="n">
        <f aca="false">COUNTIFS(Master!$B$2:$B$571,$B17,Master!$E$2:$E$571,"Medium")</f>
        <v>18</v>
      </c>
      <c r="F17" s="9" t="n">
        <f aca="false">COUNTIFS(Master!$B$2:$B$571,$B17,Master!$E$2:$E$571,"Hard")</f>
        <v>6</v>
      </c>
      <c r="G17" s="9" t="n">
        <f aca="false">COUNTIFS(Master!$B$2:$B$571,$B17,Master!$H$2:$H$571,"Solved")+COUNTIFS(Master!$B$2:$B$571,$B17,Master!$H$2:$H$571,"Mastered")</f>
        <v>0</v>
      </c>
      <c r="H17" s="9" t="n">
        <f aca="false">COUNTIFS(Master!$B$2:$B$571,$B17,Master!$H$2:$H$571,"Attempted")+COUNTIFS(Master!$B$2:$B$571,$B17,Master!$H$2:$H$571,"Revisit")</f>
        <v>0</v>
      </c>
      <c r="I17" s="9" t="n">
        <f aca="false">$C17-$G17</f>
        <v>29</v>
      </c>
      <c r="J17" s="10" t="n">
        <f aca="false">IFERROR($G17/$C17,0)</f>
        <v>0</v>
      </c>
    </row>
    <row r="18" customFormat="false" ht="15" hidden="false" customHeight="false" outlineLevel="0" collapsed="false">
      <c r="B18" s="8" t="s">
        <v>57</v>
      </c>
      <c r="C18" s="9" t="n">
        <f aca="false">COUNTIF(Master!$B$2:$B$571,$B18)</f>
        <v>25</v>
      </c>
      <c r="D18" s="9" t="n">
        <f aca="false">COUNTIFS(Master!$B$2:$B$571,$B18,Master!$E$2:$E$571,"Easy")</f>
        <v>4</v>
      </c>
      <c r="E18" s="9" t="n">
        <f aca="false">COUNTIFS(Master!$B$2:$B$571,$B18,Master!$E$2:$E$571,"Medium")</f>
        <v>15</v>
      </c>
      <c r="F18" s="9" t="n">
        <f aca="false">COUNTIFS(Master!$B$2:$B$571,$B18,Master!$E$2:$E$571,"Hard")</f>
        <v>6</v>
      </c>
      <c r="G18" s="9" t="n">
        <f aca="false">COUNTIFS(Master!$B$2:$B$571,$B18,Master!$H$2:$H$571,"Solved")+COUNTIFS(Master!$B$2:$B$571,$B18,Master!$H$2:$H$571,"Mastered")</f>
        <v>0</v>
      </c>
      <c r="H18" s="9" t="n">
        <f aca="false">COUNTIFS(Master!$B$2:$B$571,$B18,Master!$H$2:$H$571,"Attempted")+COUNTIFS(Master!$B$2:$B$571,$B18,Master!$H$2:$H$571,"Revisit")</f>
        <v>0</v>
      </c>
      <c r="I18" s="9" t="n">
        <f aca="false">$C18-$G18</f>
        <v>25</v>
      </c>
      <c r="J18" s="10" t="n">
        <f aca="false">IFERROR($G18/$C18,0)</f>
        <v>0</v>
      </c>
    </row>
    <row r="19" customFormat="false" ht="15" hidden="false" customHeight="false" outlineLevel="0" collapsed="false">
      <c r="B19" s="8" t="s">
        <v>58</v>
      </c>
      <c r="C19" s="9" t="n">
        <f aca="false">COUNTIF(Master!$B$2:$B$571,$B19)</f>
        <v>18</v>
      </c>
      <c r="D19" s="9" t="n">
        <f aca="false">COUNTIFS(Master!$B$2:$B$571,$B19,Master!$E$2:$E$571,"Easy")</f>
        <v>5</v>
      </c>
      <c r="E19" s="9" t="n">
        <f aca="false">COUNTIFS(Master!$B$2:$B$571,$B19,Master!$E$2:$E$571,"Medium")</f>
        <v>12</v>
      </c>
      <c r="F19" s="9" t="n">
        <f aca="false">COUNTIFS(Master!$B$2:$B$571,$B19,Master!$E$2:$E$571,"Hard")</f>
        <v>1</v>
      </c>
      <c r="G19" s="9" t="n">
        <f aca="false">COUNTIFS(Master!$B$2:$B$571,$B19,Master!$H$2:$H$571,"Solved")+COUNTIFS(Master!$B$2:$B$571,$B19,Master!$H$2:$H$571,"Mastered")</f>
        <v>0</v>
      </c>
      <c r="H19" s="9" t="n">
        <f aca="false">COUNTIFS(Master!$B$2:$B$571,$B19,Master!$H$2:$H$571,"Attempted")+COUNTIFS(Master!$B$2:$B$571,$B19,Master!$H$2:$H$571,"Revisit")</f>
        <v>0</v>
      </c>
      <c r="I19" s="9" t="n">
        <f aca="false">$C19-$G19</f>
        <v>18</v>
      </c>
      <c r="J19" s="10" t="n">
        <f aca="false">IFERROR($G19/$C19,0)</f>
        <v>0</v>
      </c>
    </row>
    <row r="20" customFormat="false" ht="15" hidden="false" customHeight="false" outlineLevel="0" collapsed="false">
      <c r="B20" s="8" t="s">
        <v>59</v>
      </c>
      <c r="C20" s="9" t="n">
        <f aca="false">COUNTIF(Master!$B$2:$B$571,$B20)</f>
        <v>25</v>
      </c>
      <c r="D20" s="9" t="n">
        <f aca="false">COUNTIFS(Master!$B$2:$B$571,$B20,Master!$E$2:$E$571,"Easy")</f>
        <v>0</v>
      </c>
      <c r="E20" s="9" t="n">
        <f aca="false">COUNTIFS(Master!$B$2:$B$571,$B20,Master!$E$2:$E$571,"Medium")</f>
        <v>19</v>
      </c>
      <c r="F20" s="9" t="n">
        <f aca="false">COUNTIFS(Master!$B$2:$B$571,$B20,Master!$E$2:$E$571,"Hard")</f>
        <v>6</v>
      </c>
      <c r="G20" s="9" t="n">
        <f aca="false">COUNTIFS(Master!$B$2:$B$571,$B20,Master!$H$2:$H$571,"Solved")+COUNTIFS(Master!$B$2:$B$571,$B20,Master!$H$2:$H$571,"Mastered")</f>
        <v>0</v>
      </c>
      <c r="H20" s="9" t="n">
        <f aca="false">COUNTIFS(Master!$B$2:$B$571,$B20,Master!$H$2:$H$571,"Attempted")+COUNTIFS(Master!$B$2:$B$571,$B20,Master!$H$2:$H$571,"Revisit")</f>
        <v>0</v>
      </c>
      <c r="I20" s="9" t="n">
        <f aca="false">$C20-$G20</f>
        <v>25</v>
      </c>
      <c r="J20" s="10" t="n">
        <f aca="false">IFERROR($G20/$C20,0)</f>
        <v>0</v>
      </c>
    </row>
    <row r="21" customFormat="false" ht="15" hidden="false" customHeight="false" outlineLevel="0" collapsed="false">
      <c r="B21" s="8" t="s">
        <v>60</v>
      </c>
      <c r="C21" s="9" t="n">
        <f aca="false">COUNTIF(Master!$B$2:$B$571,$B21)</f>
        <v>52</v>
      </c>
      <c r="D21" s="9" t="n">
        <f aca="false">COUNTIFS(Master!$B$2:$B$571,$B21,Master!$E$2:$E$571,"Easy")</f>
        <v>19</v>
      </c>
      <c r="E21" s="9" t="n">
        <f aca="false">COUNTIFS(Master!$B$2:$B$571,$B21,Master!$E$2:$E$571,"Medium")</f>
        <v>29</v>
      </c>
      <c r="F21" s="9" t="n">
        <f aca="false">COUNTIFS(Master!$B$2:$B$571,$B21,Master!$E$2:$E$571,"Hard")</f>
        <v>4</v>
      </c>
      <c r="G21" s="9" t="n">
        <f aca="false">COUNTIFS(Master!$B$2:$B$571,$B21,Master!$H$2:$H$571,"Solved")+COUNTIFS(Master!$B$2:$B$571,$B21,Master!$H$2:$H$571,"Mastered")</f>
        <v>0</v>
      </c>
      <c r="H21" s="9" t="n">
        <f aca="false">COUNTIFS(Master!$B$2:$B$571,$B21,Master!$H$2:$H$571,"Attempted")+COUNTIFS(Master!$B$2:$B$571,$B21,Master!$H$2:$H$571,"Revisit")</f>
        <v>0</v>
      </c>
      <c r="I21" s="9" t="n">
        <f aca="false">$C21-$G21</f>
        <v>52</v>
      </c>
      <c r="J21" s="10" t="n">
        <f aca="false">IFERROR($G21/$C21,0)</f>
        <v>0</v>
      </c>
    </row>
    <row r="22" customFormat="false" ht="15" hidden="false" customHeight="false" outlineLevel="0" collapsed="false">
      <c r="B22" s="8" t="s">
        <v>61</v>
      </c>
      <c r="C22" s="9" t="n">
        <f aca="false">COUNTIF(Master!$B$2:$B$571,$B22)</f>
        <v>10</v>
      </c>
      <c r="D22" s="9" t="n">
        <f aca="false">COUNTIFS(Master!$B$2:$B$571,$B22,Master!$E$2:$E$571,"Easy")</f>
        <v>0</v>
      </c>
      <c r="E22" s="9" t="n">
        <f aca="false">COUNTIFS(Master!$B$2:$B$571,$B22,Master!$E$2:$E$571,"Medium")</f>
        <v>8</v>
      </c>
      <c r="F22" s="9" t="n">
        <f aca="false">COUNTIFS(Master!$B$2:$B$571,$B22,Master!$E$2:$E$571,"Hard")</f>
        <v>2</v>
      </c>
      <c r="G22" s="9" t="n">
        <f aca="false">COUNTIFS(Master!$B$2:$B$571,$B22,Master!$H$2:$H$571,"Solved")+COUNTIFS(Master!$B$2:$B$571,$B22,Master!$H$2:$H$571,"Mastered")</f>
        <v>0</v>
      </c>
      <c r="H22" s="9" t="n">
        <f aca="false">COUNTIFS(Master!$B$2:$B$571,$B22,Master!$H$2:$H$571,"Attempted")+COUNTIFS(Master!$B$2:$B$571,$B22,Master!$H$2:$H$571,"Revisit")</f>
        <v>0</v>
      </c>
      <c r="I22" s="9" t="n">
        <f aca="false">$C22-$G22</f>
        <v>10</v>
      </c>
      <c r="J22" s="10" t="n">
        <f aca="false">IFERROR($G22/$C22,0)</f>
        <v>0</v>
      </c>
    </row>
    <row r="23" customFormat="false" ht="15" hidden="false" customHeight="false" outlineLevel="0" collapsed="false">
      <c r="B23" s="8" t="s">
        <v>62</v>
      </c>
      <c r="C23" s="9" t="n">
        <f aca="false">COUNTIF(Master!$B$2:$B$571,$B23)</f>
        <v>56</v>
      </c>
      <c r="D23" s="9" t="n">
        <f aca="false">COUNTIFS(Master!$B$2:$B$571,$B23,Master!$E$2:$E$571,"Easy")</f>
        <v>4</v>
      </c>
      <c r="E23" s="9" t="n">
        <f aca="false">COUNTIFS(Master!$B$2:$B$571,$B23,Master!$E$2:$E$571,"Medium")</f>
        <v>42</v>
      </c>
      <c r="F23" s="9" t="n">
        <f aca="false">COUNTIFS(Master!$B$2:$B$571,$B23,Master!$E$2:$E$571,"Hard")</f>
        <v>10</v>
      </c>
      <c r="G23" s="9" t="n">
        <f aca="false">COUNTIFS(Master!$B$2:$B$571,$B23,Master!$H$2:$H$571,"Solved")+COUNTIFS(Master!$B$2:$B$571,$B23,Master!$H$2:$H$571,"Mastered")</f>
        <v>0</v>
      </c>
      <c r="H23" s="9" t="n">
        <f aca="false">COUNTIFS(Master!$B$2:$B$571,$B23,Master!$H$2:$H$571,"Attempted")+COUNTIFS(Master!$B$2:$B$571,$B23,Master!$H$2:$H$571,"Revisit")</f>
        <v>0</v>
      </c>
      <c r="I23" s="9" t="n">
        <f aca="false">$C23-$G23</f>
        <v>56</v>
      </c>
      <c r="J23" s="10" t="n">
        <f aca="false">IFERROR($G23/$C23,0)</f>
        <v>0</v>
      </c>
    </row>
    <row r="24" customFormat="false" ht="15" hidden="false" customHeight="false" outlineLevel="0" collapsed="false">
      <c r="B24" s="8" t="s">
        <v>63</v>
      </c>
      <c r="C24" s="9" t="n">
        <f aca="false">COUNTIF(Master!$B$2:$B$571,$B24)</f>
        <v>69</v>
      </c>
      <c r="D24" s="9" t="n">
        <f aca="false">COUNTIFS(Master!$B$2:$B$571,$B24,Master!$E$2:$E$571,"Easy")</f>
        <v>2</v>
      </c>
      <c r="E24" s="9" t="n">
        <f aca="false">COUNTIFS(Master!$B$2:$B$571,$B24,Master!$E$2:$E$571,"Medium")</f>
        <v>47</v>
      </c>
      <c r="F24" s="9" t="n">
        <f aca="false">COUNTIFS(Master!$B$2:$B$571,$B24,Master!$E$2:$E$571,"Hard")</f>
        <v>20</v>
      </c>
      <c r="G24" s="9" t="n">
        <f aca="false">COUNTIFS(Master!$B$2:$B$571,$B24,Master!$H$2:$H$571,"Solved")+COUNTIFS(Master!$B$2:$B$571,$B24,Master!$H$2:$H$571,"Mastered")</f>
        <v>0</v>
      </c>
      <c r="H24" s="9" t="n">
        <f aca="false">COUNTIFS(Master!$B$2:$B$571,$B24,Master!$H$2:$H$571,"Attempted")+COUNTIFS(Master!$B$2:$B$571,$B24,Master!$H$2:$H$571,"Revisit")</f>
        <v>0</v>
      </c>
      <c r="I24" s="9" t="n">
        <f aca="false">$C24-$G24</f>
        <v>69</v>
      </c>
      <c r="J24" s="10" t="n">
        <f aca="false">IFERROR($G24/$C24,0)</f>
        <v>0</v>
      </c>
    </row>
    <row r="25" customFormat="false" ht="15" hidden="false" customHeight="false" outlineLevel="0" collapsed="false">
      <c r="B25" s="8" t="s">
        <v>64</v>
      </c>
      <c r="C25" s="9" t="n">
        <f aca="false">COUNTIF(Master!$B$2:$B$571,$B25)</f>
        <v>20</v>
      </c>
      <c r="D25" s="9" t="n">
        <f aca="false">COUNTIFS(Master!$B$2:$B$571,$B25,Master!$E$2:$E$571,"Easy")</f>
        <v>10</v>
      </c>
      <c r="E25" s="9" t="n">
        <f aca="false">COUNTIFS(Master!$B$2:$B$571,$B25,Master!$E$2:$E$571,"Medium")</f>
        <v>10</v>
      </c>
      <c r="F25" s="9" t="n">
        <f aca="false">COUNTIFS(Master!$B$2:$B$571,$B25,Master!$E$2:$E$571,"Hard")</f>
        <v>0</v>
      </c>
      <c r="G25" s="9" t="n">
        <f aca="false">COUNTIFS(Master!$B$2:$B$571,$B25,Master!$H$2:$H$571,"Solved")+COUNTIFS(Master!$B$2:$B$571,$B25,Master!$H$2:$H$571,"Mastered")</f>
        <v>0</v>
      </c>
      <c r="H25" s="9" t="n">
        <f aca="false">COUNTIFS(Master!$B$2:$B$571,$B25,Master!$H$2:$H$571,"Attempted")+COUNTIFS(Master!$B$2:$B$571,$B25,Master!$H$2:$H$571,"Revisit")</f>
        <v>0</v>
      </c>
      <c r="I25" s="9" t="n">
        <f aca="false">$C25-$G25</f>
        <v>20</v>
      </c>
      <c r="J25" s="10" t="n">
        <f aca="false">IFERROR($G25/$C25,0)</f>
        <v>0</v>
      </c>
    </row>
    <row r="26" customFormat="false" ht="15" hidden="false" customHeight="false" outlineLevel="0" collapsed="false">
      <c r="B26" s="8" t="s">
        <v>65</v>
      </c>
      <c r="C26" s="9" t="n">
        <f aca="false">COUNTIF(Master!$B$2:$B$571,$B26)</f>
        <v>17</v>
      </c>
      <c r="D26" s="9" t="n">
        <f aca="false">COUNTIFS(Master!$B$2:$B$571,$B26,Master!$E$2:$E$571,"Easy")</f>
        <v>7</v>
      </c>
      <c r="E26" s="9" t="n">
        <f aca="false">COUNTIFS(Master!$B$2:$B$571,$B26,Master!$E$2:$E$571,"Medium")</f>
        <v>8</v>
      </c>
      <c r="F26" s="9" t="n">
        <f aca="false">COUNTIFS(Master!$B$2:$B$571,$B26,Master!$E$2:$E$571,"Hard")</f>
        <v>2</v>
      </c>
      <c r="G26" s="9" t="n">
        <f aca="false">COUNTIFS(Master!$B$2:$B$571,$B26,Master!$H$2:$H$571,"Solved")+COUNTIFS(Master!$B$2:$B$571,$B26,Master!$H$2:$H$571,"Mastered")</f>
        <v>0</v>
      </c>
      <c r="H26" s="9" t="n">
        <f aca="false">COUNTIFS(Master!$B$2:$B$571,$B26,Master!$H$2:$H$571,"Attempted")+COUNTIFS(Master!$B$2:$B$571,$B26,Master!$H$2:$H$571,"Revisit")</f>
        <v>0</v>
      </c>
      <c r="I26" s="9" t="n">
        <f aca="false">$C26-$G26</f>
        <v>17</v>
      </c>
      <c r="J26" s="10" t="n">
        <f aca="false">IFERROR($G26/$C26,0)</f>
        <v>0</v>
      </c>
    </row>
    <row r="27" customFormat="false" ht="15" hidden="false" customHeight="false" outlineLevel="0" collapsed="false">
      <c r="B27" s="8" t="s">
        <v>66</v>
      </c>
      <c r="C27" s="9" t="n">
        <f aca="false">COUNTIF(Master!$B$2:$B$571,$B27)</f>
        <v>11</v>
      </c>
      <c r="D27" s="9" t="n">
        <f aca="false">COUNTIFS(Master!$B$2:$B$571,$B27,Master!$E$2:$E$571,"Easy")</f>
        <v>1</v>
      </c>
      <c r="E27" s="9" t="n">
        <f aca="false">COUNTIFS(Master!$B$2:$B$571,$B27,Master!$E$2:$E$571,"Medium")</f>
        <v>7</v>
      </c>
      <c r="F27" s="9" t="n">
        <f aca="false">COUNTIFS(Master!$B$2:$B$571,$B27,Master!$E$2:$E$571,"Hard")</f>
        <v>3</v>
      </c>
      <c r="G27" s="9" t="n">
        <f aca="false">COUNTIFS(Master!$B$2:$B$571,$B27,Master!$H$2:$H$571,"Solved")+COUNTIFS(Master!$B$2:$B$571,$B27,Master!$H$2:$H$571,"Mastered")</f>
        <v>0</v>
      </c>
      <c r="H27" s="9" t="n">
        <f aca="false">COUNTIFS(Master!$B$2:$B$571,$B27,Master!$H$2:$H$571,"Attempted")+COUNTIFS(Master!$B$2:$B$571,$B27,Master!$H$2:$H$571,"Revisit")</f>
        <v>0</v>
      </c>
      <c r="I27" s="9" t="n">
        <f aca="false">$C27-$G27</f>
        <v>11</v>
      </c>
      <c r="J27" s="10" t="n">
        <f aca="false">IFERROR($G27/$C27,0)</f>
        <v>0</v>
      </c>
    </row>
    <row r="28" customFormat="false" ht="15" hidden="false" customHeight="false" outlineLevel="0" collapsed="false">
      <c r="B28" s="8" t="s">
        <v>67</v>
      </c>
      <c r="C28" s="9" t="n">
        <f aca="false">COUNTIF(Master!$B$2:$B$571,$B28)</f>
        <v>11</v>
      </c>
      <c r="D28" s="9" t="n">
        <f aca="false">COUNTIFS(Master!$B$2:$B$571,$B28,Master!$E$2:$E$571,"Easy")</f>
        <v>2</v>
      </c>
      <c r="E28" s="9" t="n">
        <f aca="false">COUNTIFS(Master!$B$2:$B$571,$B28,Master!$E$2:$E$571,"Medium")</f>
        <v>7</v>
      </c>
      <c r="F28" s="9" t="n">
        <f aca="false">COUNTIFS(Master!$B$2:$B$571,$B28,Master!$E$2:$E$571,"Hard")</f>
        <v>2</v>
      </c>
      <c r="G28" s="9" t="n">
        <f aca="false">COUNTIFS(Master!$B$2:$B$571,$B28,Master!$H$2:$H$571,"Solved")+COUNTIFS(Master!$B$2:$B$571,$B28,Master!$H$2:$H$571,"Mastered")</f>
        <v>0</v>
      </c>
      <c r="H28" s="9" t="n">
        <f aca="false">COUNTIFS(Master!$B$2:$B$571,$B28,Master!$H$2:$H$571,"Attempted")+COUNTIFS(Master!$B$2:$B$571,$B28,Master!$H$2:$H$571,"Revisit")</f>
        <v>0</v>
      </c>
      <c r="I28" s="9" t="n">
        <f aca="false">$C28-$G28</f>
        <v>11</v>
      </c>
      <c r="J28" s="10" t="n">
        <f aca="false">IFERROR($G28/$C28,0)</f>
        <v>0</v>
      </c>
    </row>
    <row r="29" customFormat="false" ht="15" hidden="false" customHeight="false" outlineLevel="0" collapsed="false">
      <c r="B29" s="8" t="s">
        <v>68</v>
      </c>
      <c r="C29" s="9" t="n">
        <f aca="false">COUNTIF(Master!$B$2:$B$571,$B29)</f>
        <v>8</v>
      </c>
      <c r="D29" s="9" t="n">
        <f aca="false">COUNTIFS(Master!$B$2:$B$571,$B29,Master!$E$2:$E$571,"Easy")</f>
        <v>0</v>
      </c>
      <c r="E29" s="9" t="n">
        <f aca="false">COUNTIFS(Master!$B$2:$B$571,$B29,Master!$E$2:$E$571,"Medium")</f>
        <v>3</v>
      </c>
      <c r="F29" s="9" t="n">
        <f aca="false">COUNTIFS(Master!$B$2:$B$571,$B29,Master!$E$2:$E$571,"Hard")</f>
        <v>5</v>
      </c>
      <c r="G29" s="9" t="n">
        <f aca="false">COUNTIFS(Master!$B$2:$B$571,$B29,Master!$H$2:$H$571,"Solved")+COUNTIFS(Master!$B$2:$B$571,$B29,Master!$H$2:$H$571,"Mastered")</f>
        <v>0</v>
      </c>
      <c r="H29" s="9" t="n">
        <f aca="false">COUNTIFS(Master!$B$2:$B$571,$B29,Master!$H$2:$H$571,"Attempted")+COUNTIFS(Master!$B$2:$B$571,$B29,Master!$H$2:$H$571,"Revisit")</f>
        <v>0</v>
      </c>
      <c r="I29" s="9" t="n">
        <f aca="false">$C29-$G29</f>
        <v>8</v>
      </c>
      <c r="J29" s="10" t="n">
        <f aca="false">IFERROR($G29/$C29,0)</f>
        <v>0</v>
      </c>
    </row>
    <row r="30" customFormat="false" ht="15" hidden="false" customHeight="false" outlineLevel="0" collapsed="false">
      <c r="B30" s="11" t="s">
        <v>69</v>
      </c>
      <c r="C30" s="12" t="n">
        <f aca="false">SUM(C7:C29)</f>
        <v>570</v>
      </c>
      <c r="D30" s="12" t="n">
        <f aca="false">SUM(D7:D29)</f>
        <v>134</v>
      </c>
      <c r="E30" s="12" t="n">
        <f aca="false">SUM(E7:E29)</f>
        <v>346</v>
      </c>
      <c r="F30" s="12" t="n">
        <f aca="false">SUM(F7:F29)</f>
        <v>90</v>
      </c>
      <c r="G30" s="12" t="n">
        <f aca="false">SUM(G7:G29)</f>
        <v>0</v>
      </c>
      <c r="H30" s="12" t="n">
        <f aca="false">SUM(H7:H29)</f>
        <v>0</v>
      </c>
      <c r="I30" s="12" t="n">
        <f aca="false">SUM(I7:I29)</f>
        <v>570</v>
      </c>
      <c r="J30" s="13" t="n">
        <f aca="false">IFERROR($G30/$C30,0)</f>
        <v>0</v>
      </c>
    </row>
    <row r="32" customFormat="false" ht="15" hidden="false" customHeight="false" outlineLevel="0" collapsed="false">
      <c r="B32" s="14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46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7" t="s">
        <v>71</v>
      </c>
      <c r="B1" s="7" t="s">
        <v>37</v>
      </c>
      <c r="C1" s="7" t="s">
        <v>72</v>
      </c>
      <c r="D1" s="7" t="s">
        <v>73</v>
      </c>
      <c r="E1" s="7" t="s">
        <v>74</v>
      </c>
      <c r="F1" s="7" t="s">
        <v>75</v>
      </c>
      <c r="G1" s="7" t="s">
        <v>76</v>
      </c>
      <c r="H1" s="7" t="s">
        <v>77</v>
      </c>
      <c r="I1" s="7" t="s">
        <v>78</v>
      </c>
      <c r="J1" s="7" t="s">
        <v>79</v>
      </c>
      <c r="K1" s="7" t="s">
        <v>80</v>
      </c>
      <c r="L1" s="7" t="s">
        <v>81</v>
      </c>
    </row>
    <row r="2" customFormat="false" ht="15" hidden="false" customHeight="false" outlineLevel="0" collapsed="false">
      <c r="A2" s="15" t="n">
        <v>1</v>
      </c>
      <c r="B2" s="15" t="s">
        <v>46</v>
      </c>
      <c r="C2" s="15" t="s">
        <v>82</v>
      </c>
      <c r="D2" s="15" t="s">
        <v>83</v>
      </c>
      <c r="E2" s="16" t="s">
        <v>39</v>
      </c>
      <c r="F2" s="15" t="s">
        <v>84</v>
      </c>
      <c r="G2" s="17" t="s">
        <v>85</v>
      </c>
      <c r="H2" s="16" t="s">
        <v>86</v>
      </c>
      <c r="I2" s="15"/>
      <c r="J2" s="15"/>
      <c r="K2" s="18"/>
      <c r="L2" s="15"/>
    </row>
    <row r="3" customFormat="false" ht="15" hidden="false" customHeight="false" outlineLevel="0" collapsed="false">
      <c r="A3" s="15" t="n">
        <v>2</v>
      </c>
      <c r="B3" s="15" t="s">
        <v>46</v>
      </c>
      <c r="C3" s="15" t="s">
        <v>82</v>
      </c>
      <c r="D3" s="15" t="s">
        <v>87</v>
      </c>
      <c r="E3" s="16" t="s">
        <v>39</v>
      </c>
      <c r="F3" s="15" t="s">
        <v>84</v>
      </c>
      <c r="G3" s="17" t="s">
        <v>85</v>
      </c>
      <c r="H3" s="16" t="s">
        <v>86</v>
      </c>
      <c r="I3" s="15"/>
      <c r="J3" s="15"/>
      <c r="K3" s="18"/>
      <c r="L3" s="15"/>
    </row>
    <row r="4" customFormat="false" ht="15" hidden="false" customHeight="false" outlineLevel="0" collapsed="false">
      <c r="A4" s="15" t="n">
        <v>3</v>
      </c>
      <c r="B4" s="15" t="s">
        <v>46</v>
      </c>
      <c r="C4" s="15" t="s">
        <v>82</v>
      </c>
      <c r="D4" s="15" t="s">
        <v>88</v>
      </c>
      <c r="E4" s="16" t="s">
        <v>39</v>
      </c>
      <c r="F4" s="15" t="s">
        <v>84</v>
      </c>
      <c r="G4" s="17" t="s">
        <v>85</v>
      </c>
      <c r="H4" s="16" t="s">
        <v>86</v>
      </c>
      <c r="I4" s="15"/>
      <c r="J4" s="15"/>
      <c r="K4" s="18"/>
      <c r="L4" s="15"/>
    </row>
    <row r="5" customFormat="false" ht="15" hidden="false" customHeight="false" outlineLevel="0" collapsed="false">
      <c r="A5" s="15" t="n">
        <v>4</v>
      </c>
      <c r="B5" s="15" t="s">
        <v>46</v>
      </c>
      <c r="C5" s="15" t="s">
        <v>82</v>
      </c>
      <c r="D5" s="15" t="s">
        <v>89</v>
      </c>
      <c r="E5" s="16" t="s">
        <v>39</v>
      </c>
      <c r="F5" s="15" t="s">
        <v>84</v>
      </c>
      <c r="G5" s="17" t="s">
        <v>85</v>
      </c>
      <c r="H5" s="16" t="s">
        <v>86</v>
      </c>
      <c r="I5" s="15"/>
      <c r="J5" s="15"/>
      <c r="K5" s="18"/>
      <c r="L5" s="15"/>
    </row>
    <row r="6" customFormat="false" ht="15" hidden="false" customHeight="false" outlineLevel="0" collapsed="false">
      <c r="A6" s="15" t="n">
        <v>5</v>
      </c>
      <c r="B6" s="15" t="s">
        <v>46</v>
      </c>
      <c r="C6" s="15" t="s">
        <v>82</v>
      </c>
      <c r="D6" s="15" t="s">
        <v>90</v>
      </c>
      <c r="E6" s="16" t="s">
        <v>39</v>
      </c>
      <c r="F6" s="15" t="s">
        <v>84</v>
      </c>
      <c r="G6" s="17" t="s">
        <v>85</v>
      </c>
      <c r="H6" s="16" t="s">
        <v>86</v>
      </c>
      <c r="I6" s="15"/>
      <c r="J6" s="15"/>
      <c r="K6" s="18"/>
      <c r="L6" s="15"/>
    </row>
    <row r="7" customFormat="false" ht="15" hidden="false" customHeight="false" outlineLevel="0" collapsed="false">
      <c r="A7" s="15" t="n">
        <v>6</v>
      </c>
      <c r="B7" s="15" t="s">
        <v>46</v>
      </c>
      <c r="C7" s="15" t="s">
        <v>82</v>
      </c>
      <c r="D7" s="15" t="s">
        <v>91</v>
      </c>
      <c r="E7" s="16" t="s">
        <v>39</v>
      </c>
      <c r="F7" s="15" t="s">
        <v>84</v>
      </c>
      <c r="G7" s="17" t="s">
        <v>85</v>
      </c>
      <c r="H7" s="16" t="s">
        <v>86</v>
      </c>
      <c r="I7" s="15"/>
      <c r="J7" s="15"/>
      <c r="K7" s="18"/>
      <c r="L7" s="15"/>
    </row>
    <row r="8" customFormat="false" ht="15" hidden="false" customHeight="false" outlineLevel="0" collapsed="false">
      <c r="A8" s="15" t="n">
        <v>7</v>
      </c>
      <c r="B8" s="15" t="s">
        <v>46</v>
      </c>
      <c r="C8" s="15" t="s">
        <v>82</v>
      </c>
      <c r="D8" s="15" t="s">
        <v>92</v>
      </c>
      <c r="E8" s="16" t="s">
        <v>39</v>
      </c>
      <c r="F8" s="15" t="s">
        <v>84</v>
      </c>
      <c r="G8" s="17" t="s">
        <v>85</v>
      </c>
      <c r="H8" s="16" t="s">
        <v>86</v>
      </c>
      <c r="I8" s="15"/>
      <c r="J8" s="15"/>
      <c r="K8" s="18"/>
      <c r="L8" s="15"/>
    </row>
    <row r="9" customFormat="false" ht="15" hidden="false" customHeight="false" outlineLevel="0" collapsed="false">
      <c r="A9" s="15" t="n">
        <v>8</v>
      </c>
      <c r="B9" s="15" t="s">
        <v>46</v>
      </c>
      <c r="C9" s="15" t="s">
        <v>82</v>
      </c>
      <c r="D9" s="15" t="s">
        <v>93</v>
      </c>
      <c r="E9" s="16" t="s">
        <v>39</v>
      </c>
      <c r="F9" s="15" t="s">
        <v>84</v>
      </c>
      <c r="G9" s="17" t="s">
        <v>85</v>
      </c>
      <c r="H9" s="16" t="s">
        <v>86</v>
      </c>
      <c r="I9" s="15"/>
      <c r="J9" s="15"/>
      <c r="K9" s="18"/>
      <c r="L9" s="15"/>
    </row>
    <row r="10" customFormat="false" ht="15" hidden="false" customHeight="false" outlineLevel="0" collapsed="false">
      <c r="A10" s="15" t="n">
        <v>9</v>
      </c>
      <c r="B10" s="15" t="s">
        <v>46</v>
      </c>
      <c r="C10" s="15" t="s">
        <v>82</v>
      </c>
      <c r="D10" s="15" t="s">
        <v>94</v>
      </c>
      <c r="E10" s="16" t="s">
        <v>39</v>
      </c>
      <c r="F10" s="15" t="s">
        <v>95</v>
      </c>
      <c r="G10" s="17" t="s">
        <v>85</v>
      </c>
      <c r="H10" s="16" t="s">
        <v>86</v>
      </c>
      <c r="I10" s="15"/>
      <c r="J10" s="15"/>
      <c r="K10" s="18"/>
      <c r="L10" s="15"/>
    </row>
    <row r="11" customFormat="false" ht="15" hidden="false" customHeight="false" outlineLevel="0" collapsed="false">
      <c r="A11" s="15" t="n">
        <v>10</v>
      </c>
      <c r="B11" s="15" t="s">
        <v>46</v>
      </c>
      <c r="C11" s="15" t="s">
        <v>82</v>
      </c>
      <c r="D11" s="15" t="s">
        <v>96</v>
      </c>
      <c r="E11" s="16" t="s">
        <v>40</v>
      </c>
      <c r="F11" s="15" t="s">
        <v>95</v>
      </c>
      <c r="G11" s="17" t="s">
        <v>85</v>
      </c>
      <c r="H11" s="16" t="s">
        <v>86</v>
      </c>
      <c r="I11" s="15"/>
      <c r="J11" s="15"/>
      <c r="K11" s="18"/>
      <c r="L11" s="15"/>
    </row>
    <row r="12" customFormat="false" ht="15" hidden="false" customHeight="false" outlineLevel="0" collapsed="false">
      <c r="A12" s="15" t="n">
        <v>11</v>
      </c>
      <c r="B12" s="15" t="s">
        <v>46</v>
      </c>
      <c r="C12" s="15" t="s">
        <v>97</v>
      </c>
      <c r="D12" s="15" t="s">
        <v>98</v>
      </c>
      <c r="E12" s="16" t="s">
        <v>40</v>
      </c>
      <c r="F12" s="15" t="s">
        <v>84</v>
      </c>
      <c r="G12" s="17" t="s">
        <v>85</v>
      </c>
      <c r="H12" s="16" t="s">
        <v>86</v>
      </c>
      <c r="I12" s="15"/>
      <c r="J12" s="15"/>
      <c r="K12" s="18"/>
      <c r="L12" s="15"/>
    </row>
    <row r="13" customFormat="false" ht="15" hidden="false" customHeight="false" outlineLevel="0" collapsed="false">
      <c r="A13" s="15" t="n">
        <v>12</v>
      </c>
      <c r="B13" s="15" t="s">
        <v>46</v>
      </c>
      <c r="C13" s="15" t="s">
        <v>97</v>
      </c>
      <c r="D13" s="15" t="s">
        <v>99</v>
      </c>
      <c r="E13" s="16" t="s">
        <v>40</v>
      </c>
      <c r="F13" s="15" t="s">
        <v>84</v>
      </c>
      <c r="G13" s="17" t="s">
        <v>85</v>
      </c>
      <c r="H13" s="16" t="s">
        <v>86</v>
      </c>
      <c r="I13" s="15"/>
      <c r="J13" s="15"/>
      <c r="K13" s="18"/>
      <c r="L13" s="15"/>
    </row>
    <row r="14" customFormat="false" ht="15" hidden="false" customHeight="false" outlineLevel="0" collapsed="false">
      <c r="A14" s="15" t="n">
        <v>13</v>
      </c>
      <c r="B14" s="15" t="s">
        <v>46</v>
      </c>
      <c r="C14" s="15" t="s">
        <v>97</v>
      </c>
      <c r="D14" s="15" t="s">
        <v>100</v>
      </c>
      <c r="E14" s="16" t="s">
        <v>40</v>
      </c>
      <c r="F14" s="15" t="s">
        <v>84</v>
      </c>
      <c r="G14" s="17" t="s">
        <v>85</v>
      </c>
      <c r="H14" s="16" t="s">
        <v>86</v>
      </c>
      <c r="I14" s="15"/>
      <c r="J14" s="15"/>
      <c r="K14" s="18"/>
      <c r="L14" s="15"/>
    </row>
    <row r="15" customFormat="false" ht="15" hidden="false" customHeight="false" outlineLevel="0" collapsed="false">
      <c r="A15" s="15" t="n">
        <v>14</v>
      </c>
      <c r="B15" s="15" t="s">
        <v>46</v>
      </c>
      <c r="C15" s="15" t="s">
        <v>97</v>
      </c>
      <c r="D15" s="15" t="s">
        <v>101</v>
      </c>
      <c r="E15" s="16" t="s">
        <v>40</v>
      </c>
      <c r="F15" s="15" t="s">
        <v>95</v>
      </c>
      <c r="G15" s="17" t="s">
        <v>85</v>
      </c>
      <c r="H15" s="16" t="s">
        <v>86</v>
      </c>
      <c r="I15" s="15"/>
      <c r="J15" s="15"/>
      <c r="K15" s="18"/>
      <c r="L15" s="15"/>
    </row>
    <row r="16" customFormat="false" ht="15" hidden="false" customHeight="false" outlineLevel="0" collapsed="false">
      <c r="A16" s="15" t="n">
        <v>15</v>
      </c>
      <c r="B16" s="15" t="s">
        <v>46</v>
      </c>
      <c r="C16" s="15" t="s">
        <v>97</v>
      </c>
      <c r="D16" s="15" t="s">
        <v>102</v>
      </c>
      <c r="E16" s="16" t="s">
        <v>39</v>
      </c>
      <c r="F16" s="15" t="s">
        <v>95</v>
      </c>
      <c r="G16" s="17" t="s">
        <v>85</v>
      </c>
      <c r="H16" s="16" t="s">
        <v>86</v>
      </c>
      <c r="I16" s="15"/>
      <c r="J16" s="15"/>
      <c r="K16" s="18"/>
      <c r="L16" s="15"/>
    </row>
    <row r="17" customFormat="false" ht="15" hidden="false" customHeight="false" outlineLevel="0" collapsed="false">
      <c r="A17" s="15" t="n">
        <v>16</v>
      </c>
      <c r="B17" s="15" t="s">
        <v>47</v>
      </c>
      <c r="C17" s="15" t="s">
        <v>103</v>
      </c>
      <c r="D17" s="15" t="s">
        <v>104</v>
      </c>
      <c r="E17" s="16" t="s">
        <v>39</v>
      </c>
      <c r="F17" s="15" t="s">
        <v>95</v>
      </c>
      <c r="G17" s="17" t="s">
        <v>85</v>
      </c>
      <c r="H17" s="16" t="s">
        <v>86</v>
      </c>
      <c r="I17" s="15"/>
      <c r="J17" s="15"/>
      <c r="K17" s="18"/>
      <c r="L17" s="15"/>
    </row>
    <row r="18" customFormat="false" ht="15" hidden="false" customHeight="false" outlineLevel="0" collapsed="false">
      <c r="A18" s="15" t="n">
        <v>17</v>
      </c>
      <c r="B18" s="15" t="s">
        <v>47</v>
      </c>
      <c r="C18" s="15" t="s">
        <v>105</v>
      </c>
      <c r="D18" s="15" t="s">
        <v>106</v>
      </c>
      <c r="E18" s="16" t="s">
        <v>40</v>
      </c>
      <c r="F18" s="15" t="s">
        <v>95</v>
      </c>
      <c r="G18" s="17" t="s">
        <v>85</v>
      </c>
      <c r="H18" s="16" t="s">
        <v>86</v>
      </c>
      <c r="I18" s="15"/>
      <c r="J18" s="15"/>
      <c r="K18" s="18"/>
      <c r="L18" s="15"/>
    </row>
    <row r="19" customFormat="false" ht="15" hidden="false" customHeight="false" outlineLevel="0" collapsed="false">
      <c r="A19" s="15" t="n">
        <v>18</v>
      </c>
      <c r="B19" s="15" t="s">
        <v>47</v>
      </c>
      <c r="C19" s="15" t="s">
        <v>105</v>
      </c>
      <c r="D19" s="15" t="s">
        <v>107</v>
      </c>
      <c r="E19" s="16" t="s">
        <v>39</v>
      </c>
      <c r="F19" s="15" t="s">
        <v>95</v>
      </c>
      <c r="G19" s="17" t="s">
        <v>85</v>
      </c>
      <c r="H19" s="16" t="s">
        <v>86</v>
      </c>
      <c r="I19" s="15"/>
      <c r="J19" s="15"/>
      <c r="K19" s="18"/>
      <c r="L19" s="15"/>
    </row>
    <row r="20" customFormat="false" ht="15" hidden="false" customHeight="false" outlineLevel="0" collapsed="false">
      <c r="A20" s="15" t="n">
        <v>19</v>
      </c>
      <c r="B20" s="15" t="s">
        <v>47</v>
      </c>
      <c r="C20" s="15" t="s">
        <v>105</v>
      </c>
      <c r="D20" s="15" t="s">
        <v>108</v>
      </c>
      <c r="E20" s="16" t="s">
        <v>40</v>
      </c>
      <c r="F20" s="15" t="s">
        <v>95</v>
      </c>
      <c r="G20" s="17" t="s">
        <v>85</v>
      </c>
      <c r="H20" s="16" t="s">
        <v>86</v>
      </c>
      <c r="I20" s="15"/>
      <c r="J20" s="15"/>
      <c r="K20" s="18"/>
      <c r="L20" s="15"/>
    </row>
    <row r="21" customFormat="false" ht="15" hidden="false" customHeight="false" outlineLevel="0" collapsed="false">
      <c r="A21" s="15" t="n">
        <v>20</v>
      </c>
      <c r="B21" s="15" t="s">
        <v>47</v>
      </c>
      <c r="C21" s="15" t="s">
        <v>105</v>
      </c>
      <c r="D21" s="15" t="s">
        <v>109</v>
      </c>
      <c r="E21" s="16" t="s">
        <v>39</v>
      </c>
      <c r="F21" s="15" t="s">
        <v>95</v>
      </c>
      <c r="G21" s="17" t="s">
        <v>85</v>
      </c>
      <c r="H21" s="16" t="s">
        <v>86</v>
      </c>
      <c r="I21" s="15"/>
      <c r="J21" s="15"/>
      <c r="K21" s="18"/>
      <c r="L21" s="15"/>
    </row>
    <row r="22" customFormat="false" ht="15" hidden="false" customHeight="false" outlineLevel="0" collapsed="false">
      <c r="A22" s="15" t="n">
        <v>21</v>
      </c>
      <c r="B22" s="15" t="s">
        <v>47</v>
      </c>
      <c r="C22" s="15" t="s">
        <v>105</v>
      </c>
      <c r="D22" s="15" t="s">
        <v>110</v>
      </c>
      <c r="E22" s="16" t="s">
        <v>39</v>
      </c>
      <c r="F22" s="15" t="s">
        <v>95</v>
      </c>
      <c r="G22" s="17" t="s">
        <v>85</v>
      </c>
      <c r="H22" s="16" t="s">
        <v>86</v>
      </c>
      <c r="I22" s="15"/>
      <c r="J22" s="15"/>
      <c r="K22" s="18"/>
      <c r="L22" s="15"/>
    </row>
    <row r="23" customFormat="false" ht="15" hidden="false" customHeight="false" outlineLevel="0" collapsed="false">
      <c r="A23" s="15" t="n">
        <v>22</v>
      </c>
      <c r="B23" s="15" t="s">
        <v>47</v>
      </c>
      <c r="C23" s="15" t="s">
        <v>105</v>
      </c>
      <c r="D23" s="15" t="s">
        <v>111</v>
      </c>
      <c r="E23" s="16" t="s">
        <v>39</v>
      </c>
      <c r="F23" s="15" t="s">
        <v>95</v>
      </c>
      <c r="G23" s="17" t="s">
        <v>85</v>
      </c>
      <c r="H23" s="16" t="s">
        <v>86</v>
      </c>
      <c r="I23" s="15"/>
      <c r="J23" s="15"/>
      <c r="K23" s="18"/>
      <c r="L23" s="15"/>
    </row>
    <row r="24" customFormat="false" ht="15" hidden="false" customHeight="false" outlineLevel="0" collapsed="false">
      <c r="A24" s="15" t="n">
        <v>23</v>
      </c>
      <c r="B24" s="15" t="s">
        <v>47</v>
      </c>
      <c r="C24" s="15" t="s">
        <v>105</v>
      </c>
      <c r="D24" s="15" t="s">
        <v>112</v>
      </c>
      <c r="E24" s="16" t="s">
        <v>39</v>
      </c>
      <c r="F24" s="15" t="s">
        <v>95</v>
      </c>
      <c r="G24" s="17" t="s">
        <v>85</v>
      </c>
      <c r="H24" s="16" t="s">
        <v>86</v>
      </c>
      <c r="I24" s="15"/>
      <c r="J24" s="15"/>
      <c r="K24" s="18"/>
      <c r="L24" s="15"/>
    </row>
    <row r="25" customFormat="false" ht="15" hidden="false" customHeight="false" outlineLevel="0" collapsed="false">
      <c r="A25" s="15" t="n">
        <v>24</v>
      </c>
      <c r="B25" s="15" t="s">
        <v>47</v>
      </c>
      <c r="C25" s="15" t="s">
        <v>105</v>
      </c>
      <c r="D25" s="15" t="s">
        <v>113</v>
      </c>
      <c r="E25" s="16" t="s">
        <v>39</v>
      </c>
      <c r="F25" s="15" t="s">
        <v>95</v>
      </c>
      <c r="G25" s="17" t="s">
        <v>85</v>
      </c>
      <c r="H25" s="16" t="s">
        <v>86</v>
      </c>
      <c r="I25" s="15"/>
      <c r="J25" s="15"/>
      <c r="K25" s="18"/>
      <c r="L25" s="15"/>
    </row>
    <row r="26" customFormat="false" ht="15" hidden="false" customHeight="false" outlineLevel="0" collapsed="false">
      <c r="A26" s="15" t="n">
        <v>25</v>
      </c>
      <c r="B26" s="15" t="s">
        <v>47</v>
      </c>
      <c r="C26" s="15" t="s">
        <v>105</v>
      </c>
      <c r="D26" s="15" t="s">
        <v>114</v>
      </c>
      <c r="E26" s="16" t="s">
        <v>39</v>
      </c>
      <c r="F26" s="15" t="s">
        <v>95</v>
      </c>
      <c r="G26" s="17" t="s">
        <v>85</v>
      </c>
      <c r="H26" s="16" t="s">
        <v>86</v>
      </c>
      <c r="I26" s="15"/>
      <c r="J26" s="15"/>
      <c r="K26" s="18"/>
      <c r="L26" s="15"/>
    </row>
    <row r="27" customFormat="false" ht="15" hidden="false" customHeight="false" outlineLevel="0" collapsed="false">
      <c r="A27" s="15" t="n">
        <v>26</v>
      </c>
      <c r="B27" s="15" t="s">
        <v>47</v>
      </c>
      <c r="C27" s="15" t="s">
        <v>115</v>
      </c>
      <c r="D27" s="15" t="s">
        <v>116</v>
      </c>
      <c r="E27" s="16" t="s">
        <v>40</v>
      </c>
      <c r="F27" s="15" t="s">
        <v>95</v>
      </c>
      <c r="G27" s="17" t="s">
        <v>85</v>
      </c>
      <c r="H27" s="16" t="s">
        <v>86</v>
      </c>
      <c r="I27" s="15"/>
      <c r="J27" s="15"/>
      <c r="K27" s="18"/>
      <c r="L27" s="15"/>
    </row>
    <row r="28" customFormat="false" ht="15" hidden="false" customHeight="false" outlineLevel="0" collapsed="false">
      <c r="A28" s="15" t="n">
        <v>27</v>
      </c>
      <c r="B28" s="15" t="s">
        <v>47</v>
      </c>
      <c r="C28" s="15" t="s">
        <v>115</v>
      </c>
      <c r="D28" s="15" t="s">
        <v>117</v>
      </c>
      <c r="E28" s="16" t="s">
        <v>39</v>
      </c>
      <c r="F28" s="15" t="s">
        <v>84</v>
      </c>
      <c r="G28" s="17" t="s">
        <v>85</v>
      </c>
      <c r="H28" s="16" t="s">
        <v>86</v>
      </c>
      <c r="I28" s="15"/>
      <c r="J28" s="15"/>
      <c r="K28" s="18"/>
      <c r="L28" s="15"/>
    </row>
    <row r="29" customFormat="false" ht="15" hidden="false" customHeight="false" outlineLevel="0" collapsed="false">
      <c r="A29" s="15" t="n">
        <v>28</v>
      </c>
      <c r="B29" s="15" t="s">
        <v>47</v>
      </c>
      <c r="C29" s="15" t="s">
        <v>105</v>
      </c>
      <c r="D29" s="15" t="s">
        <v>118</v>
      </c>
      <c r="E29" s="16" t="s">
        <v>40</v>
      </c>
      <c r="F29" s="15" t="s">
        <v>95</v>
      </c>
      <c r="G29" s="17" t="s">
        <v>85</v>
      </c>
      <c r="H29" s="16" t="s">
        <v>86</v>
      </c>
      <c r="I29" s="15"/>
      <c r="J29" s="15"/>
      <c r="K29" s="18"/>
      <c r="L29" s="15"/>
    </row>
    <row r="30" customFormat="false" ht="15" hidden="false" customHeight="false" outlineLevel="0" collapsed="false">
      <c r="A30" s="15" t="n">
        <v>29</v>
      </c>
      <c r="B30" s="15" t="s">
        <v>47</v>
      </c>
      <c r="C30" s="15" t="s">
        <v>105</v>
      </c>
      <c r="D30" s="15" t="s">
        <v>119</v>
      </c>
      <c r="E30" s="16" t="s">
        <v>41</v>
      </c>
      <c r="F30" s="15" t="s">
        <v>95</v>
      </c>
      <c r="G30" s="17" t="s">
        <v>85</v>
      </c>
      <c r="H30" s="16" t="s">
        <v>86</v>
      </c>
      <c r="I30" s="15"/>
      <c r="J30" s="15"/>
      <c r="K30" s="18"/>
      <c r="L30" s="15"/>
    </row>
    <row r="31" customFormat="false" ht="15" hidden="false" customHeight="false" outlineLevel="0" collapsed="false">
      <c r="A31" s="15" t="n">
        <v>30</v>
      </c>
      <c r="B31" s="15" t="s">
        <v>47</v>
      </c>
      <c r="C31" s="15" t="s">
        <v>120</v>
      </c>
      <c r="D31" s="15" t="s">
        <v>121</v>
      </c>
      <c r="E31" s="16" t="s">
        <v>40</v>
      </c>
      <c r="F31" s="15" t="s">
        <v>95</v>
      </c>
      <c r="G31" s="17" t="s">
        <v>85</v>
      </c>
      <c r="H31" s="16" t="s">
        <v>86</v>
      </c>
      <c r="I31" s="15"/>
      <c r="J31" s="15"/>
      <c r="K31" s="18"/>
      <c r="L31" s="15"/>
    </row>
    <row r="32" customFormat="false" ht="15" hidden="false" customHeight="false" outlineLevel="0" collapsed="false">
      <c r="A32" s="15" t="n">
        <v>31</v>
      </c>
      <c r="B32" s="15" t="s">
        <v>47</v>
      </c>
      <c r="C32" s="15" t="s">
        <v>120</v>
      </c>
      <c r="D32" s="15" t="s">
        <v>122</v>
      </c>
      <c r="E32" s="16" t="s">
        <v>40</v>
      </c>
      <c r="F32" s="15" t="s">
        <v>95</v>
      </c>
      <c r="G32" s="17" t="s">
        <v>85</v>
      </c>
      <c r="H32" s="16" t="s">
        <v>86</v>
      </c>
      <c r="I32" s="15"/>
      <c r="J32" s="15"/>
      <c r="K32" s="18"/>
      <c r="L32" s="15"/>
    </row>
    <row r="33" customFormat="false" ht="15" hidden="false" customHeight="false" outlineLevel="0" collapsed="false">
      <c r="A33" s="15" t="n">
        <v>32</v>
      </c>
      <c r="B33" s="15" t="s">
        <v>47</v>
      </c>
      <c r="C33" s="15" t="s">
        <v>120</v>
      </c>
      <c r="D33" s="15" t="s">
        <v>123</v>
      </c>
      <c r="E33" s="16" t="s">
        <v>40</v>
      </c>
      <c r="F33" s="15" t="s">
        <v>95</v>
      </c>
      <c r="G33" s="17" t="s">
        <v>85</v>
      </c>
      <c r="H33" s="16" t="s">
        <v>86</v>
      </c>
      <c r="I33" s="15"/>
      <c r="J33" s="15"/>
      <c r="K33" s="18"/>
      <c r="L33" s="15"/>
    </row>
    <row r="34" customFormat="false" ht="15" hidden="false" customHeight="false" outlineLevel="0" collapsed="false">
      <c r="A34" s="15" t="n">
        <v>33</v>
      </c>
      <c r="B34" s="15" t="s">
        <v>47</v>
      </c>
      <c r="C34" s="15" t="s">
        <v>120</v>
      </c>
      <c r="D34" s="15" t="s">
        <v>124</v>
      </c>
      <c r="E34" s="16" t="s">
        <v>40</v>
      </c>
      <c r="F34" s="15" t="s">
        <v>84</v>
      </c>
      <c r="G34" s="17" t="s">
        <v>85</v>
      </c>
      <c r="H34" s="16" t="s">
        <v>86</v>
      </c>
      <c r="I34" s="15"/>
      <c r="J34" s="15"/>
      <c r="K34" s="18"/>
      <c r="L34" s="15"/>
    </row>
    <row r="35" customFormat="false" ht="15" hidden="false" customHeight="false" outlineLevel="0" collapsed="false">
      <c r="A35" s="15" t="n">
        <v>34</v>
      </c>
      <c r="B35" s="15" t="s">
        <v>47</v>
      </c>
      <c r="C35" s="15" t="s">
        <v>105</v>
      </c>
      <c r="D35" s="15" t="s">
        <v>125</v>
      </c>
      <c r="E35" s="16" t="s">
        <v>40</v>
      </c>
      <c r="F35" s="15" t="s">
        <v>95</v>
      </c>
      <c r="G35" s="17" t="s">
        <v>85</v>
      </c>
      <c r="H35" s="16" t="s">
        <v>86</v>
      </c>
      <c r="I35" s="15"/>
      <c r="J35" s="15"/>
      <c r="K35" s="18"/>
      <c r="L35" s="15"/>
    </row>
    <row r="36" customFormat="false" ht="15" hidden="false" customHeight="false" outlineLevel="0" collapsed="false">
      <c r="A36" s="15" t="n">
        <v>35</v>
      </c>
      <c r="B36" s="15" t="s">
        <v>47</v>
      </c>
      <c r="C36" s="15" t="s">
        <v>105</v>
      </c>
      <c r="D36" s="15" t="s">
        <v>126</v>
      </c>
      <c r="E36" s="16" t="s">
        <v>40</v>
      </c>
      <c r="F36" s="15" t="s">
        <v>95</v>
      </c>
      <c r="G36" s="17" t="s">
        <v>85</v>
      </c>
      <c r="H36" s="16" t="s">
        <v>86</v>
      </c>
      <c r="I36" s="15"/>
      <c r="J36" s="15"/>
      <c r="K36" s="18"/>
      <c r="L36" s="15"/>
    </row>
    <row r="37" customFormat="false" ht="15" hidden="false" customHeight="false" outlineLevel="0" collapsed="false">
      <c r="A37" s="15" t="n">
        <v>36</v>
      </c>
      <c r="B37" s="15" t="s">
        <v>47</v>
      </c>
      <c r="C37" s="15" t="s">
        <v>127</v>
      </c>
      <c r="D37" s="15" t="s">
        <v>128</v>
      </c>
      <c r="E37" s="16" t="s">
        <v>40</v>
      </c>
      <c r="F37" s="15" t="s">
        <v>95</v>
      </c>
      <c r="G37" s="17" t="s">
        <v>85</v>
      </c>
      <c r="H37" s="16" t="s">
        <v>86</v>
      </c>
      <c r="I37" s="15"/>
      <c r="J37" s="15"/>
      <c r="K37" s="18"/>
      <c r="L37" s="15"/>
    </row>
    <row r="38" customFormat="false" ht="15" hidden="false" customHeight="false" outlineLevel="0" collapsed="false">
      <c r="A38" s="15" t="n">
        <v>37</v>
      </c>
      <c r="B38" s="15" t="s">
        <v>47</v>
      </c>
      <c r="C38" s="15" t="s">
        <v>127</v>
      </c>
      <c r="D38" s="15" t="s">
        <v>129</v>
      </c>
      <c r="E38" s="16" t="s">
        <v>40</v>
      </c>
      <c r="F38" s="15" t="s">
        <v>95</v>
      </c>
      <c r="G38" s="17" t="s">
        <v>85</v>
      </c>
      <c r="H38" s="16" t="s">
        <v>86</v>
      </c>
      <c r="I38" s="15"/>
      <c r="J38" s="15"/>
      <c r="K38" s="18"/>
      <c r="L38" s="15"/>
    </row>
    <row r="39" customFormat="false" ht="15" hidden="false" customHeight="false" outlineLevel="0" collapsed="false">
      <c r="A39" s="15" t="n">
        <v>38</v>
      </c>
      <c r="B39" s="15" t="s">
        <v>47</v>
      </c>
      <c r="C39" s="15" t="s">
        <v>127</v>
      </c>
      <c r="D39" s="15" t="s">
        <v>130</v>
      </c>
      <c r="E39" s="16" t="s">
        <v>40</v>
      </c>
      <c r="F39" s="15" t="s">
        <v>95</v>
      </c>
      <c r="G39" s="17" t="s">
        <v>85</v>
      </c>
      <c r="H39" s="16" t="s">
        <v>86</v>
      </c>
      <c r="I39" s="15"/>
      <c r="J39" s="15"/>
      <c r="K39" s="18"/>
      <c r="L39" s="15"/>
    </row>
    <row r="40" customFormat="false" ht="15" hidden="false" customHeight="false" outlineLevel="0" collapsed="false">
      <c r="A40" s="15" t="n">
        <v>39</v>
      </c>
      <c r="B40" s="15" t="s">
        <v>47</v>
      </c>
      <c r="C40" s="15" t="s">
        <v>127</v>
      </c>
      <c r="D40" s="15" t="s">
        <v>131</v>
      </c>
      <c r="E40" s="16" t="s">
        <v>40</v>
      </c>
      <c r="F40" s="15" t="s">
        <v>95</v>
      </c>
      <c r="G40" s="17" t="s">
        <v>85</v>
      </c>
      <c r="H40" s="16" t="s">
        <v>86</v>
      </c>
      <c r="I40" s="15"/>
      <c r="J40" s="15"/>
      <c r="K40" s="18"/>
      <c r="L40" s="15"/>
    </row>
    <row r="41" customFormat="false" ht="15" hidden="false" customHeight="false" outlineLevel="0" collapsed="false">
      <c r="A41" s="15" t="n">
        <v>40</v>
      </c>
      <c r="B41" s="15" t="s">
        <v>47</v>
      </c>
      <c r="C41" s="15" t="s">
        <v>132</v>
      </c>
      <c r="D41" s="15" t="s">
        <v>133</v>
      </c>
      <c r="E41" s="16" t="s">
        <v>40</v>
      </c>
      <c r="F41" s="15" t="s">
        <v>95</v>
      </c>
      <c r="G41" s="17" t="s">
        <v>85</v>
      </c>
      <c r="H41" s="16" t="s">
        <v>86</v>
      </c>
      <c r="I41" s="15"/>
      <c r="J41" s="15"/>
      <c r="K41" s="18"/>
      <c r="L41" s="15"/>
    </row>
    <row r="42" customFormat="false" ht="15" hidden="false" customHeight="false" outlineLevel="0" collapsed="false">
      <c r="A42" s="15" t="n">
        <v>41</v>
      </c>
      <c r="B42" s="15" t="s">
        <v>47</v>
      </c>
      <c r="C42" s="15" t="s">
        <v>105</v>
      </c>
      <c r="D42" s="15" t="s">
        <v>134</v>
      </c>
      <c r="E42" s="16" t="s">
        <v>40</v>
      </c>
      <c r="F42" s="15" t="s">
        <v>95</v>
      </c>
      <c r="G42" s="17" t="s">
        <v>85</v>
      </c>
      <c r="H42" s="16" t="s">
        <v>86</v>
      </c>
      <c r="I42" s="15"/>
      <c r="J42" s="15"/>
      <c r="K42" s="18"/>
      <c r="L42" s="15"/>
    </row>
    <row r="43" customFormat="false" ht="15" hidden="false" customHeight="false" outlineLevel="0" collapsed="false">
      <c r="A43" s="15" t="n">
        <v>42</v>
      </c>
      <c r="B43" s="15" t="s">
        <v>47</v>
      </c>
      <c r="C43" s="15" t="s">
        <v>105</v>
      </c>
      <c r="D43" s="15" t="s">
        <v>135</v>
      </c>
      <c r="E43" s="16" t="s">
        <v>39</v>
      </c>
      <c r="F43" s="15" t="s">
        <v>95</v>
      </c>
      <c r="G43" s="17" t="s">
        <v>85</v>
      </c>
      <c r="H43" s="16" t="s">
        <v>86</v>
      </c>
      <c r="I43" s="15"/>
      <c r="J43" s="15"/>
      <c r="K43" s="18"/>
      <c r="L43" s="15"/>
    </row>
    <row r="44" customFormat="false" ht="15" hidden="false" customHeight="false" outlineLevel="0" collapsed="false">
      <c r="A44" s="15" t="n">
        <v>43</v>
      </c>
      <c r="B44" s="15" t="s">
        <v>47</v>
      </c>
      <c r="C44" s="15" t="s">
        <v>103</v>
      </c>
      <c r="D44" s="15" t="s">
        <v>136</v>
      </c>
      <c r="E44" s="16" t="s">
        <v>39</v>
      </c>
      <c r="F44" s="15" t="s">
        <v>95</v>
      </c>
      <c r="G44" s="17" t="s">
        <v>85</v>
      </c>
      <c r="H44" s="16" t="s">
        <v>86</v>
      </c>
      <c r="I44" s="15"/>
      <c r="J44" s="15"/>
      <c r="K44" s="18"/>
      <c r="L44" s="15"/>
    </row>
    <row r="45" customFormat="false" ht="15" hidden="false" customHeight="false" outlineLevel="0" collapsed="false">
      <c r="A45" s="15" t="n">
        <v>44</v>
      </c>
      <c r="B45" s="15" t="s">
        <v>48</v>
      </c>
      <c r="C45" s="15" t="s">
        <v>137</v>
      </c>
      <c r="D45" s="15" t="s">
        <v>138</v>
      </c>
      <c r="E45" s="16" t="s">
        <v>39</v>
      </c>
      <c r="F45" s="15" t="s">
        <v>95</v>
      </c>
      <c r="G45" s="17" t="s">
        <v>85</v>
      </c>
      <c r="H45" s="16" t="s">
        <v>86</v>
      </c>
      <c r="I45" s="15"/>
      <c r="J45" s="15"/>
      <c r="K45" s="18"/>
      <c r="L45" s="15"/>
    </row>
    <row r="46" customFormat="false" ht="15" hidden="false" customHeight="false" outlineLevel="0" collapsed="false">
      <c r="A46" s="15" t="n">
        <v>45</v>
      </c>
      <c r="B46" s="15" t="s">
        <v>48</v>
      </c>
      <c r="C46" s="15" t="s">
        <v>137</v>
      </c>
      <c r="D46" s="15" t="s">
        <v>139</v>
      </c>
      <c r="E46" s="16" t="s">
        <v>39</v>
      </c>
      <c r="F46" s="15" t="s">
        <v>84</v>
      </c>
      <c r="G46" s="17" t="s">
        <v>85</v>
      </c>
      <c r="H46" s="16" t="s">
        <v>86</v>
      </c>
      <c r="I46" s="15"/>
      <c r="J46" s="15"/>
      <c r="K46" s="18"/>
      <c r="L46" s="15"/>
    </row>
    <row r="47" customFormat="false" ht="15" hidden="false" customHeight="false" outlineLevel="0" collapsed="false">
      <c r="A47" s="15" t="n">
        <v>46</v>
      </c>
      <c r="B47" s="15" t="s">
        <v>48</v>
      </c>
      <c r="C47" s="15" t="s">
        <v>137</v>
      </c>
      <c r="D47" s="15" t="s">
        <v>140</v>
      </c>
      <c r="E47" s="16" t="s">
        <v>40</v>
      </c>
      <c r="F47" s="15" t="s">
        <v>95</v>
      </c>
      <c r="G47" s="17" t="s">
        <v>85</v>
      </c>
      <c r="H47" s="16" t="s">
        <v>86</v>
      </c>
      <c r="I47" s="15"/>
      <c r="J47" s="15"/>
      <c r="K47" s="18"/>
      <c r="L47" s="15"/>
    </row>
    <row r="48" customFormat="false" ht="15" hidden="false" customHeight="false" outlineLevel="0" collapsed="false">
      <c r="A48" s="15" t="n">
        <v>47</v>
      </c>
      <c r="B48" s="15" t="s">
        <v>48</v>
      </c>
      <c r="C48" s="15" t="s">
        <v>141</v>
      </c>
      <c r="D48" s="15" t="s">
        <v>142</v>
      </c>
      <c r="E48" s="16" t="s">
        <v>40</v>
      </c>
      <c r="F48" s="15" t="s">
        <v>95</v>
      </c>
      <c r="G48" s="17" t="s">
        <v>85</v>
      </c>
      <c r="H48" s="16" t="s">
        <v>86</v>
      </c>
      <c r="I48" s="15"/>
      <c r="J48" s="15"/>
      <c r="K48" s="18"/>
      <c r="L48" s="15"/>
    </row>
    <row r="49" customFormat="false" ht="15" hidden="false" customHeight="false" outlineLevel="0" collapsed="false">
      <c r="A49" s="15" t="n">
        <v>48</v>
      </c>
      <c r="B49" s="15" t="s">
        <v>48</v>
      </c>
      <c r="C49" s="15" t="s">
        <v>141</v>
      </c>
      <c r="D49" s="15" t="s">
        <v>143</v>
      </c>
      <c r="E49" s="16" t="s">
        <v>40</v>
      </c>
      <c r="F49" s="15" t="s">
        <v>95</v>
      </c>
      <c r="G49" s="17" t="s">
        <v>85</v>
      </c>
      <c r="H49" s="16" t="s">
        <v>86</v>
      </c>
      <c r="I49" s="15"/>
      <c r="J49" s="15"/>
      <c r="K49" s="18"/>
      <c r="L49" s="15"/>
    </row>
    <row r="50" customFormat="false" ht="15" hidden="false" customHeight="false" outlineLevel="0" collapsed="false">
      <c r="A50" s="15" t="n">
        <v>49</v>
      </c>
      <c r="B50" s="15" t="s">
        <v>48</v>
      </c>
      <c r="C50" s="15" t="s">
        <v>141</v>
      </c>
      <c r="D50" s="15" t="s">
        <v>144</v>
      </c>
      <c r="E50" s="16" t="s">
        <v>40</v>
      </c>
      <c r="F50" s="15" t="s">
        <v>95</v>
      </c>
      <c r="G50" s="17" t="s">
        <v>85</v>
      </c>
      <c r="H50" s="16" t="s">
        <v>86</v>
      </c>
      <c r="I50" s="15"/>
      <c r="J50" s="15"/>
      <c r="K50" s="18"/>
      <c r="L50" s="15"/>
    </row>
    <row r="51" customFormat="false" ht="15" hidden="false" customHeight="false" outlineLevel="0" collapsed="false">
      <c r="A51" s="15" t="n">
        <v>50</v>
      </c>
      <c r="B51" s="15" t="s">
        <v>48</v>
      </c>
      <c r="C51" s="15" t="s">
        <v>141</v>
      </c>
      <c r="D51" s="15" t="s">
        <v>145</v>
      </c>
      <c r="E51" s="16" t="s">
        <v>40</v>
      </c>
      <c r="F51" s="15" t="s">
        <v>95</v>
      </c>
      <c r="G51" s="17" t="s">
        <v>85</v>
      </c>
      <c r="H51" s="16" t="s">
        <v>86</v>
      </c>
      <c r="I51" s="15"/>
      <c r="J51" s="15"/>
      <c r="K51" s="18"/>
      <c r="L51" s="15"/>
    </row>
    <row r="52" customFormat="false" ht="15" hidden="false" customHeight="false" outlineLevel="0" collapsed="false">
      <c r="A52" s="15" t="n">
        <v>51</v>
      </c>
      <c r="B52" s="15" t="s">
        <v>48</v>
      </c>
      <c r="C52" s="15" t="s">
        <v>141</v>
      </c>
      <c r="D52" s="15" t="s">
        <v>146</v>
      </c>
      <c r="E52" s="16" t="s">
        <v>40</v>
      </c>
      <c r="F52" s="15" t="s">
        <v>95</v>
      </c>
      <c r="G52" s="17" t="s">
        <v>85</v>
      </c>
      <c r="H52" s="16" t="s">
        <v>86</v>
      </c>
      <c r="I52" s="15"/>
      <c r="J52" s="15"/>
      <c r="K52" s="18"/>
      <c r="L52" s="15"/>
    </row>
    <row r="53" customFormat="false" ht="15" hidden="false" customHeight="false" outlineLevel="0" collapsed="false">
      <c r="A53" s="15" t="n">
        <v>52</v>
      </c>
      <c r="B53" s="15" t="s">
        <v>48</v>
      </c>
      <c r="C53" s="15" t="s">
        <v>141</v>
      </c>
      <c r="D53" s="15" t="s">
        <v>147</v>
      </c>
      <c r="E53" s="16" t="s">
        <v>40</v>
      </c>
      <c r="F53" s="15" t="s">
        <v>84</v>
      </c>
      <c r="G53" s="17" t="s">
        <v>85</v>
      </c>
      <c r="H53" s="16" t="s">
        <v>86</v>
      </c>
      <c r="I53" s="15"/>
      <c r="J53" s="15"/>
      <c r="K53" s="18"/>
      <c r="L53" s="15"/>
    </row>
    <row r="54" customFormat="false" ht="15" hidden="false" customHeight="false" outlineLevel="0" collapsed="false">
      <c r="A54" s="15" t="n">
        <v>53</v>
      </c>
      <c r="B54" s="15" t="s">
        <v>48</v>
      </c>
      <c r="C54" s="15" t="s">
        <v>141</v>
      </c>
      <c r="D54" s="15" t="s">
        <v>148</v>
      </c>
      <c r="E54" s="16" t="s">
        <v>40</v>
      </c>
      <c r="F54" s="15" t="s">
        <v>95</v>
      </c>
      <c r="G54" s="17" t="s">
        <v>85</v>
      </c>
      <c r="H54" s="16" t="s">
        <v>86</v>
      </c>
      <c r="I54" s="15"/>
      <c r="J54" s="15"/>
      <c r="K54" s="18"/>
      <c r="L54" s="15"/>
    </row>
    <row r="55" customFormat="false" ht="15" hidden="false" customHeight="false" outlineLevel="0" collapsed="false">
      <c r="A55" s="15" t="n">
        <v>54</v>
      </c>
      <c r="B55" s="15" t="s">
        <v>48</v>
      </c>
      <c r="C55" s="15" t="s">
        <v>141</v>
      </c>
      <c r="D55" s="15" t="s">
        <v>149</v>
      </c>
      <c r="E55" s="16" t="s">
        <v>40</v>
      </c>
      <c r="F55" s="15" t="s">
        <v>95</v>
      </c>
      <c r="G55" s="17" t="s">
        <v>85</v>
      </c>
      <c r="H55" s="16" t="s">
        <v>86</v>
      </c>
      <c r="I55" s="15"/>
      <c r="J55" s="15"/>
      <c r="K55" s="18"/>
      <c r="L55" s="15"/>
    </row>
    <row r="56" customFormat="false" ht="15" hidden="false" customHeight="false" outlineLevel="0" collapsed="false">
      <c r="A56" s="15" t="n">
        <v>55</v>
      </c>
      <c r="B56" s="15" t="s">
        <v>48</v>
      </c>
      <c r="C56" s="15" t="s">
        <v>150</v>
      </c>
      <c r="D56" s="15" t="s">
        <v>151</v>
      </c>
      <c r="E56" s="16" t="s">
        <v>40</v>
      </c>
      <c r="F56" s="15" t="s">
        <v>95</v>
      </c>
      <c r="G56" s="17" t="s">
        <v>85</v>
      </c>
      <c r="H56" s="16" t="s">
        <v>86</v>
      </c>
      <c r="I56" s="15"/>
      <c r="J56" s="15"/>
      <c r="K56" s="18"/>
      <c r="L56" s="15"/>
    </row>
    <row r="57" customFormat="false" ht="15" hidden="false" customHeight="false" outlineLevel="0" collapsed="false">
      <c r="A57" s="15" t="n">
        <v>56</v>
      </c>
      <c r="B57" s="15" t="s">
        <v>48</v>
      </c>
      <c r="C57" s="15" t="s">
        <v>150</v>
      </c>
      <c r="D57" s="15" t="s">
        <v>152</v>
      </c>
      <c r="E57" s="16" t="s">
        <v>40</v>
      </c>
      <c r="F57" s="15" t="s">
        <v>95</v>
      </c>
      <c r="G57" s="17" t="s">
        <v>85</v>
      </c>
      <c r="H57" s="16" t="s">
        <v>86</v>
      </c>
      <c r="I57" s="15"/>
      <c r="J57" s="15"/>
      <c r="K57" s="18"/>
      <c r="L57" s="15"/>
    </row>
    <row r="58" customFormat="false" ht="15" hidden="false" customHeight="false" outlineLevel="0" collapsed="false">
      <c r="A58" s="15" t="n">
        <v>57</v>
      </c>
      <c r="B58" s="15" t="s">
        <v>48</v>
      </c>
      <c r="C58" s="15" t="s">
        <v>153</v>
      </c>
      <c r="D58" s="15" t="s">
        <v>154</v>
      </c>
      <c r="E58" s="16" t="s">
        <v>40</v>
      </c>
      <c r="F58" s="15" t="s">
        <v>95</v>
      </c>
      <c r="G58" s="17" t="s">
        <v>85</v>
      </c>
      <c r="H58" s="16" t="s">
        <v>86</v>
      </c>
      <c r="I58" s="15"/>
      <c r="J58" s="15"/>
      <c r="K58" s="18"/>
      <c r="L58" s="15"/>
    </row>
    <row r="59" customFormat="false" ht="15" hidden="false" customHeight="false" outlineLevel="0" collapsed="false">
      <c r="A59" s="15" t="n">
        <v>58</v>
      </c>
      <c r="B59" s="15" t="s">
        <v>48</v>
      </c>
      <c r="C59" s="15" t="s">
        <v>153</v>
      </c>
      <c r="D59" s="15" t="s">
        <v>155</v>
      </c>
      <c r="E59" s="16" t="s">
        <v>40</v>
      </c>
      <c r="F59" s="15" t="s">
        <v>95</v>
      </c>
      <c r="G59" s="17" t="s">
        <v>85</v>
      </c>
      <c r="H59" s="16" t="s">
        <v>86</v>
      </c>
      <c r="I59" s="15"/>
      <c r="J59" s="15"/>
      <c r="K59" s="18"/>
      <c r="L59" s="15"/>
    </row>
    <row r="60" customFormat="false" ht="15" hidden="false" customHeight="false" outlineLevel="0" collapsed="false">
      <c r="A60" s="15" t="n">
        <v>59</v>
      </c>
      <c r="B60" s="15" t="s">
        <v>48</v>
      </c>
      <c r="C60" s="15" t="s">
        <v>153</v>
      </c>
      <c r="D60" s="15" t="s">
        <v>156</v>
      </c>
      <c r="E60" s="16" t="s">
        <v>41</v>
      </c>
      <c r="F60" s="15" t="s">
        <v>95</v>
      </c>
      <c r="G60" s="17" t="s">
        <v>85</v>
      </c>
      <c r="H60" s="16" t="s">
        <v>86</v>
      </c>
      <c r="I60" s="15"/>
      <c r="J60" s="15"/>
      <c r="K60" s="18"/>
      <c r="L60" s="15"/>
    </row>
    <row r="61" customFormat="false" ht="15" hidden="false" customHeight="false" outlineLevel="0" collapsed="false">
      <c r="A61" s="15" t="n">
        <v>60</v>
      </c>
      <c r="B61" s="15" t="s">
        <v>48</v>
      </c>
      <c r="C61" s="15" t="s">
        <v>153</v>
      </c>
      <c r="D61" s="15" t="s">
        <v>157</v>
      </c>
      <c r="E61" s="16" t="s">
        <v>40</v>
      </c>
      <c r="F61" s="15" t="s">
        <v>95</v>
      </c>
      <c r="G61" s="17" t="s">
        <v>85</v>
      </c>
      <c r="H61" s="16" t="s">
        <v>86</v>
      </c>
      <c r="I61" s="15"/>
      <c r="J61" s="15"/>
      <c r="K61" s="18"/>
      <c r="L61" s="15"/>
    </row>
    <row r="62" customFormat="false" ht="15" hidden="false" customHeight="false" outlineLevel="0" collapsed="false">
      <c r="A62" s="15" t="n">
        <v>61</v>
      </c>
      <c r="B62" s="15" t="s">
        <v>48</v>
      </c>
      <c r="C62" s="15" t="s">
        <v>158</v>
      </c>
      <c r="D62" s="15" t="s">
        <v>159</v>
      </c>
      <c r="E62" s="16" t="s">
        <v>41</v>
      </c>
      <c r="F62" s="15" t="s">
        <v>95</v>
      </c>
      <c r="G62" s="17" t="s">
        <v>85</v>
      </c>
      <c r="H62" s="16" t="s">
        <v>86</v>
      </c>
      <c r="I62" s="15"/>
      <c r="J62" s="15"/>
      <c r="K62" s="18"/>
      <c r="L62" s="15"/>
    </row>
    <row r="63" customFormat="false" ht="15" hidden="false" customHeight="false" outlineLevel="0" collapsed="false">
      <c r="A63" s="15" t="n">
        <v>62</v>
      </c>
      <c r="B63" s="15" t="s">
        <v>48</v>
      </c>
      <c r="C63" s="15" t="s">
        <v>158</v>
      </c>
      <c r="D63" s="15" t="s">
        <v>160</v>
      </c>
      <c r="E63" s="16" t="s">
        <v>41</v>
      </c>
      <c r="F63" s="15" t="s">
        <v>95</v>
      </c>
      <c r="G63" s="17" t="s">
        <v>85</v>
      </c>
      <c r="H63" s="16" t="s">
        <v>86</v>
      </c>
      <c r="I63" s="15"/>
      <c r="J63" s="15"/>
      <c r="K63" s="18"/>
      <c r="L63" s="15"/>
    </row>
    <row r="64" customFormat="false" ht="15" hidden="false" customHeight="false" outlineLevel="0" collapsed="false">
      <c r="A64" s="15" t="n">
        <v>63</v>
      </c>
      <c r="B64" s="15" t="s">
        <v>48</v>
      </c>
      <c r="C64" s="15" t="s">
        <v>161</v>
      </c>
      <c r="D64" s="15" t="s">
        <v>162</v>
      </c>
      <c r="E64" s="16" t="s">
        <v>41</v>
      </c>
      <c r="F64" s="15" t="s">
        <v>95</v>
      </c>
      <c r="G64" s="17" t="s">
        <v>85</v>
      </c>
      <c r="H64" s="16" t="s">
        <v>86</v>
      </c>
      <c r="I64" s="15"/>
      <c r="J64" s="15"/>
      <c r="K64" s="18"/>
      <c r="L64" s="15"/>
    </row>
    <row r="65" customFormat="false" ht="15" hidden="false" customHeight="false" outlineLevel="0" collapsed="false">
      <c r="A65" s="15" t="n">
        <v>64</v>
      </c>
      <c r="B65" s="15" t="s">
        <v>49</v>
      </c>
      <c r="C65" s="15" t="s">
        <v>163</v>
      </c>
      <c r="D65" s="15" t="s">
        <v>164</v>
      </c>
      <c r="E65" s="16" t="s">
        <v>39</v>
      </c>
      <c r="F65" s="15" t="s">
        <v>95</v>
      </c>
      <c r="G65" s="17" t="s">
        <v>85</v>
      </c>
      <c r="H65" s="16" t="s">
        <v>86</v>
      </c>
      <c r="I65" s="15"/>
      <c r="J65" s="15"/>
      <c r="K65" s="18"/>
      <c r="L65" s="15"/>
    </row>
    <row r="66" customFormat="false" ht="15" hidden="false" customHeight="false" outlineLevel="0" collapsed="false">
      <c r="A66" s="15" t="n">
        <v>65</v>
      </c>
      <c r="B66" s="15" t="s">
        <v>49</v>
      </c>
      <c r="C66" s="15" t="s">
        <v>163</v>
      </c>
      <c r="D66" s="15" t="s">
        <v>165</v>
      </c>
      <c r="E66" s="16" t="s">
        <v>39</v>
      </c>
      <c r="F66" s="15" t="s">
        <v>95</v>
      </c>
      <c r="G66" s="17" t="s">
        <v>85</v>
      </c>
      <c r="H66" s="16" t="s">
        <v>86</v>
      </c>
      <c r="I66" s="15"/>
      <c r="J66" s="15"/>
      <c r="K66" s="18"/>
      <c r="L66" s="15"/>
    </row>
    <row r="67" customFormat="false" ht="15" hidden="false" customHeight="false" outlineLevel="0" collapsed="false">
      <c r="A67" s="15" t="n">
        <v>66</v>
      </c>
      <c r="B67" s="15" t="s">
        <v>49</v>
      </c>
      <c r="C67" s="15" t="s">
        <v>163</v>
      </c>
      <c r="D67" s="15" t="s">
        <v>166</v>
      </c>
      <c r="E67" s="16" t="s">
        <v>40</v>
      </c>
      <c r="F67" s="15" t="s">
        <v>95</v>
      </c>
      <c r="G67" s="17" t="s">
        <v>85</v>
      </c>
      <c r="H67" s="16" t="s">
        <v>86</v>
      </c>
      <c r="I67" s="15"/>
      <c r="J67" s="15"/>
      <c r="K67" s="18"/>
      <c r="L67" s="15"/>
    </row>
    <row r="68" customFormat="false" ht="15" hidden="false" customHeight="false" outlineLevel="0" collapsed="false">
      <c r="A68" s="15" t="n">
        <v>67</v>
      </c>
      <c r="B68" s="15" t="s">
        <v>49</v>
      </c>
      <c r="C68" s="15" t="s">
        <v>163</v>
      </c>
      <c r="D68" s="15" t="s">
        <v>167</v>
      </c>
      <c r="E68" s="16" t="s">
        <v>39</v>
      </c>
      <c r="F68" s="15" t="s">
        <v>95</v>
      </c>
      <c r="G68" s="17" t="s">
        <v>85</v>
      </c>
      <c r="H68" s="16" t="s">
        <v>86</v>
      </c>
      <c r="I68" s="15"/>
      <c r="J68" s="15"/>
      <c r="K68" s="18"/>
      <c r="L68" s="15"/>
    </row>
    <row r="69" customFormat="false" ht="15" hidden="false" customHeight="false" outlineLevel="0" collapsed="false">
      <c r="A69" s="15" t="n">
        <v>68</v>
      </c>
      <c r="B69" s="15" t="s">
        <v>49</v>
      </c>
      <c r="C69" s="15" t="s">
        <v>163</v>
      </c>
      <c r="D69" s="15" t="s">
        <v>168</v>
      </c>
      <c r="E69" s="16" t="s">
        <v>40</v>
      </c>
      <c r="F69" s="15" t="s">
        <v>95</v>
      </c>
      <c r="G69" s="17" t="s">
        <v>85</v>
      </c>
      <c r="H69" s="16" t="s">
        <v>86</v>
      </c>
      <c r="I69" s="15"/>
      <c r="J69" s="15"/>
      <c r="K69" s="18"/>
      <c r="L69" s="15"/>
    </row>
    <row r="70" customFormat="false" ht="15" hidden="false" customHeight="false" outlineLevel="0" collapsed="false">
      <c r="A70" s="15" t="n">
        <v>69</v>
      </c>
      <c r="B70" s="15" t="s">
        <v>49</v>
      </c>
      <c r="C70" s="15" t="s">
        <v>169</v>
      </c>
      <c r="D70" s="15" t="s">
        <v>170</v>
      </c>
      <c r="E70" s="16" t="s">
        <v>40</v>
      </c>
      <c r="F70" s="15" t="s">
        <v>95</v>
      </c>
      <c r="G70" s="17" t="s">
        <v>85</v>
      </c>
      <c r="H70" s="16" t="s">
        <v>86</v>
      </c>
      <c r="I70" s="15"/>
      <c r="J70" s="15"/>
      <c r="K70" s="18"/>
      <c r="L70" s="15"/>
    </row>
    <row r="71" customFormat="false" ht="15" hidden="false" customHeight="false" outlineLevel="0" collapsed="false">
      <c r="A71" s="15" t="n">
        <v>70</v>
      </c>
      <c r="B71" s="15" t="s">
        <v>49</v>
      </c>
      <c r="C71" s="15" t="s">
        <v>169</v>
      </c>
      <c r="D71" s="15" t="s">
        <v>171</v>
      </c>
      <c r="E71" s="16" t="s">
        <v>40</v>
      </c>
      <c r="F71" s="15" t="s">
        <v>95</v>
      </c>
      <c r="G71" s="17" t="s">
        <v>85</v>
      </c>
      <c r="H71" s="16" t="s">
        <v>86</v>
      </c>
      <c r="I71" s="15"/>
      <c r="J71" s="15"/>
      <c r="K71" s="18"/>
      <c r="L71" s="15"/>
    </row>
    <row r="72" customFormat="false" ht="15" hidden="false" customHeight="false" outlineLevel="0" collapsed="false">
      <c r="A72" s="15" t="n">
        <v>71</v>
      </c>
      <c r="B72" s="15" t="s">
        <v>49</v>
      </c>
      <c r="C72" s="15" t="s">
        <v>169</v>
      </c>
      <c r="D72" s="15" t="s">
        <v>172</v>
      </c>
      <c r="E72" s="16" t="s">
        <v>40</v>
      </c>
      <c r="F72" s="15" t="s">
        <v>95</v>
      </c>
      <c r="G72" s="17" t="s">
        <v>85</v>
      </c>
      <c r="H72" s="16" t="s">
        <v>86</v>
      </c>
      <c r="I72" s="15"/>
      <c r="J72" s="15"/>
      <c r="K72" s="18"/>
      <c r="L72" s="15"/>
    </row>
    <row r="73" customFormat="false" ht="15" hidden="false" customHeight="false" outlineLevel="0" collapsed="false">
      <c r="A73" s="15" t="n">
        <v>72</v>
      </c>
      <c r="B73" s="15" t="s">
        <v>49</v>
      </c>
      <c r="C73" s="15" t="s">
        <v>169</v>
      </c>
      <c r="D73" s="15" t="s">
        <v>173</v>
      </c>
      <c r="E73" s="16" t="s">
        <v>40</v>
      </c>
      <c r="F73" s="15" t="s">
        <v>95</v>
      </c>
      <c r="G73" s="17" t="s">
        <v>85</v>
      </c>
      <c r="H73" s="16" t="s">
        <v>86</v>
      </c>
      <c r="I73" s="15"/>
      <c r="J73" s="15"/>
      <c r="K73" s="18"/>
      <c r="L73" s="15"/>
    </row>
    <row r="74" customFormat="false" ht="15" hidden="false" customHeight="false" outlineLevel="0" collapsed="false">
      <c r="A74" s="15" t="n">
        <v>73</v>
      </c>
      <c r="B74" s="15" t="s">
        <v>49</v>
      </c>
      <c r="C74" s="15" t="s">
        <v>169</v>
      </c>
      <c r="D74" s="15" t="s">
        <v>174</v>
      </c>
      <c r="E74" s="16" t="s">
        <v>40</v>
      </c>
      <c r="F74" s="15" t="s">
        <v>84</v>
      </c>
      <c r="G74" s="17" t="s">
        <v>85</v>
      </c>
      <c r="H74" s="16" t="s">
        <v>86</v>
      </c>
      <c r="I74" s="15"/>
      <c r="J74" s="15"/>
      <c r="K74" s="18"/>
      <c r="L74" s="15"/>
    </row>
    <row r="75" customFormat="false" ht="15" hidden="false" customHeight="false" outlineLevel="0" collapsed="false">
      <c r="A75" s="15" t="n">
        <v>74</v>
      </c>
      <c r="B75" s="15" t="s">
        <v>49</v>
      </c>
      <c r="C75" s="15" t="s">
        <v>175</v>
      </c>
      <c r="D75" s="15" t="s">
        <v>176</v>
      </c>
      <c r="E75" s="16" t="s">
        <v>40</v>
      </c>
      <c r="F75" s="15" t="s">
        <v>95</v>
      </c>
      <c r="G75" s="17" t="s">
        <v>85</v>
      </c>
      <c r="H75" s="16" t="s">
        <v>86</v>
      </c>
      <c r="I75" s="15"/>
      <c r="J75" s="15"/>
      <c r="K75" s="18"/>
      <c r="L75" s="15"/>
    </row>
    <row r="76" customFormat="false" ht="15" hidden="false" customHeight="false" outlineLevel="0" collapsed="false">
      <c r="A76" s="15" t="n">
        <v>75</v>
      </c>
      <c r="B76" s="15" t="s">
        <v>49</v>
      </c>
      <c r="C76" s="15" t="s">
        <v>175</v>
      </c>
      <c r="D76" s="15" t="s">
        <v>177</v>
      </c>
      <c r="E76" s="16" t="s">
        <v>40</v>
      </c>
      <c r="F76" s="15" t="s">
        <v>95</v>
      </c>
      <c r="G76" s="17" t="s">
        <v>85</v>
      </c>
      <c r="H76" s="16" t="s">
        <v>86</v>
      </c>
      <c r="I76" s="15"/>
      <c r="J76" s="15"/>
      <c r="K76" s="18"/>
      <c r="L76" s="15"/>
    </row>
    <row r="77" customFormat="false" ht="15" hidden="false" customHeight="false" outlineLevel="0" collapsed="false">
      <c r="A77" s="15" t="n">
        <v>76</v>
      </c>
      <c r="B77" s="15" t="s">
        <v>49</v>
      </c>
      <c r="C77" s="15" t="s">
        <v>178</v>
      </c>
      <c r="D77" s="15" t="s">
        <v>179</v>
      </c>
      <c r="E77" s="16" t="s">
        <v>40</v>
      </c>
      <c r="F77" s="15" t="s">
        <v>95</v>
      </c>
      <c r="G77" s="17" t="s">
        <v>85</v>
      </c>
      <c r="H77" s="16" t="s">
        <v>86</v>
      </c>
      <c r="I77" s="15"/>
      <c r="J77" s="15"/>
      <c r="K77" s="18"/>
      <c r="L77" s="15"/>
    </row>
    <row r="78" customFormat="false" ht="15" hidden="false" customHeight="false" outlineLevel="0" collapsed="false">
      <c r="A78" s="15" t="n">
        <v>77</v>
      </c>
      <c r="B78" s="15" t="s">
        <v>49</v>
      </c>
      <c r="C78" s="15" t="s">
        <v>178</v>
      </c>
      <c r="D78" s="15" t="s">
        <v>180</v>
      </c>
      <c r="E78" s="16" t="s">
        <v>39</v>
      </c>
      <c r="F78" s="15" t="s">
        <v>84</v>
      </c>
      <c r="G78" s="17" t="s">
        <v>85</v>
      </c>
      <c r="H78" s="16" t="s">
        <v>86</v>
      </c>
      <c r="I78" s="15"/>
      <c r="J78" s="15"/>
      <c r="K78" s="18"/>
      <c r="L78" s="15"/>
    </row>
    <row r="79" customFormat="false" ht="15" hidden="false" customHeight="false" outlineLevel="0" collapsed="false">
      <c r="A79" s="15" t="n">
        <v>78</v>
      </c>
      <c r="B79" s="15" t="s">
        <v>49</v>
      </c>
      <c r="C79" s="15" t="s">
        <v>178</v>
      </c>
      <c r="D79" s="15" t="s">
        <v>181</v>
      </c>
      <c r="E79" s="16" t="s">
        <v>40</v>
      </c>
      <c r="F79" s="15" t="s">
        <v>95</v>
      </c>
      <c r="G79" s="17" t="s">
        <v>85</v>
      </c>
      <c r="H79" s="16" t="s">
        <v>86</v>
      </c>
      <c r="I79" s="15"/>
      <c r="J79" s="15"/>
      <c r="K79" s="18"/>
      <c r="L79" s="15"/>
    </row>
    <row r="80" customFormat="false" ht="15" hidden="false" customHeight="false" outlineLevel="0" collapsed="false">
      <c r="A80" s="15" t="n">
        <v>79</v>
      </c>
      <c r="B80" s="15" t="s">
        <v>49</v>
      </c>
      <c r="C80" s="15" t="s">
        <v>178</v>
      </c>
      <c r="D80" s="15" t="s">
        <v>182</v>
      </c>
      <c r="E80" s="16" t="s">
        <v>40</v>
      </c>
      <c r="F80" s="15" t="s">
        <v>95</v>
      </c>
      <c r="G80" s="17" t="s">
        <v>85</v>
      </c>
      <c r="H80" s="16" t="s">
        <v>86</v>
      </c>
      <c r="I80" s="15"/>
      <c r="J80" s="15"/>
      <c r="K80" s="18"/>
      <c r="L80" s="15"/>
    </row>
    <row r="81" customFormat="false" ht="15" hidden="false" customHeight="false" outlineLevel="0" collapsed="false">
      <c r="A81" s="15" t="n">
        <v>80</v>
      </c>
      <c r="B81" s="15" t="s">
        <v>49</v>
      </c>
      <c r="C81" s="15" t="s">
        <v>178</v>
      </c>
      <c r="D81" s="15" t="s">
        <v>183</v>
      </c>
      <c r="E81" s="16" t="s">
        <v>40</v>
      </c>
      <c r="F81" s="15" t="s">
        <v>95</v>
      </c>
      <c r="G81" s="17" t="s">
        <v>85</v>
      </c>
      <c r="H81" s="16" t="s">
        <v>86</v>
      </c>
      <c r="I81" s="15"/>
      <c r="J81" s="15"/>
      <c r="K81" s="18"/>
      <c r="L81" s="15"/>
    </row>
    <row r="82" customFormat="false" ht="15" hidden="false" customHeight="false" outlineLevel="0" collapsed="false">
      <c r="A82" s="15" t="n">
        <v>81</v>
      </c>
      <c r="B82" s="15" t="s">
        <v>49</v>
      </c>
      <c r="C82" s="15" t="s">
        <v>178</v>
      </c>
      <c r="D82" s="15" t="s">
        <v>184</v>
      </c>
      <c r="E82" s="16" t="s">
        <v>40</v>
      </c>
      <c r="F82" s="15" t="s">
        <v>95</v>
      </c>
      <c r="G82" s="17" t="s">
        <v>85</v>
      </c>
      <c r="H82" s="16" t="s">
        <v>86</v>
      </c>
      <c r="I82" s="15"/>
      <c r="J82" s="15"/>
      <c r="K82" s="18"/>
      <c r="L82" s="15"/>
    </row>
    <row r="83" customFormat="false" ht="15" hidden="false" customHeight="false" outlineLevel="0" collapsed="false">
      <c r="A83" s="15" t="n">
        <v>82</v>
      </c>
      <c r="B83" s="15" t="s">
        <v>49</v>
      </c>
      <c r="C83" s="15" t="s">
        <v>185</v>
      </c>
      <c r="D83" s="15" t="s">
        <v>186</v>
      </c>
      <c r="E83" s="16" t="s">
        <v>41</v>
      </c>
      <c r="F83" s="15" t="s">
        <v>95</v>
      </c>
      <c r="G83" s="17" t="s">
        <v>85</v>
      </c>
      <c r="H83" s="16" t="s">
        <v>86</v>
      </c>
      <c r="I83" s="15"/>
      <c r="J83" s="15"/>
      <c r="K83" s="18"/>
      <c r="L83" s="15"/>
    </row>
    <row r="84" customFormat="false" ht="15" hidden="false" customHeight="false" outlineLevel="0" collapsed="false">
      <c r="A84" s="15" t="n">
        <v>83</v>
      </c>
      <c r="B84" s="15" t="s">
        <v>49</v>
      </c>
      <c r="C84" s="15" t="s">
        <v>187</v>
      </c>
      <c r="D84" s="15" t="s">
        <v>188</v>
      </c>
      <c r="E84" s="16" t="s">
        <v>41</v>
      </c>
      <c r="F84" s="15" t="s">
        <v>95</v>
      </c>
      <c r="G84" s="17" t="s">
        <v>85</v>
      </c>
      <c r="H84" s="16" t="s">
        <v>86</v>
      </c>
      <c r="I84" s="15"/>
      <c r="J84" s="15"/>
      <c r="K84" s="18"/>
      <c r="L84" s="15"/>
    </row>
    <row r="85" customFormat="false" ht="15" hidden="false" customHeight="false" outlineLevel="0" collapsed="false">
      <c r="A85" s="15" t="n">
        <v>84</v>
      </c>
      <c r="B85" s="15" t="s">
        <v>50</v>
      </c>
      <c r="C85" s="15" t="s">
        <v>189</v>
      </c>
      <c r="D85" s="15" t="s">
        <v>190</v>
      </c>
      <c r="E85" s="16" t="s">
        <v>39</v>
      </c>
      <c r="F85" s="15" t="s">
        <v>95</v>
      </c>
      <c r="G85" s="17" t="s">
        <v>85</v>
      </c>
      <c r="H85" s="16" t="s">
        <v>86</v>
      </c>
      <c r="I85" s="15"/>
      <c r="J85" s="15"/>
      <c r="K85" s="18"/>
      <c r="L85" s="15"/>
    </row>
    <row r="86" customFormat="false" ht="15" hidden="false" customHeight="false" outlineLevel="0" collapsed="false">
      <c r="A86" s="15" t="n">
        <v>85</v>
      </c>
      <c r="B86" s="15" t="s">
        <v>50</v>
      </c>
      <c r="C86" s="15" t="s">
        <v>189</v>
      </c>
      <c r="D86" s="15" t="s">
        <v>191</v>
      </c>
      <c r="E86" s="16" t="s">
        <v>39</v>
      </c>
      <c r="F86" s="15" t="s">
        <v>95</v>
      </c>
      <c r="G86" s="17" t="s">
        <v>85</v>
      </c>
      <c r="H86" s="16" t="s">
        <v>86</v>
      </c>
      <c r="I86" s="15"/>
      <c r="J86" s="15"/>
      <c r="K86" s="18"/>
      <c r="L86" s="15"/>
    </row>
    <row r="87" customFormat="false" ht="15" hidden="false" customHeight="false" outlineLevel="0" collapsed="false">
      <c r="A87" s="15" t="n">
        <v>86</v>
      </c>
      <c r="B87" s="15" t="s">
        <v>50</v>
      </c>
      <c r="C87" s="15" t="s">
        <v>189</v>
      </c>
      <c r="D87" s="15" t="s">
        <v>192</v>
      </c>
      <c r="E87" s="16" t="s">
        <v>40</v>
      </c>
      <c r="F87" s="15" t="s">
        <v>95</v>
      </c>
      <c r="G87" s="17" t="s">
        <v>85</v>
      </c>
      <c r="H87" s="16" t="s">
        <v>86</v>
      </c>
      <c r="I87" s="15"/>
      <c r="J87" s="15"/>
      <c r="K87" s="18"/>
      <c r="L87" s="15"/>
    </row>
    <row r="88" customFormat="false" ht="15" hidden="false" customHeight="false" outlineLevel="0" collapsed="false">
      <c r="A88" s="15" t="n">
        <v>87</v>
      </c>
      <c r="B88" s="15" t="s">
        <v>50</v>
      </c>
      <c r="C88" s="15" t="s">
        <v>189</v>
      </c>
      <c r="D88" s="15" t="s">
        <v>193</v>
      </c>
      <c r="E88" s="16" t="s">
        <v>39</v>
      </c>
      <c r="F88" s="15" t="s">
        <v>95</v>
      </c>
      <c r="G88" s="17" t="s">
        <v>85</v>
      </c>
      <c r="H88" s="16" t="s">
        <v>86</v>
      </c>
      <c r="I88" s="15"/>
      <c r="J88" s="15"/>
      <c r="K88" s="18"/>
      <c r="L88" s="15"/>
    </row>
    <row r="89" customFormat="false" ht="15" hidden="false" customHeight="false" outlineLevel="0" collapsed="false">
      <c r="A89" s="15" t="n">
        <v>88</v>
      </c>
      <c r="B89" s="15" t="s">
        <v>50</v>
      </c>
      <c r="C89" s="15" t="s">
        <v>189</v>
      </c>
      <c r="D89" s="15" t="s">
        <v>194</v>
      </c>
      <c r="E89" s="16" t="s">
        <v>41</v>
      </c>
      <c r="F89" s="15" t="s">
        <v>95</v>
      </c>
      <c r="G89" s="17" t="s">
        <v>85</v>
      </c>
      <c r="H89" s="16" t="s">
        <v>86</v>
      </c>
      <c r="I89" s="15"/>
      <c r="J89" s="15"/>
      <c r="K89" s="18"/>
      <c r="L89" s="15"/>
    </row>
    <row r="90" customFormat="false" ht="15" hidden="false" customHeight="false" outlineLevel="0" collapsed="false">
      <c r="A90" s="15" t="n">
        <v>89</v>
      </c>
      <c r="B90" s="15" t="s">
        <v>50</v>
      </c>
      <c r="C90" s="15" t="s">
        <v>189</v>
      </c>
      <c r="D90" s="15" t="s">
        <v>195</v>
      </c>
      <c r="E90" s="16" t="s">
        <v>40</v>
      </c>
      <c r="F90" s="15" t="s">
        <v>95</v>
      </c>
      <c r="G90" s="17" t="s">
        <v>85</v>
      </c>
      <c r="H90" s="16" t="s">
        <v>86</v>
      </c>
      <c r="I90" s="15"/>
      <c r="J90" s="15"/>
      <c r="K90" s="18"/>
      <c r="L90" s="15"/>
    </row>
    <row r="91" customFormat="false" ht="15" hidden="false" customHeight="false" outlineLevel="0" collapsed="false">
      <c r="A91" s="15" t="n">
        <v>90</v>
      </c>
      <c r="B91" s="15" t="s">
        <v>50</v>
      </c>
      <c r="C91" s="15" t="s">
        <v>196</v>
      </c>
      <c r="D91" s="15" t="s">
        <v>197</v>
      </c>
      <c r="E91" s="16" t="s">
        <v>40</v>
      </c>
      <c r="F91" s="15" t="s">
        <v>95</v>
      </c>
      <c r="G91" s="17" t="s">
        <v>85</v>
      </c>
      <c r="H91" s="16" t="s">
        <v>86</v>
      </c>
      <c r="I91" s="15"/>
      <c r="J91" s="15"/>
      <c r="K91" s="18"/>
      <c r="L91" s="15"/>
    </row>
    <row r="92" customFormat="false" ht="15" hidden="false" customHeight="false" outlineLevel="0" collapsed="false">
      <c r="A92" s="15" t="n">
        <v>91</v>
      </c>
      <c r="B92" s="15" t="s">
        <v>50</v>
      </c>
      <c r="C92" s="15" t="s">
        <v>196</v>
      </c>
      <c r="D92" s="15" t="s">
        <v>198</v>
      </c>
      <c r="E92" s="16" t="s">
        <v>40</v>
      </c>
      <c r="F92" s="15" t="s">
        <v>95</v>
      </c>
      <c r="G92" s="17" t="s">
        <v>85</v>
      </c>
      <c r="H92" s="16" t="s">
        <v>86</v>
      </c>
      <c r="I92" s="15"/>
      <c r="J92" s="15"/>
      <c r="K92" s="18"/>
      <c r="L92" s="15"/>
    </row>
    <row r="93" customFormat="false" ht="15" hidden="false" customHeight="false" outlineLevel="0" collapsed="false">
      <c r="A93" s="15" t="n">
        <v>92</v>
      </c>
      <c r="B93" s="15" t="s">
        <v>50</v>
      </c>
      <c r="C93" s="15" t="s">
        <v>196</v>
      </c>
      <c r="D93" s="15" t="s">
        <v>199</v>
      </c>
      <c r="E93" s="16" t="s">
        <v>39</v>
      </c>
      <c r="F93" s="15" t="s">
        <v>95</v>
      </c>
      <c r="G93" s="17" t="s">
        <v>85</v>
      </c>
      <c r="H93" s="16" t="s">
        <v>86</v>
      </c>
      <c r="I93" s="15"/>
      <c r="J93" s="15"/>
      <c r="K93" s="18"/>
      <c r="L93" s="15"/>
    </row>
    <row r="94" customFormat="false" ht="15" hidden="false" customHeight="false" outlineLevel="0" collapsed="false">
      <c r="A94" s="15" t="n">
        <v>93</v>
      </c>
      <c r="B94" s="15" t="s">
        <v>50</v>
      </c>
      <c r="C94" s="15" t="s">
        <v>196</v>
      </c>
      <c r="D94" s="15" t="s">
        <v>200</v>
      </c>
      <c r="E94" s="16" t="s">
        <v>40</v>
      </c>
      <c r="F94" s="15" t="s">
        <v>95</v>
      </c>
      <c r="G94" s="17" t="s">
        <v>85</v>
      </c>
      <c r="H94" s="16" t="s">
        <v>86</v>
      </c>
      <c r="I94" s="15"/>
      <c r="J94" s="15"/>
      <c r="K94" s="18"/>
      <c r="L94" s="15"/>
    </row>
    <row r="95" customFormat="false" ht="15" hidden="false" customHeight="false" outlineLevel="0" collapsed="false">
      <c r="A95" s="15" t="n">
        <v>94</v>
      </c>
      <c r="B95" s="15" t="s">
        <v>50</v>
      </c>
      <c r="C95" s="15" t="s">
        <v>201</v>
      </c>
      <c r="D95" s="15" t="s">
        <v>202</v>
      </c>
      <c r="E95" s="16" t="s">
        <v>39</v>
      </c>
      <c r="F95" s="15" t="s">
        <v>95</v>
      </c>
      <c r="G95" s="17" t="s">
        <v>85</v>
      </c>
      <c r="H95" s="16" t="s">
        <v>86</v>
      </c>
      <c r="I95" s="15"/>
      <c r="J95" s="15"/>
      <c r="K95" s="18"/>
      <c r="L95" s="15"/>
    </row>
    <row r="96" customFormat="false" ht="15" hidden="false" customHeight="false" outlineLevel="0" collapsed="false">
      <c r="A96" s="15" t="n">
        <v>95</v>
      </c>
      <c r="B96" s="15" t="s">
        <v>50</v>
      </c>
      <c r="C96" s="15" t="s">
        <v>203</v>
      </c>
      <c r="D96" s="15" t="s">
        <v>204</v>
      </c>
      <c r="E96" s="16" t="s">
        <v>40</v>
      </c>
      <c r="F96" s="15" t="s">
        <v>95</v>
      </c>
      <c r="G96" s="17" t="s">
        <v>85</v>
      </c>
      <c r="H96" s="16" t="s">
        <v>86</v>
      </c>
      <c r="I96" s="15"/>
      <c r="J96" s="15"/>
      <c r="K96" s="18"/>
      <c r="L96" s="15"/>
    </row>
    <row r="97" customFormat="false" ht="15" hidden="false" customHeight="false" outlineLevel="0" collapsed="false">
      <c r="A97" s="15" t="n">
        <v>96</v>
      </c>
      <c r="B97" s="15" t="s">
        <v>50</v>
      </c>
      <c r="C97" s="15" t="s">
        <v>203</v>
      </c>
      <c r="D97" s="15" t="s">
        <v>205</v>
      </c>
      <c r="E97" s="16" t="s">
        <v>40</v>
      </c>
      <c r="F97" s="15" t="s">
        <v>95</v>
      </c>
      <c r="G97" s="17" t="s">
        <v>85</v>
      </c>
      <c r="H97" s="16" t="s">
        <v>86</v>
      </c>
      <c r="I97" s="15"/>
      <c r="J97" s="15"/>
      <c r="K97" s="18"/>
      <c r="L97" s="15"/>
    </row>
    <row r="98" customFormat="false" ht="15" hidden="false" customHeight="false" outlineLevel="0" collapsed="false">
      <c r="A98" s="15" t="n">
        <v>97</v>
      </c>
      <c r="B98" s="15" t="s">
        <v>50</v>
      </c>
      <c r="C98" s="15" t="s">
        <v>203</v>
      </c>
      <c r="D98" s="15" t="s">
        <v>206</v>
      </c>
      <c r="E98" s="16" t="s">
        <v>40</v>
      </c>
      <c r="F98" s="15" t="s">
        <v>95</v>
      </c>
      <c r="G98" s="17" t="s">
        <v>85</v>
      </c>
      <c r="H98" s="16" t="s">
        <v>86</v>
      </c>
      <c r="I98" s="15"/>
      <c r="J98" s="15"/>
      <c r="K98" s="18"/>
      <c r="L98" s="15"/>
    </row>
    <row r="99" customFormat="false" ht="15" hidden="false" customHeight="false" outlineLevel="0" collapsed="false">
      <c r="A99" s="15" t="n">
        <v>98</v>
      </c>
      <c r="B99" s="15" t="s">
        <v>51</v>
      </c>
      <c r="C99" s="15" t="s">
        <v>207</v>
      </c>
      <c r="D99" s="15" t="s">
        <v>208</v>
      </c>
      <c r="E99" s="16" t="s">
        <v>39</v>
      </c>
      <c r="F99" s="15" t="s">
        <v>95</v>
      </c>
      <c r="G99" s="17" t="s">
        <v>85</v>
      </c>
      <c r="H99" s="16" t="s">
        <v>86</v>
      </c>
      <c r="I99" s="15"/>
      <c r="J99" s="15"/>
      <c r="K99" s="18"/>
      <c r="L99" s="15"/>
    </row>
    <row r="100" customFormat="false" ht="15" hidden="false" customHeight="false" outlineLevel="0" collapsed="false">
      <c r="A100" s="15" t="n">
        <v>99</v>
      </c>
      <c r="B100" s="15" t="s">
        <v>51</v>
      </c>
      <c r="C100" s="15" t="s">
        <v>207</v>
      </c>
      <c r="D100" s="15" t="s">
        <v>209</v>
      </c>
      <c r="E100" s="16" t="s">
        <v>39</v>
      </c>
      <c r="F100" s="15" t="s">
        <v>95</v>
      </c>
      <c r="G100" s="17" t="s">
        <v>85</v>
      </c>
      <c r="H100" s="16" t="s">
        <v>86</v>
      </c>
      <c r="I100" s="15"/>
      <c r="J100" s="15"/>
      <c r="K100" s="18"/>
      <c r="L100" s="15"/>
    </row>
    <row r="101" customFormat="false" ht="15" hidden="false" customHeight="false" outlineLevel="0" collapsed="false">
      <c r="A101" s="15" t="n">
        <v>100</v>
      </c>
      <c r="B101" s="15" t="s">
        <v>51</v>
      </c>
      <c r="C101" s="15" t="s">
        <v>210</v>
      </c>
      <c r="D101" s="15" t="s">
        <v>211</v>
      </c>
      <c r="E101" s="16" t="s">
        <v>40</v>
      </c>
      <c r="F101" s="15" t="s">
        <v>95</v>
      </c>
      <c r="G101" s="17" t="s">
        <v>85</v>
      </c>
      <c r="H101" s="16" t="s">
        <v>86</v>
      </c>
      <c r="I101" s="15"/>
      <c r="J101" s="15"/>
      <c r="K101" s="18"/>
      <c r="L101" s="15"/>
    </row>
    <row r="102" customFormat="false" ht="15" hidden="false" customHeight="false" outlineLevel="0" collapsed="false">
      <c r="A102" s="15" t="n">
        <v>101</v>
      </c>
      <c r="B102" s="15" t="s">
        <v>51</v>
      </c>
      <c r="C102" s="15" t="s">
        <v>210</v>
      </c>
      <c r="D102" s="15" t="s">
        <v>212</v>
      </c>
      <c r="E102" s="16" t="s">
        <v>39</v>
      </c>
      <c r="F102" s="15" t="s">
        <v>84</v>
      </c>
      <c r="G102" s="17" t="s">
        <v>85</v>
      </c>
      <c r="H102" s="16" t="s">
        <v>86</v>
      </c>
      <c r="I102" s="15"/>
      <c r="J102" s="15"/>
      <c r="K102" s="18"/>
      <c r="L102" s="15"/>
    </row>
    <row r="103" customFormat="false" ht="15" hidden="false" customHeight="false" outlineLevel="0" collapsed="false">
      <c r="A103" s="15" t="n">
        <v>102</v>
      </c>
      <c r="B103" s="15" t="s">
        <v>51</v>
      </c>
      <c r="C103" s="15" t="s">
        <v>210</v>
      </c>
      <c r="D103" s="15" t="s">
        <v>213</v>
      </c>
      <c r="E103" s="16" t="s">
        <v>39</v>
      </c>
      <c r="F103" s="15" t="s">
        <v>84</v>
      </c>
      <c r="G103" s="17" t="s">
        <v>85</v>
      </c>
      <c r="H103" s="16" t="s">
        <v>86</v>
      </c>
      <c r="I103" s="15"/>
      <c r="J103" s="15"/>
      <c r="K103" s="18"/>
      <c r="L103" s="15"/>
    </row>
    <row r="104" customFormat="false" ht="15" hidden="false" customHeight="false" outlineLevel="0" collapsed="false">
      <c r="A104" s="15" t="n">
        <v>103</v>
      </c>
      <c r="B104" s="15" t="s">
        <v>51</v>
      </c>
      <c r="C104" s="15" t="s">
        <v>210</v>
      </c>
      <c r="D104" s="15" t="s">
        <v>214</v>
      </c>
      <c r="E104" s="16" t="s">
        <v>39</v>
      </c>
      <c r="F104" s="15" t="s">
        <v>84</v>
      </c>
      <c r="G104" s="17" t="s">
        <v>85</v>
      </c>
      <c r="H104" s="16" t="s">
        <v>86</v>
      </c>
      <c r="I104" s="15"/>
      <c r="J104" s="15"/>
      <c r="K104" s="18"/>
      <c r="L104" s="15"/>
    </row>
    <row r="105" customFormat="false" ht="15" hidden="false" customHeight="false" outlineLevel="0" collapsed="false">
      <c r="A105" s="15" t="n">
        <v>104</v>
      </c>
      <c r="B105" s="15" t="s">
        <v>51</v>
      </c>
      <c r="C105" s="15" t="s">
        <v>215</v>
      </c>
      <c r="D105" s="15" t="s">
        <v>216</v>
      </c>
      <c r="E105" s="16" t="s">
        <v>39</v>
      </c>
      <c r="F105" s="15" t="s">
        <v>95</v>
      </c>
      <c r="G105" s="17" t="s">
        <v>85</v>
      </c>
      <c r="H105" s="16" t="s">
        <v>86</v>
      </c>
      <c r="I105" s="15"/>
      <c r="J105" s="15"/>
      <c r="K105" s="18"/>
      <c r="L105" s="15"/>
    </row>
    <row r="106" customFormat="false" ht="15" hidden="false" customHeight="false" outlineLevel="0" collapsed="false">
      <c r="A106" s="15" t="n">
        <v>105</v>
      </c>
      <c r="B106" s="15" t="s">
        <v>51</v>
      </c>
      <c r="C106" s="15" t="s">
        <v>215</v>
      </c>
      <c r="D106" s="15" t="s">
        <v>217</v>
      </c>
      <c r="E106" s="16" t="s">
        <v>39</v>
      </c>
      <c r="F106" s="15" t="s">
        <v>95</v>
      </c>
      <c r="G106" s="17" t="s">
        <v>85</v>
      </c>
      <c r="H106" s="16" t="s">
        <v>86</v>
      </c>
      <c r="I106" s="15"/>
      <c r="J106" s="15"/>
      <c r="K106" s="18"/>
      <c r="L106" s="15"/>
    </row>
    <row r="107" customFormat="false" ht="15" hidden="false" customHeight="false" outlineLevel="0" collapsed="false">
      <c r="A107" s="15" t="n">
        <v>106</v>
      </c>
      <c r="B107" s="15" t="s">
        <v>51</v>
      </c>
      <c r="C107" s="15" t="s">
        <v>218</v>
      </c>
      <c r="D107" s="15" t="s">
        <v>219</v>
      </c>
      <c r="E107" s="16" t="s">
        <v>39</v>
      </c>
      <c r="F107" s="15" t="s">
        <v>95</v>
      </c>
      <c r="G107" s="17" t="s">
        <v>85</v>
      </c>
      <c r="H107" s="16" t="s">
        <v>86</v>
      </c>
      <c r="I107" s="15"/>
      <c r="J107" s="15"/>
      <c r="K107" s="18"/>
      <c r="L107" s="15"/>
    </row>
    <row r="108" customFormat="false" ht="15" hidden="false" customHeight="false" outlineLevel="0" collapsed="false">
      <c r="A108" s="15" t="n">
        <v>107</v>
      </c>
      <c r="B108" s="15" t="s">
        <v>51</v>
      </c>
      <c r="C108" s="15" t="s">
        <v>220</v>
      </c>
      <c r="D108" s="15" t="s">
        <v>221</v>
      </c>
      <c r="E108" s="16" t="s">
        <v>40</v>
      </c>
      <c r="F108" s="15" t="s">
        <v>95</v>
      </c>
      <c r="G108" s="17" t="s">
        <v>85</v>
      </c>
      <c r="H108" s="16" t="s">
        <v>86</v>
      </c>
      <c r="I108" s="15"/>
      <c r="J108" s="15"/>
      <c r="K108" s="18"/>
      <c r="L108" s="15"/>
    </row>
    <row r="109" customFormat="false" ht="15" hidden="false" customHeight="false" outlineLevel="0" collapsed="false">
      <c r="A109" s="15" t="n">
        <v>108</v>
      </c>
      <c r="B109" s="15" t="s">
        <v>51</v>
      </c>
      <c r="C109" s="15" t="s">
        <v>220</v>
      </c>
      <c r="D109" s="15" t="s">
        <v>222</v>
      </c>
      <c r="E109" s="16" t="s">
        <v>40</v>
      </c>
      <c r="F109" s="15" t="s">
        <v>95</v>
      </c>
      <c r="G109" s="17" t="s">
        <v>85</v>
      </c>
      <c r="H109" s="16" t="s">
        <v>86</v>
      </c>
      <c r="I109" s="15"/>
      <c r="J109" s="15"/>
      <c r="K109" s="18"/>
      <c r="L109" s="15"/>
    </row>
    <row r="110" customFormat="false" ht="15" hidden="false" customHeight="false" outlineLevel="0" collapsed="false">
      <c r="A110" s="15" t="n">
        <v>109</v>
      </c>
      <c r="B110" s="15" t="s">
        <v>51</v>
      </c>
      <c r="C110" s="15" t="s">
        <v>220</v>
      </c>
      <c r="D110" s="15" t="s">
        <v>223</v>
      </c>
      <c r="E110" s="16" t="s">
        <v>40</v>
      </c>
      <c r="F110" s="15" t="s">
        <v>95</v>
      </c>
      <c r="G110" s="17" t="s">
        <v>85</v>
      </c>
      <c r="H110" s="16" t="s">
        <v>86</v>
      </c>
      <c r="I110" s="15"/>
      <c r="J110" s="15"/>
      <c r="K110" s="18"/>
      <c r="L110" s="15"/>
    </row>
    <row r="111" customFormat="false" ht="15" hidden="false" customHeight="false" outlineLevel="0" collapsed="false">
      <c r="A111" s="15" t="n">
        <v>110</v>
      </c>
      <c r="B111" s="15" t="s">
        <v>51</v>
      </c>
      <c r="C111" s="15" t="s">
        <v>220</v>
      </c>
      <c r="D111" s="15" t="s">
        <v>224</v>
      </c>
      <c r="E111" s="16" t="s">
        <v>41</v>
      </c>
      <c r="F111" s="15" t="s">
        <v>95</v>
      </c>
      <c r="G111" s="17" t="s">
        <v>85</v>
      </c>
      <c r="H111" s="16" t="s">
        <v>86</v>
      </c>
      <c r="I111" s="15"/>
      <c r="J111" s="15"/>
      <c r="K111" s="18"/>
      <c r="L111" s="15"/>
    </row>
    <row r="112" customFormat="false" ht="15" hidden="false" customHeight="false" outlineLevel="0" collapsed="false">
      <c r="A112" s="15" t="n">
        <v>111</v>
      </c>
      <c r="B112" s="15" t="s">
        <v>51</v>
      </c>
      <c r="C112" s="15" t="s">
        <v>220</v>
      </c>
      <c r="D112" s="15" t="s">
        <v>225</v>
      </c>
      <c r="E112" s="16" t="s">
        <v>39</v>
      </c>
      <c r="F112" s="15" t="s">
        <v>84</v>
      </c>
      <c r="G112" s="17" t="s">
        <v>85</v>
      </c>
      <c r="H112" s="16" t="s">
        <v>86</v>
      </c>
      <c r="I112" s="15"/>
      <c r="J112" s="15"/>
      <c r="K112" s="18"/>
      <c r="L112" s="15"/>
    </row>
    <row r="113" customFormat="false" ht="15" hidden="false" customHeight="false" outlineLevel="0" collapsed="false">
      <c r="A113" s="15" t="n">
        <v>112</v>
      </c>
      <c r="B113" s="15" t="s">
        <v>51</v>
      </c>
      <c r="C113" s="15" t="s">
        <v>226</v>
      </c>
      <c r="D113" s="15" t="s">
        <v>227</v>
      </c>
      <c r="E113" s="16" t="s">
        <v>40</v>
      </c>
      <c r="F113" s="15" t="s">
        <v>95</v>
      </c>
      <c r="G113" s="17" t="s">
        <v>85</v>
      </c>
      <c r="H113" s="16" t="s">
        <v>86</v>
      </c>
      <c r="I113" s="15"/>
      <c r="J113" s="15"/>
      <c r="K113" s="18"/>
      <c r="L113" s="15"/>
    </row>
    <row r="114" customFormat="false" ht="15" hidden="false" customHeight="false" outlineLevel="0" collapsed="false">
      <c r="A114" s="15" t="n">
        <v>113</v>
      </c>
      <c r="B114" s="15" t="s">
        <v>51</v>
      </c>
      <c r="C114" s="15" t="s">
        <v>226</v>
      </c>
      <c r="D114" s="15" t="s">
        <v>228</v>
      </c>
      <c r="E114" s="16" t="s">
        <v>40</v>
      </c>
      <c r="F114" s="15" t="s">
        <v>95</v>
      </c>
      <c r="G114" s="17" t="s">
        <v>85</v>
      </c>
      <c r="H114" s="16" t="s">
        <v>86</v>
      </c>
      <c r="I114" s="15"/>
      <c r="J114" s="15"/>
      <c r="K114" s="18"/>
      <c r="L114" s="15"/>
    </row>
    <row r="115" customFormat="false" ht="15" hidden="false" customHeight="false" outlineLevel="0" collapsed="false">
      <c r="A115" s="15" t="n">
        <v>114</v>
      </c>
      <c r="B115" s="15" t="s">
        <v>51</v>
      </c>
      <c r="C115" s="15" t="s">
        <v>229</v>
      </c>
      <c r="D115" s="15" t="s">
        <v>230</v>
      </c>
      <c r="E115" s="16" t="s">
        <v>40</v>
      </c>
      <c r="F115" s="15" t="s">
        <v>95</v>
      </c>
      <c r="G115" s="17" t="s">
        <v>85</v>
      </c>
      <c r="H115" s="16" t="s">
        <v>86</v>
      </c>
      <c r="I115" s="15"/>
      <c r="J115" s="15"/>
      <c r="K115" s="18"/>
      <c r="L115" s="15"/>
    </row>
    <row r="116" customFormat="false" ht="15" hidden="false" customHeight="false" outlineLevel="0" collapsed="false">
      <c r="A116" s="15" t="n">
        <v>115</v>
      </c>
      <c r="B116" s="15" t="s">
        <v>51</v>
      </c>
      <c r="C116" s="15" t="s">
        <v>231</v>
      </c>
      <c r="D116" s="15" t="s">
        <v>232</v>
      </c>
      <c r="E116" s="16" t="s">
        <v>40</v>
      </c>
      <c r="F116" s="15" t="s">
        <v>84</v>
      </c>
      <c r="G116" s="17" t="s">
        <v>85</v>
      </c>
      <c r="H116" s="16" t="s">
        <v>86</v>
      </c>
      <c r="I116" s="15"/>
      <c r="J116" s="15"/>
      <c r="K116" s="18"/>
      <c r="L116" s="15"/>
    </row>
    <row r="117" customFormat="false" ht="15" hidden="false" customHeight="false" outlineLevel="0" collapsed="false">
      <c r="A117" s="15" t="n">
        <v>116</v>
      </c>
      <c r="B117" s="15" t="s">
        <v>51</v>
      </c>
      <c r="C117" s="15" t="s">
        <v>233</v>
      </c>
      <c r="D117" s="15" t="s">
        <v>234</v>
      </c>
      <c r="E117" s="16" t="s">
        <v>40</v>
      </c>
      <c r="F117" s="15" t="s">
        <v>95</v>
      </c>
      <c r="G117" s="17" t="s">
        <v>85</v>
      </c>
      <c r="H117" s="16" t="s">
        <v>86</v>
      </c>
      <c r="I117" s="15"/>
      <c r="J117" s="15"/>
      <c r="K117" s="18"/>
      <c r="L117" s="15"/>
    </row>
    <row r="118" customFormat="false" ht="15" hidden="false" customHeight="false" outlineLevel="0" collapsed="false">
      <c r="A118" s="15" t="n">
        <v>117</v>
      </c>
      <c r="B118" s="15" t="s">
        <v>51</v>
      </c>
      <c r="C118" s="15" t="s">
        <v>233</v>
      </c>
      <c r="D118" s="15" t="s">
        <v>235</v>
      </c>
      <c r="E118" s="16" t="s">
        <v>40</v>
      </c>
      <c r="F118" s="15" t="s">
        <v>95</v>
      </c>
      <c r="G118" s="17" t="s">
        <v>85</v>
      </c>
      <c r="H118" s="16" t="s">
        <v>86</v>
      </c>
      <c r="I118" s="15"/>
      <c r="J118" s="15"/>
      <c r="K118" s="18"/>
      <c r="L118" s="15"/>
    </row>
    <row r="119" customFormat="false" ht="15" hidden="false" customHeight="false" outlineLevel="0" collapsed="false">
      <c r="A119" s="15" t="n">
        <v>118</v>
      </c>
      <c r="B119" s="15" t="s">
        <v>51</v>
      </c>
      <c r="C119" s="15" t="s">
        <v>233</v>
      </c>
      <c r="D119" s="15" t="s">
        <v>236</v>
      </c>
      <c r="E119" s="16" t="s">
        <v>40</v>
      </c>
      <c r="F119" s="15" t="s">
        <v>95</v>
      </c>
      <c r="G119" s="17" t="s">
        <v>85</v>
      </c>
      <c r="H119" s="16" t="s">
        <v>86</v>
      </c>
      <c r="I119" s="15"/>
      <c r="J119" s="15"/>
      <c r="K119" s="18"/>
      <c r="L119" s="15"/>
    </row>
    <row r="120" customFormat="false" ht="15" hidden="false" customHeight="false" outlineLevel="0" collapsed="false">
      <c r="A120" s="15" t="n">
        <v>119</v>
      </c>
      <c r="B120" s="15" t="s">
        <v>51</v>
      </c>
      <c r="C120" s="15" t="s">
        <v>233</v>
      </c>
      <c r="D120" s="15" t="s">
        <v>237</v>
      </c>
      <c r="E120" s="16" t="s">
        <v>41</v>
      </c>
      <c r="F120" s="15" t="s">
        <v>95</v>
      </c>
      <c r="G120" s="17" t="s">
        <v>85</v>
      </c>
      <c r="H120" s="16" t="s">
        <v>86</v>
      </c>
      <c r="I120" s="15"/>
      <c r="J120" s="15"/>
      <c r="K120" s="18"/>
      <c r="L120" s="15"/>
    </row>
    <row r="121" customFormat="false" ht="15" hidden="false" customHeight="false" outlineLevel="0" collapsed="false">
      <c r="A121" s="15" t="n">
        <v>120</v>
      </c>
      <c r="B121" s="15" t="s">
        <v>51</v>
      </c>
      <c r="C121" s="15" t="s">
        <v>233</v>
      </c>
      <c r="D121" s="15" t="s">
        <v>238</v>
      </c>
      <c r="E121" s="16" t="s">
        <v>41</v>
      </c>
      <c r="F121" s="15" t="s">
        <v>84</v>
      </c>
      <c r="G121" s="17" t="s">
        <v>85</v>
      </c>
      <c r="H121" s="16" t="s">
        <v>86</v>
      </c>
      <c r="I121" s="15"/>
      <c r="J121" s="15"/>
      <c r="K121" s="18"/>
      <c r="L121" s="15"/>
    </row>
    <row r="122" customFormat="false" ht="15" hidden="false" customHeight="false" outlineLevel="0" collapsed="false">
      <c r="A122" s="15" t="n">
        <v>121</v>
      </c>
      <c r="B122" s="15" t="s">
        <v>51</v>
      </c>
      <c r="C122" s="15" t="s">
        <v>239</v>
      </c>
      <c r="D122" s="15" t="s">
        <v>240</v>
      </c>
      <c r="E122" s="16" t="s">
        <v>41</v>
      </c>
      <c r="F122" s="15" t="s">
        <v>95</v>
      </c>
      <c r="G122" s="17" t="s">
        <v>85</v>
      </c>
      <c r="H122" s="16" t="s">
        <v>86</v>
      </c>
      <c r="I122" s="15"/>
      <c r="J122" s="15"/>
      <c r="K122" s="18"/>
      <c r="L122" s="15"/>
    </row>
    <row r="123" customFormat="false" ht="15" hidden="false" customHeight="false" outlineLevel="0" collapsed="false">
      <c r="A123" s="15" t="n">
        <v>122</v>
      </c>
      <c r="B123" s="15" t="s">
        <v>51</v>
      </c>
      <c r="C123" s="15" t="s">
        <v>239</v>
      </c>
      <c r="D123" s="15" t="s">
        <v>241</v>
      </c>
      <c r="E123" s="16" t="s">
        <v>41</v>
      </c>
      <c r="F123" s="15" t="s">
        <v>84</v>
      </c>
      <c r="G123" s="17" t="s">
        <v>85</v>
      </c>
      <c r="H123" s="16" t="s">
        <v>86</v>
      </c>
      <c r="I123" s="15"/>
      <c r="J123" s="15"/>
      <c r="K123" s="18"/>
      <c r="L123" s="15"/>
    </row>
    <row r="124" customFormat="false" ht="15" hidden="false" customHeight="false" outlineLevel="0" collapsed="false">
      <c r="A124" s="15" t="n">
        <v>123</v>
      </c>
      <c r="B124" s="15" t="s">
        <v>51</v>
      </c>
      <c r="C124" s="15" t="s">
        <v>215</v>
      </c>
      <c r="D124" s="15" t="s">
        <v>242</v>
      </c>
      <c r="E124" s="16" t="s">
        <v>40</v>
      </c>
      <c r="F124" s="15" t="s">
        <v>95</v>
      </c>
      <c r="G124" s="17" t="s">
        <v>85</v>
      </c>
      <c r="H124" s="16" t="s">
        <v>86</v>
      </c>
      <c r="I124" s="15"/>
      <c r="J124" s="15"/>
      <c r="K124" s="18"/>
      <c r="L124" s="15"/>
    </row>
    <row r="125" customFormat="false" ht="15" hidden="false" customHeight="false" outlineLevel="0" collapsed="false">
      <c r="A125" s="15" t="n">
        <v>124</v>
      </c>
      <c r="B125" s="15" t="s">
        <v>51</v>
      </c>
      <c r="C125" s="15" t="s">
        <v>215</v>
      </c>
      <c r="D125" s="15" t="s">
        <v>243</v>
      </c>
      <c r="E125" s="16" t="s">
        <v>40</v>
      </c>
      <c r="F125" s="15" t="s">
        <v>95</v>
      </c>
      <c r="G125" s="17" t="s">
        <v>85</v>
      </c>
      <c r="H125" s="16" t="s">
        <v>86</v>
      </c>
      <c r="I125" s="15"/>
      <c r="J125" s="15"/>
      <c r="K125" s="18"/>
      <c r="L125" s="15"/>
    </row>
    <row r="126" customFormat="false" ht="15" hidden="false" customHeight="false" outlineLevel="0" collapsed="false">
      <c r="A126" s="15" t="n">
        <v>125</v>
      </c>
      <c r="B126" s="15" t="s">
        <v>51</v>
      </c>
      <c r="C126" s="15" t="s">
        <v>215</v>
      </c>
      <c r="D126" s="15" t="s">
        <v>244</v>
      </c>
      <c r="E126" s="16" t="s">
        <v>40</v>
      </c>
      <c r="F126" s="15" t="s">
        <v>95</v>
      </c>
      <c r="G126" s="17" t="s">
        <v>85</v>
      </c>
      <c r="H126" s="16" t="s">
        <v>86</v>
      </c>
      <c r="I126" s="15"/>
      <c r="J126" s="15"/>
      <c r="K126" s="18"/>
      <c r="L126" s="15"/>
    </row>
    <row r="127" customFormat="false" ht="15" hidden="false" customHeight="false" outlineLevel="0" collapsed="false">
      <c r="A127" s="15" t="n">
        <v>126</v>
      </c>
      <c r="B127" s="15" t="s">
        <v>51</v>
      </c>
      <c r="C127" s="15" t="s">
        <v>215</v>
      </c>
      <c r="D127" s="15" t="s">
        <v>245</v>
      </c>
      <c r="E127" s="16" t="s">
        <v>40</v>
      </c>
      <c r="F127" s="15" t="s">
        <v>95</v>
      </c>
      <c r="G127" s="17" t="s">
        <v>85</v>
      </c>
      <c r="H127" s="16" t="s">
        <v>86</v>
      </c>
      <c r="I127" s="15"/>
      <c r="J127" s="15"/>
      <c r="K127" s="18"/>
      <c r="L127" s="15"/>
    </row>
    <row r="128" customFormat="false" ht="15" hidden="false" customHeight="false" outlineLevel="0" collapsed="false">
      <c r="A128" s="15" t="n">
        <v>127</v>
      </c>
      <c r="B128" s="15" t="s">
        <v>51</v>
      </c>
      <c r="C128" s="15" t="s">
        <v>215</v>
      </c>
      <c r="D128" s="15" t="s">
        <v>246</v>
      </c>
      <c r="E128" s="16" t="s">
        <v>40</v>
      </c>
      <c r="F128" s="15" t="s">
        <v>95</v>
      </c>
      <c r="G128" s="17" t="s">
        <v>85</v>
      </c>
      <c r="H128" s="16" t="s">
        <v>86</v>
      </c>
      <c r="I128" s="15"/>
      <c r="J128" s="15"/>
      <c r="K128" s="18"/>
      <c r="L128" s="15"/>
    </row>
    <row r="129" customFormat="false" ht="15" hidden="false" customHeight="false" outlineLevel="0" collapsed="false">
      <c r="A129" s="15" t="n">
        <v>128</v>
      </c>
      <c r="B129" s="15" t="s">
        <v>51</v>
      </c>
      <c r="C129" s="15" t="s">
        <v>215</v>
      </c>
      <c r="D129" s="15" t="s">
        <v>247</v>
      </c>
      <c r="E129" s="16" t="s">
        <v>40</v>
      </c>
      <c r="F129" s="15" t="s">
        <v>95</v>
      </c>
      <c r="G129" s="17" t="s">
        <v>85</v>
      </c>
      <c r="H129" s="16" t="s">
        <v>86</v>
      </c>
      <c r="I129" s="15"/>
      <c r="J129" s="15"/>
      <c r="K129" s="18"/>
      <c r="L129" s="15"/>
    </row>
    <row r="130" customFormat="false" ht="15" hidden="false" customHeight="false" outlineLevel="0" collapsed="false">
      <c r="A130" s="15" t="n">
        <v>129</v>
      </c>
      <c r="B130" s="15" t="s">
        <v>51</v>
      </c>
      <c r="C130" s="15" t="s">
        <v>215</v>
      </c>
      <c r="D130" s="15" t="s">
        <v>248</v>
      </c>
      <c r="E130" s="16" t="s">
        <v>41</v>
      </c>
      <c r="F130" s="15" t="s">
        <v>95</v>
      </c>
      <c r="G130" s="17" t="s">
        <v>85</v>
      </c>
      <c r="H130" s="16" t="s">
        <v>86</v>
      </c>
      <c r="I130" s="15"/>
      <c r="J130" s="15"/>
      <c r="K130" s="18"/>
      <c r="L130" s="15"/>
    </row>
    <row r="131" customFormat="false" ht="15" hidden="false" customHeight="false" outlineLevel="0" collapsed="false">
      <c r="A131" s="15" t="n">
        <v>130</v>
      </c>
      <c r="B131" s="15" t="s">
        <v>51</v>
      </c>
      <c r="C131" s="15" t="s">
        <v>215</v>
      </c>
      <c r="D131" s="15" t="s">
        <v>249</v>
      </c>
      <c r="E131" s="16" t="s">
        <v>41</v>
      </c>
      <c r="F131" s="15" t="s">
        <v>84</v>
      </c>
      <c r="G131" s="17" t="s">
        <v>85</v>
      </c>
      <c r="H131" s="16" t="s">
        <v>86</v>
      </c>
      <c r="I131" s="15"/>
      <c r="J131" s="15"/>
      <c r="K131" s="18"/>
      <c r="L131" s="15"/>
    </row>
    <row r="132" customFormat="false" ht="15" hidden="false" customHeight="false" outlineLevel="0" collapsed="false">
      <c r="A132" s="15" t="n">
        <v>131</v>
      </c>
      <c r="B132" s="15" t="s">
        <v>51</v>
      </c>
      <c r="C132" s="15" t="s">
        <v>215</v>
      </c>
      <c r="D132" s="15" t="s">
        <v>250</v>
      </c>
      <c r="E132" s="16" t="s">
        <v>41</v>
      </c>
      <c r="F132" s="15" t="s">
        <v>84</v>
      </c>
      <c r="G132" s="17" t="s">
        <v>85</v>
      </c>
      <c r="H132" s="16" t="s">
        <v>86</v>
      </c>
      <c r="I132" s="15"/>
      <c r="J132" s="15"/>
      <c r="K132" s="18"/>
      <c r="L132" s="15"/>
    </row>
    <row r="133" customFormat="false" ht="15" hidden="false" customHeight="false" outlineLevel="0" collapsed="false">
      <c r="A133" s="15" t="n">
        <v>132</v>
      </c>
      <c r="B133" s="15" t="s">
        <v>51</v>
      </c>
      <c r="C133" s="15" t="s">
        <v>215</v>
      </c>
      <c r="D133" s="15" t="s">
        <v>251</v>
      </c>
      <c r="E133" s="16" t="s">
        <v>40</v>
      </c>
      <c r="F133" s="15" t="s">
        <v>95</v>
      </c>
      <c r="G133" s="17" t="s">
        <v>85</v>
      </c>
      <c r="H133" s="16" t="s">
        <v>86</v>
      </c>
      <c r="I133" s="15"/>
      <c r="J133" s="15"/>
      <c r="K133" s="18"/>
      <c r="L133" s="15"/>
    </row>
    <row r="134" customFormat="false" ht="15" hidden="false" customHeight="false" outlineLevel="0" collapsed="false">
      <c r="A134" s="15" t="n">
        <v>133</v>
      </c>
      <c r="B134" s="15" t="s">
        <v>51</v>
      </c>
      <c r="C134" s="15" t="s">
        <v>215</v>
      </c>
      <c r="D134" s="15" t="s">
        <v>252</v>
      </c>
      <c r="E134" s="16" t="s">
        <v>40</v>
      </c>
      <c r="F134" s="15" t="s">
        <v>95</v>
      </c>
      <c r="G134" s="17" t="s">
        <v>85</v>
      </c>
      <c r="H134" s="16" t="s">
        <v>86</v>
      </c>
      <c r="I134" s="15"/>
      <c r="J134" s="15"/>
      <c r="K134" s="18"/>
      <c r="L134" s="15"/>
    </row>
    <row r="135" customFormat="false" ht="15" hidden="false" customHeight="false" outlineLevel="0" collapsed="false">
      <c r="A135" s="15" t="n">
        <v>134</v>
      </c>
      <c r="B135" s="15" t="s">
        <v>51</v>
      </c>
      <c r="C135" s="15" t="s">
        <v>215</v>
      </c>
      <c r="D135" s="15" t="s">
        <v>253</v>
      </c>
      <c r="E135" s="16" t="s">
        <v>41</v>
      </c>
      <c r="F135" s="15" t="s">
        <v>84</v>
      </c>
      <c r="G135" s="17" t="s">
        <v>85</v>
      </c>
      <c r="H135" s="16" t="s">
        <v>86</v>
      </c>
      <c r="I135" s="15"/>
      <c r="J135" s="15"/>
      <c r="K135" s="18"/>
      <c r="L135" s="15"/>
    </row>
    <row r="136" customFormat="false" ht="15" hidden="false" customHeight="false" outlineLevel="0" collapsed="false">
      <c r="A136" s="15" t="n">
        <v>135</v>
      </c>
      <c r="B136" s="15" t="s">
        <v>51</v>
      </c>
      <c r="C136" s="15" t="s">
        <v>215</v>
      </c>
      <c r="D136" s="15" t="s">
        <v>254</v>
      </c>
      <c r="E136" s="16" t="s">
        <v>40</v>
      </c>
      <c r="F136" s="15" t="s">
        <v>95</v>
      </c>
      <c r="G136" s="17" t="s">
        <v>85</v>
      </c>
      <c r="H136" s="16" t="s">
        <v>86</v>
      </c>
      <c r="I136" s="15"/>
      <c r="J136" s="15"/>
      <c r="K136" s="18"/>
      <c r="L136" s="15"/>
    </row>
    <row r="137" customFormat="false" ht="15" hidden="false" customHeight="false" outlineLevel="0" collapsed="false">
      <c r="A137" s="15" t="n">
        <v>136</v>
      </c>
      <c r="B137" s="15" t="s">
        <v>52</v>
      </c>
      <c r="C137" s="15" t="s">
        <v>103</v>
      </c>
      <c r="D137" s="15" t="s">
        <v>255</v>
      </c>
      <c r="E137" s="16" t="s">
        <v>39</v>
      </c>
      <c r="F137" s="15" t="s">
        <v>95</v>
      </c>
      <c r="G137" s="17" t="s">
        <v>85</v>
      </c>
      <c r="H137" s="16" t="s">
        <v>86</v>
      </c>
      <c r="I137" s="15"/>
      <c r="J137" s="15"/>
      <c r="K137" s="18"/>
      <c r="L137" s="15"/>
    </row>
    <row r="138" customFormat="false" ht="15" hidden="false" customHeight="false" outlineLevel="0" collapsed="false">
      <c r="A138" s="15" t="n">
        <v>137</v>
      </c>
      <c r="B138" s="15" t="s">
        <v>52</v>
      </c>
      <c r="C138" s="15" t="s">
        <v>103</v>
      </c>
      <c r="D138" s="15" t="s">
        <v>256</v>
      </c>
      <c r="E138" s="16" t="s">
        <v>40</v>
      </c>
      <c r="F138" s="15" t="s">
        <v>95</v>
      </c>
      <c r="G138" s="17" t="s">
        <v>85</v>
      </c>
      <c r="H138" s="16" t="s">
        <v>86</v>
      </c>
      <c r="I138" s="15"/>
      <c r="J138" s="15"/>
      <c r="K138" s="18"/>
      <c r="L138" s="15"/>
    </row>
    <row r="139" customFormat="false" ht="15" hidden="false" customHeight="false" outlineLevel="0" collapsed="false">
      <c r="A139" s="15" t="n">
        <v>138</v>
      </c>
      <c r="B139" s="15" t="s">
        <v>52</v>
      </c>
      <c r="C139" s="15" t="s">
        <v>103</v>
      </c>
      <c r="D139" s="15" t="s">
        <v>257</v>
      </c>
      <c r="E139" s="16" t="s">
        <v>40</v>
      </c>
      <c r="F139" s="15" t="s">
        <v>95</v>
      </c>
      <c r="G139" s="17" t="s">
        <v>85</v>
      </c>
      <c r="H139" s="16" t="s">
        <v>86</v>
      </c>
      <c r="I139" s="15"/>
      <c r="J139" s="15"/>
      <c r="K139" s="18"/>
      <c r="L139" s="15"/>
    </row>
    <row r="140" customFormat="false" ht="15" hidden="false" customHeight="false" outlineLevel="0" collapsed="false">
      <c r="A140" s="15" t="n">
        <v>139</v>
      </c>
      <c r="B140" s="15" t="s">
        <v>52</v>
      </c>
      <c r="C140" s="15" t="s">
        <v>103</v>
      </c>
      <c r="D140" s="15" t="s">
        <v>258</v>
      </c>
      <c r="E140" s="16" t="s">
        <v>39</v>
      </c>
      <c r="F140" s="15" t="s">
        <v>95</v>
      </c>
      <c r="G140" s="17" t="s">
        <v>85</v>
      </c>
      <c r="H140" s="16" t="s">
        <v>86</v>
      </c>
      <c r="I140" s="15"/>
      <c r="J140" s="15"/>
      <c r="K140" s="18"/>
      <c r="L140" s="15"/>
    </row>
    <row r="141" customFormat="false" ht="15" hidden="false" customHeight="false" outlineLevel="0" collapsed="false">
      <c r="A141" s="15" t="n">
        <v>140</v>
      </c>
      <c r="B141" s="15" t="s">
        <v>52</v>
      </c>
      <c r="C141" s="15" t="s">
        <v>259</v>
      </c>
      <c r="D141" s="15" t="s">
        <v>260</v>
      </c>
      <c r="E141" s="16" t="s">
        <v>39</v>
      </c>
      <c r="F141" s="15" t="s">
        <v>95</v>
      </c>
      <c r="G141" s="17" t="s">
        <v>85</v>
      </c>
      <c r="H141" s="16" t="s">
        <v>86</v>
      </c>
      <c r="I141" s="15"/>
      <c r="J141" s="15"/>
      <c r="K141" s="18"/>
      <c r="L141" s="15"/>
    </row>
    <row r="142" customFormat="false" ht="15" hidden="false" customHeight="false" outlineLevel="0" collapsed="false">
      <c r="A142" s="15" t="n">
        <v>141</v>
      </c>
      <c r="B142" s="15" t="s">
        <v>52</v>
      </c>
      <c r="C142" s="15" t="s">
        <v>259</v>
      </c>
      <c r="D142" s="15" t="s">
        <v>261</v>
      </c>
      <c r="E142" s="16" t="s">
        <v>40</v>
      </c>
      <c r="F142" s="15" t="s">
        <v>95</v>
      </c>
      <c r="G142" s="17" t="s">
        <v>85</v>
      </c>
      <c r="H142" s="16" t="s">
        <v>86</v>
      </c>
      <c r="I142" s="15"/>
      <c r="J142" s="15"/>
      <c r="K142" s="18"/>
      <c r="L142" s="15"/>
    </row>
    <row r="143" customFormat="false" ht="15" hidden="false" customHeight="false" outlineLevel="0" collapsed="false">
      <c r="A143" s="15" t="n">
        <v>142</v>
      </c>
      <c r="B143" s="15" t="s">
        <v>52</v>
      </c>
      <c r="C143" s="15" t="s">
        <v>262</v>
      </c>
      <c r="D143" s="15" t="s">
        <v>263</v>
      </c>
      <c r="E143" s="16" t="s">
        <v>39</v>
      </c>
      <c r="F143" s="15" t="s">
        <v>95</v>
      </c>
      <c r="G143" s="17" t="s">
        <v>85</v>
      </c>
      <c r="H143" s="16" t="s">
        <v>86</v>
      </c>
      <c r="I143" s="15"/>
      <c r="J143" s="15"/>
      <c r="K143" s="18"/>
      <c r="L143" s="15"/>
    </row>
    <row r="144" customFormat="false" ht="15" hidden="false" customHeight="false" outlineLevel="0" collapsed="false">
      <c r="A144" s="15" t="n">
        <v>143</v>
      </c>
      <c r="B144" s="15" t="s">
        <v>52</v>
      </c>
      <c r="C144" s="15" t="s">
        <v>262</v>
      </c>
      <c r="D144" s="15" t="s">
        <v>264</v>
      </c>
      <c r="E144" s="16" t="s">
        <v>40</v>
      </c>
      <c r="F144" s="15" t="s">
        <v>95</v>
      </c>
      <c r="G144" s="17" t="s">
        <v>85</v>
      </c>
      <c r="H144" s="16" t="s">
        <v>86</v>
      </c>
      <c r="I144" s="15"/>
      <c r="J144" s="15"/>
      <c r="K144" s="18"/>
      <c r="L144" s="15"/>
    </row>
    <row r="145" customFormat="false" ht="15" hidden="false" customHeight="false" outlineLevel="0" collapsed="false">
      <c r="A145" s="15" t="n">
        <v>144</v>
      </c>
      <c r="B145" s="15" t="s">
        <v>52</v>
      </c>
      <c r="C145" s="15" t="s">
        <v>262</v>
      </c>
      <c r="D145" s="15" t="s">
        <v>265</v>
      </c>
      <c r="E145" s="16" t="s">
        <v>40</v>
      </c>
      <c r="F145" s="15" t="s">
        <v>95</v>
      </c>
      <c r="G145" s="17" t="s">
        <v>85</v>
      </c>
      <c r="H145" s="16" t="s">
        <v>86</v>
      </c>
      <c r="I145" s="15"/>
      <c r="J145" s="15"/>
      <c r="K145" s="18"/>
      <c r="L145" s="15"/>
    </row>
    <row r="146" customFormat="false" ht="15" hidden="false" customHeight="false" outlineLevel="0" collapsed="false">
      <c r="A146" s="15" t="n">
        <v>145</v>
      </c>
      <c r="B146" s="15" t="s">
        <v>52</v>
      </c>
      <c r="C146" s="15" t="s">
        <v>262</v>
      </c>
      <c r="D146" s="15" t="s">
        <v>266</v>
      </c>
      <c r="E146" s="16" t="s">
        <v>39</v>
      </c>
      <c r="F146" s="15" t="s">
        <v>95</v>
      </c>
      <c r="G146" s="17" t="s">
        <v>85</v>
      </c>
      <c r="H146" s="16" t="s">
        <v>86</v>
      </c>
      <c r="I146" s="15"/>
      <c r="J146" s="15"/>
      <c r="K146" s="18"/>
      <c r="L146" s="15"/>
    </row>
    <row r="147" customFormat="false" ht="15" hidden="false" customHeight="false" outlineLevel="0" collapsed="false">
      <c r="A147" s="15" t="n">
        <v>146</v>
      </c>
      <c r="B147" s="15" t="s">
        <v>52</v>
      </c>
      <c r="C147" s="15" t="s">
        <v>262</v>
      </c>
      <c r="D147" s="15" t="s">
        <v>267</v>
      </c>
      <c r="E147" s="16" t="s">
        <v>40</v>
      </c>
      <c r="F147" s="15" t="s">
        <v>95</v>
      </c>
      <c r="G147" s="17" t="s">
        <v>85</v>
      </c>
      <c r="H147" s="16" t="s">
        <v>86</v>
      </c>
      <c r="I147" s="15"/>
      <c r="J147" s="15"/>
      <c r="K147" s="18"/>
      <c r="L147" s="15"/>
    </row>
    <row r="148" customFormat="false" ht="15" hidden="false" customHeight="false" outlineLevel="0" collapsed="false">
      <c r="A148" s="15" t="n">
        <v>147</v>
      </c>
      <c r="B148" s="15" t="s">
        <v>52</v>
      </c>
      <c r="C148" s="15" t="s">
        <v>262</v>
      </c>
      <c r="D148" s="15" t="s">
        <v>268</v>
      </c>
      <c r="E148" s="16" t="s">
        <v>40</v>
      </c>
      <c r="F148" s="15" t="s">
        <v>95</v>
      </c>
      <c r="G148" s="17" t="s">
        <v>85</v>
      </c>
      <c r="H148" s="16" t="s">
        <v>86</v>
      </c>
      <c r="I148" s="15"/>
      <c r="J148" s="15"/>
      <c r="K148" s="18"/>
      <c r="L148" s="15"/>
    </row>
    <row r="149" customFormat="false" ht="15" hidden="false" customHeight="false" outlineLevel="0" collapsed="false">
      <c r="A149" s="15" t="n">
        <v>148</v>
      </c>
      <c r="B149" s="15" t="s">
        <v>52</v>
      </c>
      <c r="C149" s="15" t="s">
        <v>262</v>
      </c>
      <c r="D149" s="15" t="s">
        <v>269</v>
      </c>
      <c r="E149" s="16" t="s">
        <v>40</v>
      </c>
      <c r="F149" s="15" t="s">
        <v>95</v>
      </c>
      <c r="G149" s="17" t="s">
        <v>85</v>
      </c>
      <c r="H149" s="16" t="s">
        <v>86</v>
      </c>
      <c r="I149" s="15"/>
      <c r="J149" s="15"/>
      <c r="K149" s="18"/>
      <c r="L149" s="15"/>
    </row>
    <row r="150" customFormat="false" ht="15" hidden="false" customHeight="false" outlineLevel="0" collapsed="false">
      <c r="A150" s="15" t="n">
        <v>149</v>
      </c>
      <c r="B150" s="15" t="s">
        <v>52</v>
      </c>
      <c r="C150" s="15" t="s">
        <v>270</v>
      </c>
      <c r="D150" s="15" t="s">
        <v>271</v>
      </c>
      <c r="E150" s="16" t="s">
        <v>40</v>
      </c>
      <c r="F150" s="15" t="s">
        <v>95</v>
      </c>
      <c r="G150" s="17" t="s">
        <v>85</v>
      </c>
      <c r="H150" s="16" t="s">
        <v>86</v>
      </c>
      <c r="I150" s="15"/>
      <c r="J150" s="15"/>
      <c r="K150" s="18"/>
      <c r="L150" s="15"/>
    </row>
    <row r="151" customFormat="false" ht="15" hidden="false" customHeight="false" outlineLevel="0" collapsed="false">
      <c r="A151" s="15" t="n">
        <v>150</v>
      </c>
      <c r="B151" s="15" t="s">
        <v>52</v>
      </c>
      <c r="C151" s="15" t="s">
        <v>270</v>
      </c>
      <c r="D151" s="15" t="s">
        <v>272</v>
      </c>
      <c r="E151" s="16" t="s">
        <v>40</v>
      </c>
      <c r="F151" s="15" t="s">
        <v>95</v>
      </c>
      <c r="G151" s="17" t="s">
        <v>85</v>
      </c>
      <c r="H151" s="16" t="s">
        <v>86</v>
      </c>
      <c r="I151" s="15"/>
      <c r="J151" s="15"/>
      <c r="K151" s="18"/>
      <c r="L151" s="15"/>
    </row>
    <row r="152" customFormat="false" ht="15" hidden="false" customHeight="false" outlineLevel="0" collapsed="false">
      <c r="A152" s="15" t="n">
        <v>151</v>
      </c>
      <c r="B152" s="15" t="s">
        <v>52</v>
      </c>
      <c r="C152" s="15" t="s">
        <v>270</v>
      </c>
      <c r="D152" s="15" t="s">
        <v>273</v>
      </c>
      <c r="E152" s="16" t="s">
        <v>41</v>
      </c>
      <c r="F152" s="15" t="s">
        <v>95</v>
      </c>
      <c r="G152" s="17" t="s">
        <v>85</v>
      </c>
      <c r="H152" s="16" t="s">
        <v>86</v>
      </c>
      <c r="I152" s="15"/>
      <c r="J152" s="15"/>
      <c r="K152" s="18"/>
      <c r="L152" s="15"/>
    </row>
    <row r="153" customFormat="false" ht="15" hidden="false" customHeight="false" outlineLevel="0" collapsed="false">
      <c r="A153" s="15" t="n">
        <v>152</v>
      </c>
      <c r="B153" s="15" t="s">
        <v>52</v>
      </c>
      <c r="C153" s="15" t="s">
        <v>274</v>
      </c>
      <c r="D153" s="15" t="s">
        <v>275</v>
      </c>
      <c r="E153" s="16" t="s">
        <v>39</v>
      </c>
      <c r="F153" s="15" t="s">
        <v>95</v>
      </c>
      <c r="G153" s="17" t="s">
        <v>85</v>
      </c>
      <c r="H153" s="16" t="s">
        <v>86</v>
      </c>
      <c r="I153" s="15"/>
      <c r="J153" s="15"/>
      <c r="K153" s="18"/>
      <c r="L153" s="15"/>
    </row>
    <row r="154" customFormat="false" ht="15" hidden="false" customHeight="false" outlineLevel="0" collapsed="false">
      <c r="A154" s="15" t="n">
        <v>153</v>
      </c>
      <c r="B154" s="15" t="s">
        <v>52</v>
      </c>
      <c r="C154" s="15" t="s">
        <v>274</v>
      </c>
      <c r="D154" s="15" t="s">
        <v>276</v>
      </c>
      <c r="E154" s="16" t="s">
        <v>39</v>
      </c>
      <c r="F154" s="15" t="s">
        <v>95</v>
      </c>
      <c r="G154" s="17" t="s">
        <v>85</v>
      </c>
      <c r="H154" s="16" t="s">
        <v>86</v>
      </c>
      <c r="I154" s="15"/>
      <c r="J154" s="15"/>
      <c r="K154" s="18"/>
      <c r="L154" s="15"/>
    </row>
    <row r="155" customFormat="false" ht="15" hidden="false" customHeight="false" outlineLevel="0" collapsed="false">
      <c r="A155" s="15" t="n">
        <v>154</v>
      </c>
      <c r="B155" s="15" t="s">
        <v>52</v>
      </c>
      <c r="C155" s="15" t="s">
        <v>277</v>
      </c>
      <c r="D155" s="15" t="s">
        <v>278</v>
      </c>
      <c r="E155" s="16" t="s">
        <v>39</v>
      </c>
      <c r="F155" s="15" t="s">
        <v>95</v>
      </c>
      <c r="G155" s="17" t="s">
        <v>85</v>
      </c>
      <c r="H155" s="16" t="s">
        <v>86</v>
      </c>
      <c r="I155" s="15"/>
      <c r="J155" s="15"/>
      <c r="K155" s="18"/>
      <c r="L155" s="15"/>
    </row>
    <row r="156" customFormat="false" ht="15" hidden="false" customHeight="false" outlineLevel="0" collapsed="false">
      <c r="A156" s="15" t="n">
        <v>155</v>
      </c>
      <c r="B156" s="15" t="s">
        <v>52</v>
      </c>
      <c r="C156" s="15" t="s">
        <v>277</v>
      </c>
      <c r="D156" s="15" t="s">
        <v>279</v>
      </c>
      <c r="E156" s="16" t="s">
        <v>39</v>
      </c>
      <c r="F156" s="15" t="s">
        <v>95</v>
      </c>
      <c r="G156" s="17" t="s">
        <v>85</v>
      </c>
      <c r="H156" s="16" t="s">
        <v>86</v>
      </c>
      <c r="I156" s="15"/>
      <c r="J156" s="15"/>
      <c r="K156" s="18"/>
      <c r="L156" s="15"/>
    </row>
    <row r="157" customFormat="false" ht="15" hidden="false" customHeight="false" outlineLevel="0" collapsed="false">
      <c r="A157" s="15" t="n">
        <v>156</v>
      </c>
      <c r="B157" s="15" t="s">
        <v>52</v>
      </c>
      <c r="C157" s="15" t="s">
        <v>277</v>
      </c>
      <c r="D157" s="15" t="s">
        <v>280</v>
      </c>
      <c r="E157" s="16" t="s">
        <v>39</v>
      </c>
      <c r="F157" s="15" t="s">
        <v>95</v>
      </c>
      <c r="G157" s="17" t="s">
        <v>85</v>
      </c>
      <c r="H157" s="16" t="s">
        <v>86</v>
      </c>
      <c r="I157" s="15"/>
      <c r="J157" s="15"/>
      <c r="K157" s="18"/>
      <c r="L157" s="15"/>
    </row>
    <row r="158" customFormat="false" ht="15" hidden="false" customHeight="false" outlineLevel="0" collapsed="false">
      <c r="A158" s="15" t="n">
        <v>157</v>
      </c>
      <c r="B158" s="15" t="s">
        <v>52</v>
      </c>
      <c r="C158" s="15" t="s">
        <v>277</v>
      </c>
      <c r="D158" s="15" t="s">
        <v>281</v>
      </c>
      <c r="E158" s="16" t="s">
        <v>40</v>
      </c>
      <c r="F158" s="15" t="s">
        <v>84</v>
      </c>
      <c r="G158" s="17" t="s">
        <v>85</v>
      </c>
      <c r="H158" s="16" t="s">
        <v>86</v>
      </c>
      <c r="I158" s="15"/>
      <c r="J158" s="15"/>
      <c r="K158" s="18"/>
      <c r="L158" s="15"/>
    </row>
    <row r="159" customFormat="false" ht="15" hidden="false" customHeight="false" outlineLevel="0" collapsed="false">
      <c r="A159" s="15" t="n">
        <v>158</v>
      </c>
      <c r="B159" s="15" t="s">
        <v>52</v>
      </c>
      <c r="C159" s="15" t="s">
        <v>277</v>
      </c>
      <c r="D159" s="15" t="s">
        <v>282</v>
      </c>
      <c r="E159" s="16" t="s">
        <v>41</v>
      </c>
      <c r="F159" s="15" t="s">
        <v>84</v>
      </c>
      <c r="G159" s="17" t="s">
        <v>85</v>
      </c>
      <c r="H159" s="16" t="s">
        <v>86</v>
      </c>
      <c r="I159" s="15"/>
      <c r="J159" s="15"/>
      <c r="K159" s="18"/>
      <c r="L159" s="15"/>
    </row>
    <row r="160" customFormat="false" ht="15" hidden="false" customHeight="false" outlineLevel="0" collapsed="false">
      <c r="A160" s="15" t="n">
        <v>159</v>
      </c>
      <c r="B160" s="15" t="s">
        <v>52</v>
      </c>
      <c r="C160" s="15" t="s">
        <v>277</v>
      </c>
      <c r="D160" s="15" t="s">
        <v>283</v>
      </c>
      <c r="E160" s="16" t="s">
        <v>40</v>
      </c>
      <c r="F160" s="15" t="s">
        <v>84</v>
      </c>
      <c r="G160" s="17" t="s">
        <v>85</v>
      </c>
      <c r="H160" s="16" t="s">
        <v>86</v>
      </c>
      <c r="I160" s="15"/>
      <c r="J160" s="15"/>
      <c r="K160" s="18"/>
      <c r="L160" s="15"/>
    </row>
    <row r="161" customFormat="false" ht="15" hidden="false" customHeight="false" outlineLevel="0" collapsed="false">
      <c r="A161" s="15" t="n">
        <v>160</v>
      </c>
      <c r="B161" s="15" t="s">
        <v>52</v>
      </c>
      <c r="C161" s="15" t="s">
        <v>284</v>
      </c>
      <c r="D161" s="15" t="s">
        <v>285</v>
      </c>
      <c r="E161" s="16" t="s">
        <v>40</v>
      </c>
      <c r="F161" s="15" t="s">
        <v>95</v>
      </c>
      <c r="G161" s="17" t="s">
        <v>85</v>
      </c>
      <c r="H161" s="16" t="s">
        <v>86</v>
      </c>
      <c r="I161" s="15"/>
      <c r="J161" s="15"/>
      <c r="K161" s="18"/>
      <c r="L161" s="15"/>
    </row>
    <row r="162" customFormat="false" ht="15" hidden="false" customHeight="false" outlineLevel="0" collapsed="false">
      <c r="A162" s="15" t="n">
        <v>161</v>
      </c>
      <c r="B162" s="15" t="s">
        <v>52</v>
      </c>
      <c r="C162" s="15" t="s">
        <v>284</v>
      </c>
      <c r="D162" s="15" t="s">
        <v>286</v>
      </c>
      <c r="E162" s="16" t="s">
        <v>41</v>
      </c>
      <c r="F162" s="15" t="s">
        <v>95</v>
      </c>
      <c r="G162" s="17" t="s">
        <v>85</v>
      </c>
      <c r="H162" s="16" t="s">
        <v>86</v>
      </c>
      <c r="I162" s="15"/>
      <c r="J162" s="15"/>
      <c r="K162" s="18"/>
      <c r="L162" s="15"/>
    </row>
    <row r="163" customFormat="false" ht="15" hidden="false" customHeight="false" outlineLevel="0" collapsed="false">
      <c r="A163" s="15" t="n">
        <v>162</v>
      </c>
      <c r="B163" s="15" t="s">
        <v>52</v>
      </c>
      <c r="C163" s="15" t="s">
        <v>284</v>
      </c>
      <c r="D163" s="15" t="s">
        <v>287</v>
      </c>
      <c r="E163" s="16" t="s">
        <v>40</v>
      </c>
      <c r="F163" s="15" t="s">
        <v>95</v>
      </c>
      <c r="G163" s="17" t="s">
        <v>85</v>
      </c>
      <c r="H163" s="16" t="s">
        <v>86</v>
      </c>
      <c r="I163" s="15"/>
      <c r="J163" s="15"/>
      <c r="K163" s="18"/>
      <c r="L163" s="15"/>
    </row>
    <row r="164" customFormat="false" ht="15" hidden="false" customHeight="false" outlineLevel="0" collapsed="false">
      <c r="A164" s="15" t="n">
        <v>163</v>
      </c>
      <c r="B164" s="15" t="s">
        <v>53</v>
      </c>
      <c r="C164" s="15" t="s">
        <v>288</v>
      </c>
      <c r="D164" s="15" t="s">
        <v>289</v>
      </c>
      <c r="E164" s="16" t="s">
        <v>39</v>
      </c>
      <c r="F164" s="15" t="s">
        <v>95</v>
      </c>
      <c r="G164" s="17" t="s">
        <v>85</v>
      </c>
      <c r="H164" s="16" t="s">
        <v>86</v>
      </c>
      <c r="I164" s="15"/>
      <c r="J164" s="15"/>
      <c r="K164" s="18"/>
      <c r="L164" s="15"/>
    </row>
    <row r="165" customFormat="false" ht="15" hidden="false" customHeight="false" outlineLevel="0" collapsed="false">
      <c r="A165" s="15" t="n">
        <v>164</v>
      </c>
      <c r="B165" s="15" t="s">
        <v>53</v>
      </c>
      <c r="C165" s="15" t="s">
        <v>288</v>
      </c>
      <c r="D165" s="15" t="s">
        <v>290</v>
      </c>
      <c r="E165" s="16" t="s">
        <v>39</v>
      </c>
      <c r="F165" s="15" t="s">
        <v>95</v>
      </c>
      <c r="G165" s="17" t="s">
        <v>85</v>
      </c>
      <c r="H165" s="16" t="s">
        <v>86</v>
      </c>
      <c r="I165" s="15"/>
      <c r="J165" s="15"/>
      <c r="K165" s="18"/>
      <c r="L165" s="15"/>
    </row>
    <row r="166" customFormat="false" ht="15" hidden="false" customHeight="false" outlineLevel="0" collapsed="false">
      <c r="A166" s="15" t="n">
        <v>165</v>
      </c>
      <c r="B166" s="15" t="s">
        <v>53</v>
      </c>
      <c r="C166" s="15" t="s">
        <v>288</v>
      </c>
      <c r="D166" s="15" t="s">
        <v>291</v>
      </c>
      <c r="E166" s="16" t="s">
        <v>39</v>
      </c>
      <c r="F166" s="15" t="s">
        <v>95</v>
      </c>
      <c r="G166" s="17" t="s">
        <v>85</v>
      </c>
      <c r="H166" s="16" t="s">
        <v>86</v>
      </c>
      <c r="I166" s="15"/>
      <c r="J166" s="15"/>
      <c r="K166" s="18"/>
      <c r="L166" s="15"/>
    </row>
    <row r="167" customFormat="false" ht="15" hidden="false" customHeight="false" outlineLevel="0" collapsed="false">
      <c r="A167" s="15" t="n">
        <v>166</v>
      </c>
      <c r="B167" s="15" t="s">
        <v>53</v>
      </c>
      <c r="C167" s="15" t="s">
        <v>288</v>
      </c>
      <c r="D167" s="15" t="s">
        <v>292</v>
      </c>
      <c r="E167" s="16" t="s">
        <v>39</v>
      </c>
      <c r="F167" s="15" t="s">
        <v>95</v>
      </c>
      <c r="G167" s="17" t="s">
        <v>85</v>
      </c>
      <c r="H167" s="16" t="s">
        <v>86</v>
      </c>
      <c r="I167" s="15"/>
      <c r="J167" s="15"/>
      <c r="K167" s="18"/>
      <c r="L167" s="15"/>
    </row>
    <row r="168" customFormat="false" ht="15" hidden="false" customHeight="false" outlineLevel="0" collapsed="false">
      <c r="A168" s="15" t="n">
        <v>167</v>
      </c>
      <c r="B168" s="15" t="s">
        <v>53</v>
      </c>
      <c r="C168" s="15" t="s">
        <v>293</v>
      </c>
      <c r="D168" s="15" t="s">
        <v>294</v>
      </c>
      <c r="E168" s="16" t="s">
        <v>39</v>
      </c>
      <c r="F168" s="15" t="s">
        <v>95</v>
      </c>
      <c r="G168" s="17" t="s">
        <v>85</v>
      </c>
      <c r="H168" s="16" t="s">
        <v>86</v>
      </c>
      <c r="I168" s="15"/>
      <c r="J168" s="15"/>
      <c r="K168" s="18"/>
      <c r="L168" s="15"/>
    </row>
    <row r="169" customFormat="false" ht="15" hidden="false" customHeight="false" outlineLevel="0" collapsed="false">
      <c r="A169" s="15" t="n">
        <v>168</v>
      </c>
      <c r="B169" s="15" t="s">
        <v>53</v>
      </c>
      <c r="C169" s="15" t="s">
        <v>293</v>
      </c>
      <c r="D169" s="15" t="s">
        <v>295</v>
      </c>
      <c r="E169" s="16" t="s">
        <v>39</v>
      </c>
      <c r="F169" s="15" t="s">
        <v>95</v>
      </c>
      <c r="G169" s="17" t="s">
        <v>85</v>
      </c>
      <c r="H169" s="16" t="s">
        <v>86</v>
      </c>
      <c r="I169" s="15"/>
      <c r="J169" s="15"/>
      <c r="K169" s="18"/>
      <c r="L169" s="15"/>
    </row>
    <row r="170" customFormat="false" ht="15" hidden="false" customHeight="false" outlineLevel="0" collapsed="false">
      <c r="A170" s="15" t="n">
        <v>169</v>
      </c>
      <c r="B170" s="15" t="s">
        <v>53</v>
      </c>
      <c r="C170" s="15" t="s">
        <v>293</v>
      </c>
      <c r="D170" s="15" t="s">
        <v>296</v>
      </c>
      <c r="E170" s="16" t="s">
        <v>39</v>
      </c>
      <c r="F170" s="15" t="s">
        <v>95</v>
      </c>
      <c r="G170" s="17" t="s">
        <v>85</v>
      </c>
      <c r="H170" s="16" t="s">
        <v>86</v>
      </c>
      <c r="I170" s="15"/>
      <c r="J170" s="15"/>
      <c r="K170" s="18"/>
      <c r="L170" s="15"/>
    </row>
    <row r="171" customFormat="false" ht="15" hidden="false" customHeight="false" outlineLevel="0" collapsed="false">
      <c r="A171" s="15" t="n">
        <v>170</v>
      </c>
      <c r="B171" s="15" t="s">
        <v>53</v>
      </c>
      <c r="C171" s="15" t="s">
        <v>293</v>
      </c>
      <c r="D171" s="15" t="s">
        <v>297</v>
      </c>
      <c r="E171" s="16" t="s">
        <v>39</v>
      </c>
      <c r="F171" s="15" t="s">
        <v>95</v>
      </c>
      <c r="G171" s="17" t="s">
        <v>85</v>
      </c>
      <c r="H171" s="16" t="s">
        <v>86</v>
      </c>
      <c r="I171" s="15"/>
      <c r="J171" s="15"/>
      <c r="K171" s="18"/>
      <c r="L171" s="15"/>
    </row>
    <row r="172" customFormat="false" ht="15" hidden="false" customHeight="false" outlineLevel="0" collapsed="false">
      <c r="A172" s="15" t="n">
        <v>171</v>
      </c>
      <c r="B172" s="15" t="s">
        <v>53</v>
      </c>
      <c r="C172" s="15" t="s">
        <v>293</v>
      </c>
      <c r="D172" s="15" t="s">
        <v>298</v>
      </c>
      <c r="E172" s="16" t="s">
        <v>39</v>
      </c>
      <c r="F172" s="15" t="s">
        <v>95</v>
      </c>
      <c r="G172" s="17" t="s">
        <v>85</v>
      </c>
      <c r="H172" s="16" t="s">
        <v>86</v>
      </c>
      <c r="I172" s="15"/>
      <c r="J172" s="15"/>
      <c r="K172" s="18"/>
      <c r="L172" s="15"/>
    </row>
    <row r="173" customFormat="false" ht="15" hidden="false" customHeight="false" outlineLevel="0" collapsed="false">
      <c r="A173" s="15" t="n">
        <v>172</v>
      </c>
      <c r="B173" s="15" t="s">
        <v>53</v>
      </c>
      <c r="C173" s="15" t="s">
        <v>293</v>
      </c>
      <c r="D173" s="15" t="s">
        <v>299</v>
      </c>
      <c r="E173" s="16" t="s">
        <v>39</v>
      </c>
      <c r="F173" s="15" t="s">
        <v>95</v>
      </c>
      <c r="G173" s="17" t="s">
        <v>85</v>
      </c>
      <c r="H173" s="16" t="s">
        <v>86</v>
      </c>
      <c r="I173" s="15"/>
      <c r="J173" s="15"/>
      <c r="K173" s="18"/>
      <c r="L173" s="15"/>
    </row>
    <row r="174" customFormat="false" ht="15" hidden="false" customHeight="false" outlineLevel="0" collapsed="false">
      <c r="A174" s="15" t="n">
        <v>173</v>
      </c>
      <c r="B174" s="15" t="s">
        <v>53</v>
      </c>
      <c r="C174" s="15" t="s">
        <v>300</v>
      </c>
      <c r="D174" s="15" t="s">
        <v>301</v>
      </c>
      <c r="E174" s="16" t="s">
        <v>39</v>
      </c>
      <c r="F174" s="15" t="s">
        <v>95</v>
      </c>
      <c r="G174" s="17" t="s">
        <v>85</v>
      </c>
      <c r="H174" s="16" t="s">
        <v>86</v>
      </c>
      <c r="I174" s="15"/>
      <c r="J174" s="15"/>
      <c r="K174" s="18"/>
      <c r="L174" s="15"/>
    </row>
    <row r="175" customFormat="false" ht="15" hidden="false" customHeight="false" outlineLevel="0" collapsed="false">
      <c r="A175" s="15" t="n">
        <v>174</v>
      </c>
      <c r="B175" s="15" t="s">
        <v>53</v>
      </c>
      <c r="C175" s="15" t="s">
        <v>302</v>
      </c>
      <c r="D175" s="15" t="s">
        <v>303</v>
      </c>
      <c r="E175" s="16" t="s">
        <v>40</v>
      </c>
      <c r="F175" s="15" t="s">
        <v>95</v>
      </c>
      <c r="G175" s="17" t="s">
        <v>85</v>
      </c>
      <c r="H175" s="16" t="s">
        <v>86</v>
      </c>
      <c r="I175" s="15"/>
      <c r="J175" s="15"/>
      <c r="K175" s="18"/>
      <c r="L175" s="15"/>
    </row>
    <row r="176" customFormat="false" ht="15" hidden="false" customHeight="false" outlineLevel="0" collapsed="false">
      <c r="A176" s="15" t="n">
        <v>175</v>
      </c>
      <c r="B176" s="15" t="s">
        <v>53</v>
      </c>
      <c r="C176" s="15" t="s">
        <v>304</v>
      </c>
      <c r="D176" s="15" t="s">
        <v>305</v>
      </c>
      <c r="E176" s="16" t="s">
        <v>40</v>
      </c>
      <c r="F176" s="15" t="s">
        <v>95</v>
      </c>
      <c r="G176" s="17" t="s">
        <v>85</v>
      </c>
      <c r="H176" s="16" t="s">
        <v>86</v>
      </c>
      <c r="I176" s="15"/>
      <c r="J176" s="15"/>
      <c r="K176" s="18"/>
      <c r="L176" s="15"/>
    </row>
    <row r="177" customFormat="false" ht="15" hidden="false" customHeight="false" outlineLevel="0" collapsed="false">
      <c r="A177" s="15" t="n">
        <v>176</v>
      </c>
      <c r="B177" s="15" t="s">
        <v>53</v>
      </c>
      <c r="C177" s="15" t="s">
        <v>306</v>
      </c>
      <c r="D177" s="15" t="s">
        <v>307</v>
      </c>
      <c r="E177" s="16" t="s">
        <v>40</v>
      </c>
      <c r="F177" s="15" t="s">
        <v>95</v>
      </c>
      <c r="G177" s="17" t="s">
        <v>85</v>
      </c>
      <c r="H177" s="16" t="s">
        <v>86</v>
      </c>
      <c r="I177" s="15"/>
      <c r="J177" s="15"/>
      <c r="K177" s="18"/>
      <c r="L177" s="15"/>
    </row>
    <row r="178" customFormat="false" ht="15" hidden="false" customHeight="false" outlineLevel="0" collapsed="false">
      <c r="A178" s="15" t="n">
        <v>177</v>
      </c>
      <c r="B178" s="15" t="s">
        <v>53</v>
      </c>
      <c r="C178" s="15" t="s">
        <v>308</v>
      </c>
      <c r="D178" s="15" t="s">
        <v>309</v>
      </c>
      <c r="E178" s="16" t="s">
        <v>40</v>
      </c>
      <c r="F178" s="15" t="s">
        <v>95</v>
      </c>
      <c r="G178" s="17" t="s">
        <v>85</v>
      </c>
      <c r="H178" s="16" t="s">
        <v>86</v>
      </c>
      <c r="I178" s="15"/>
      <c r="J178" s="15"/>
      <c r="K178" s="18"/>
      <c r="L178" s="15"/>
    </row>
    <row r="179" customFormat="false" ht="15" hidden="false" customHeight="false" outlineLevel="0" collapsed="false">
      <c r="A179" s="15" t="n">
        <v>178</v>
      </c>
      <c r="B179" s="15" t="s">
        <v>53</v>
      </c>
      <c r="C179" s="15" t="s">
        <v>308</v>
      </c>
      <c r="D179" s="15" t="s">
        <v>310</v>
      </c>
      <c r="E179" s="16" t="s">
        <v>41</v>
      </c>
      <c r="F179" s="15" t="s">
        <v>95</v>
      </c>
      <c r="G179" s="17" t="s">
        <v>85</v>
      </c>
      <c r="H179" s="16" t="s">
        <v>86</v>
      </c>
      <c r="I179" s="15"/>
      <c r="J179" s="15"/>
      <c r="K179" s="18"/>
      <c r="L179" s="15"/>
    </row>
    <row r="180" customFormat="false" ht="15" hidden="false" customHeight="false" outlineLevel="0" collapsed="false">
      <c r="A180" s="15" t="n">
        <v>179</v>
      </c>
      <c r="B180" s="15" t="s">
        <v>54</v>
      </c>
      <c r="C180" s="15" t="s">
        <v>311</v>
      </c>
      <c r="D180" s="15" t="s">
        <v>312</v>
      </c>
      <c r="E180" s="16" t="s">
        <v>40</v>
      </c>
      <c r="F180" s="15" t="s">
        <v>95</v>
      </c>
      <c r="G180" s="17" t="s">
        <v>85</v>
      </c>
      <c r="H180" s="16" t="s">
        <v>86</v>
      </c>
      <c r="I180" s="15"/>
      <c r="J180" s="15"/>
      <c r="K180" s="18"/>
      <c r="L180" s="15"/>
    </row>
    <row r="181" customFormat="false" ht="15" hidden="false" customHeight="false" outlineLevel="0" collapsed="false">
      <c r="A181" s="15" t="n">
        <v>180</v>
      </c>
      <c r="B181" s="15" t="s">
        <v>54</v>
      </c>
      <c r="C181" s="15" t="s">
        <v>311</v>
      </c>
      <c r="D181" s="15" t="s">
        <v>313</v>
      </c>
      <c r="E181" s="16" t="s">
        <v>40</v>
      </c>
      <c r="F181" s="15" t="s">
        <v>95</v>
      </c>
      <c r="G181" s="17" t="s">
        <v>85</v>
      </c>
      <c r="H181" s="16" t="s">
        <v>86</v>
      </c>
      <c r="I181" s="15"/>
      <c r="J181" s="15"/>
      <c r="K181" s="18"/>
      <c r="L181" s="15"/>
    </row>
    <row r="182" customFormat="false" ht="15" hidden="false" customHeight="false" outlineLevel="0" collapsed="false">
      <c r="A182" s="15" t="n">
        <v>181</v>
      </c>
      <c r="B182" s="15" t="s">
        <v>54</v>
      </c>
      <c r="C182" s="15" t="s">
        <v>311</v>
      </c>
      <c r="D182" s="15" t="s">
        <v>314</v>
      </c>
      <c r="E182" s="16" t="s">
        <v>40</v>
      </c>
      <c r="F182" s="15" t="s">
        <v>95</v>
      </c>
      <c r="G182" s="17" t="s">
        <v>85</v>
      </c>
      <c r="H182" s="16" t="s">
        <v>86</v>
      </c>
      <c r="I182" s="15"/>
      <c r="J182" s="15"/>
      <c r="K182" s="18"/>
      <c r="L182" s="15"/>
    </row>
    <row r="183" customFormat="false" ht="15" hidden="false" customHeight="false" outlineLevel="0" collapsed="false">
      <c r="A183" s="15" t="n">
        <v>182</v>
      </c>
      <c r="B183" s="15" t="s">
        <v>54</v>
      </c>
      <c r="C183" s="15" t="s">
        <v>311</v>
      </c>
      <c r="D183" s="15" t="s">
        <v>315</v>
      </c>
      <c r="E183" s="16" t="s">
        <v>39</v>
      </c>
      <c r="F183" s="15" t="s">
        <v>95</v>
      </c>
      <c r="G183" s="17" t="s">
        <v>85</v>
      </c>
      <c r="H183" s="16" t="s">
        <v>86</v>
      </c>
      <c r="I183" s="15"/>
      <c r="J183" s="15"/>
      <c r="K183" s="18"/>
      <c r="L183" s="15"/>
    </row>
    <row r="184" customFormat="false" ht="15" hidden="false" customHeight="false" outlineLevel="0" collapsed="false">
      <c r="A184" s="15" t="n">
        <v>183</v>
      </c>
      <c r="B184" s="15" t="s">
        <v>54</v>
      </c>
      <c r="C184" s="15" t="s">
        <v>316</v>
      </c>
      <c r="D184" s="15" t="s">
        <v>317</v>
      </c>
      <c r="E184" s="16" t="s">
        <v>40</v>
      </c>
      <c r="F184" s="15" t="s">
        <v>95</v>
      </c>
      <c r="G184" s="17" t="s">
        <v>85</v>
      </c>
      <c r="H184" s="16" t="s">
        <v>86</v>
      </c>
      <c r="I184" s="15"/>
      <c r="J184" s="15"/>
      <c r="K184" s="18"/>
      <c r="L184" s="15"/>
    </row>
    <row r="185" customFormat="false" ht="15" hidden="false" customHeight="false" outlineLevel="0" collapsed="false">
      <c r="A185" s="15" t="n">
        <v>184</v>
      </c>
      <c r="B185" s="15" t="s">
        <v>54</v>
      </c>
      <c r="C185" s="15" t="s">
        <v>316</v>
      </c>
      <c r="D185" s="15" t="s">
        <v>318</v>
      </c>
      <c r="E185" s="16" t="s">
        <v>40</v>
      </c>
      <c r="F185" s="15" t="s">
        <v>95</v>
      </c>
      <c r="G185" s="17" t="s">
        <v>85</v>
      </c>
      <c r="H185" s="16" t="s">
        <v>86</v>
      </c>
      <c r="I185" s="15"/>
      <c r="J185" s="15"/>
      <c r="K185" s="18"/>
      <c r="L185" s="15"/>
    </row>
    <row r="186" customFormat="false" ht="15" hidden="false" customHeight="false" outlineLevel="0" collapsed="false">
      <c r="A186" s="15" t="n">
        <v>185</v>
      </c>
      <c r="B186" s="15" t="s">
        <v>54</v>
      </c>
      <c r="C186" s="15" t="s">
        <v>316</v>
      </c>
      <c r="D186" s="15" t="s">
        <v>319</v>
      </c>
      <c r="E186" s="16" t="s">
        <v>39</v>
      </c>
      <c r="F186" s="15" t="s">
        <v>95</v>
      </c>
      <c r="G186" s="17" t="s">
        <v>85</v>
      </c>
      <c r="H186" s="16" t="s">
        <v>86</v>
      </c>
      <c r="I186" s="15"/>
      <c r="J186" s="15"/>
      <c r="K186" s="18"/>
      <c r="L186" s="15"/>
    </row>
    <row r="187" customFormat="false" ht="15" hidden="false" customHeight="false" outlineLevel="0" collapsed="false">
      <c r="A187" s="15" t="n">
        <v>186</v>
      </c>
      <c r="B187" s="15" t="s">
        <v>54</v>
      </c>
      <c r="C187" s="15" t="s">
        <v>316</v>
      </c>
      <c r="D187" s="15" t="s">
        <v>320</v>
      </c>
      <c r="E187" s="16" t="s">
        <v>40</v>
      </c>
      <c r="F187" s="15" t="s">
        <v>95</v>
      </c>
      <c r="G187" s="17" t="s">
        <v>85</v>
      </c>
      <c r="H187" s="16" t="s">
        <v>86</v>
      </c>
      <c r="I187" s="15"/>
      <c r="J187" s="15"/>
      <c r="K187" s="18"/>
      <c r="L187" s="15"/>
    </row>
    <row r="188" customFormat="false" ht="15" hidden="false" customHeight="false" outlineLevel="0" collapsed="false">
      <c r="A188" s="15" t="n">
        <v>187</v>
      </c>
      <c r="B188" s="15" t="s">
        <v>54</v>
      </c>
      <c r="C188" s="15" t="s">
        <v>321</v>
      </c>
      <c r="D188" s="15" t="s">
        <v>322</v>
      </c>
      <c r="E188" s="16" t="s">
        <v>39</v>
      </c>
      <c r="F188" s="15" t="s">
        <v>95</v>
      </c>
      <c r="G188" s="17" t="s">
        <v>85</v>
      </c>
      <c r="H188" s="16" t="s">
        <v>86</v>
      </c>
      <c r="I188" s="15"/>
      <c r="J188" s="15"/>
      <c r="K188" s="18"/>
      <c r="L188" s="15"/>
    </row>
    <row r="189" customFormat="false" ht="15" hidden="false" customHeight="false" outlineLevel="0" collapsed="false">
      <c r="A189" s="15" t="n">
        <v>188</v>
      </c>
      <c r="B189" s="15" t="s">
        <v>54</v>
      </c>
      <c r="C189" s="15" t="s">
        <v>323</v>
      </c>
      <c r="D189" s="15" t="s">
        <v>324</v>
      </c>
      <c r="E189" s="16" t="s">
        <v>39</v>
      </c>
      <c r="F189" s="15" t="s">
        <v>95</v>
      </c>
      <c r="G189" s="17" t="s">
        <v>85</v>
      </c>
      <c r="H189" s="16" t="s">
        <v>86</v>
      </c>
      <c r="I189" s="15"/>
      <c r="J189" s="15"/>
      <c r="K189" s="18"/>
      <c r="L189" s="15"/>
    </row>
    <row r="190" customFormat="false" ht="15" hidden="false" customHeight="false" outlineLevel="0" collapsed="false">
      <c r="A190" s="15" t="n">
        <v>189</v>
      </c>
      <c r="B190" s="15" t="s">
        <v>54</v>
      </c>
      <c r="C190" s="15" t="s">
        <v>323</v>
      </c>
      <c r="D190" s="15" t="s">
        <v>325</v>
      </c>
      <c r="E190" s="16" t="s">
        <v>39</v>
      </c>
      <c r="F190" s="15" t="s">
        <v>95</v>
      </c>
      <c r="G190" s="17" t="s">
        <v>85</v>
      </c>
      <c r="H190" s="16" t="s">
        <v>86</v>
      </c>
      <c r="I190" s="15"/>
      <c r="J190" s="15"/>
      <c r="K190" s="18"/>
      <c r="L190" s="15"/>
    </row>
    <row r="191" customFormat="false" ht="15" hidden="false" customHeight="false" outlineLevel="0" collapsed="false">
      <c r="A191" s="15" t="n">
        <v>190</v>
      </c>
      <c r="B191" s="15" t="s">
        <v>55</v>
      </c>
      <c r="C191" s="15" t="s">
        <v>326</v>
      </c>
      <c r="D191" s="15" t="s">
        <v>327</v>
      </c>
      <c r="E191" s="16" t="s">
        <v>39</v>
      </c>
      <c r="F191" s="15" t="s">
        <v>95</v>
      </c>
      <c r="G191" s="17" t="s">
        <v>85</v>
      </c>
      <c r="H191" s="16" t="s">
        <v>86</v>
      </c>
      <c r="I191" s="15"/>
      <c r="J191" s="15"/>
      <c r="K191" s="18"/>
      <c r="L191" s="15"/>
    </row>
    <row r="192" customFormat="false" ht="15" hidden="false" customHeight="false" outlineLevel="0" collapsed="false">
      <c r="A192" s="15" t="n">
        <v>191</v>
      </c>
      <c r="B192" s="15" t="s">
        <v>55</v>
      </c>
      <c r="C192" s="15" t="s">
        <v>326</v>
      </c>
      <c r="D192" s="15" t="s">
        <v>328</v>
      </c>
      <c r="E192" s="16" t="s">
        <v>40</v>
      </c>
      <c r="F192" s="15" t="s">
        <v>95</v>
      </c>
      <c r="G192" s="17" t="s">
        <v>85</v>
      </c>
      <c r="H192" s="16" t="s">
        <v>86</v>
      </c>
      <c r="I192" s="15"/>
      <c r="J192" s="15"/>
      <c r="K192" s="18"/>
      <c r="L192" s="15"/>
    </row>
    <row r="193" customFormat="false" ht="15" hidden="false" customHeight="false" outlineLevel="0" collapsed="false">
      <c r="A193" s="15" t="n">
        <v>192</v>
      </c>
      <c r="B193" s="15" t="s">
        <v>55</v>
      </c>
      <c r="C193" s="15" t="s">
        <v>326</v>
      </c>
      <c r="D193" s="15" t="s">
        <v>329</v>
      </c>
      <c r="E193" s="16" t="s">
        <v>40</v>
      </c>
      <c r="F193" s="15" t="s">
        <v>95</v>
      </c>
      <c r="G193" s="17" t="s">
        <v>85</v>
      </c>
      <c r="H193" s="16" t="s">
        <v>86</v>
      </c>
      <c r="I193" s="15"/>
      <c r="J193" s="15"/>
      <c r="K193" s="18"/>
      <c r="L193" s="15"/>
    </row>
    <row r="194" customFormat="false" ht="15" hidden="false" customHeight="false" outlineLevel="0" collapsed="false">
      <c r="A194" s="15" t="n">
        <v>193</v>
      </c>
      <c r="B194" s="15" t="s">
        <v>55</v>
      </c>
      <c r="C194" s="15" t="s">
        <v>326</v>
      </c>
      <c r="D194" s="15" t="s">
        <v>330</v>
      </c>
      <c r="E194" s="16" t="s">
        <v>41</v>
      </c>
      <c r="F194" s="15" t="s">
        <v>95</v>
      </c>
      <c r="G194" s="17" t="s">
        <v>85</v>
      </c>
      <c r="H194" s="16" t="s">
        <v>86</v>
      </c>
      <c r="I194" s="15"/>
      <c r="J194" s="15"/>
      <c r="K194" s="18"/>
      <c r="L194" s="15"/>
    </row>
    <row r="195" customFormat="false" ht="15" hidden="false" customHeight="false" outlineLevel="0" collapsed="false">
      <c r="A195" s="15" t="n">
        <v>194</v>
      </c>
      <c r="B195" s="15" t="s">
        <v>55</v>
      </c>
      <c r="C195" s="15" t="s">
        <v>326</v>
      </c>
      <c r="D195" s="15" t="s">
        <v>331</v>
      </c>
      <c r="E195" s="16" t="s">
        <v>40</v>
      </c>
      <c r="F195" s="15" t="s">
        <v>95</v>
      </c>
      <c r="G195" s="17" t="s">
        <v>85</v>
      </c>
      <c r="H195" s="16" t="s">
        <v>86</v>
      </c>
      <c r="I195" s="15"/>
      <c r="J195" s="15"/>
      <c r="K195" s="18"/>
      <c r="L195" s="15"/>
    </row>
    <row r="196" customFormat="false" ht="15" hidden="false" customHeight="false" outlineLevel="0" collapsed="false">
      <c r="A196" s="15" t="n">
        <v>195</v>
      </c>
      <c r="B196" s="15" t="s">
        <v>55</v>
      </c>
      <c r="C196" s="15" t="s">
        <v>332</v>
      </c>
      <c r="D196" s="15" t="s">
        <v>333</v>
      </c>
      <c r="E196" s="16" t="s">
        <v>39</v>
      </c>
      <c r="F196" s="15" t="s">
        <v>95</v>
      </c>
      <c r="G196" s="17" t="s">
        <v>85</v>
      </c>
      <c r="H196" s="16" t="s">
        <v>86</v>
      </c>
      <c r="I196" s="15"/>
      <c r="J196" s="15"/>
      <c r="K196" s="18"/>
      <c r="L196" s="15"/>
    </row>
    <row r="197" customFormat="false" ht="15" hidden="false" customHeight="false" outlineLevel="0" collapsed="false">
      <c r="A197" s="15" t="n">
        <v>196</v>
      </c>
      <c r="B197" s="15" t="s">
        <v>55</v>
      </c>
      <c r="C197" s="15" t="s">
        <v>332</v>
      </c>
      <c r="D197" s="15" t="s">
        <v>334</v>
      </c>
      <c r="E197" s="16" t="s">
        <v>39</v>
      </c>
      <c r="F197" s="15" t="s">
        <v>95</v>
      </c>
      <c r="G197" s="17" t="s">
        <v>85</v>
      </c>
      <c r="H197" s="16" t="s">
        <v>86</v>
      </c>
      <c r="I197" s="15"/>
      <c r="J197" s="15"/>
      <c r="K197" s="18"/>
      <c r="L197" s="15"/>
    </row>
    <row r="198" customFormat="false" ht="15" hidden="false" customHeight="false" outlineLevel="0" collapsed="false">
      <c r="A198" s="15" t="n">
        <v>197</v>
      </c>
      <c r="B198" s="15" t="s">
        <v>55</v>
      </c>
      <c r="C198" s="15" t="s">
        <v>332</v>
      </c>
      <c r="D198" s="15" t="s">
        <v>335</v>
      </c>
      <c r="E198" s="16" t="s">
        <v>40</v>
      </c>
      <c r="F198" s="15" t="s">
        <v>95</v>
      </c>
      <c r="G198" s="17" t="s">
        <v>85</v>
      </c>
      <c r="H198" s="16" t="s">
        <v>86</v>
      </c>
      <c r="I198" s="15"/>
      <c r="J198" s="15"/>
      <c r="K198" s="18"/>
      <c r="L198" s="15"/>
    </row>
    <row r="199" customFormat="false" ht="15" hidden="false" customHeight="false" outlineLevel="0" collapsed="false">
      <c r="A199" s="15" t="n">
        <v>198</v>
      </c>
      <c r="B199" s="15" t="s">
        <v>55</v>
      </c>
      <c r="C199" s="15" t="s">
        <v>332</v>
      </c>
      <c r="D199" s="15" t="s">
        <v>336</v>
      </c>
      <c r="E199" s="16" t="s">
        <v>39</v>
      </c>
      <c r="F199" s="15" t="s">
        <v>95</v>
      </c>
      <c r="G199" s="17" t="s">
        <v>85</v>
      </c>
      <c r="H199" s="16" t="s">
        <v>86</v>
      </c>
      <c r="I199" s="15"/>
      <c r="J199" s="15"/>
      <c r="K199" s="18"/>
      <c r="L199" s="15"/>
    </row>
    <row r="200" customFormat="false" ht="15" hidden="false" customHeight="false" outlineLevel="0" collapsed="false">
      <c r="A200" s="15" t="n">
        <v>199</v>
      </c>
      <c r="B200" s="15" t="s">
        <v>55</v>
      </c>
      <c r="C200" s="15" t="s">
        <v>332</v>
      </c>
      <c r="D200" s="15" t="s">
        <v>337</v>
      </c>
      <c r="E200" s="16" t="s">
        <v>40</v>
      </c>
      <c r="F200" s="15" t="s">
        <v>95</v>
      </c>
      <c r="G200" s="17" t="s">
        <v>85</v>
      </c>
      <c r="H200" s="16" t="s">
        <v>86</v>
      </c>
      <c r="I200" s="15"/>
      <c r="J200" s="15"/>
      <c r="K200" s="18"/>
      <c r="L200" s="15"/>
    </row>
    <row r="201" customFormat="false" ht="15" hidden="false" customHeight="false" outlineLevel="0" collapsed="false">
      <c r="A201" s="15" t="n">
        <v>200</v>
      </c>
      <c r="B201" s="15" t="s">
        <v>55</v>
      </c>
      <c r="C201" s="15" t="s">
        <v>332</v>
      </c>
      <c r="D201" s="15" t="s">
        <v>338</v>
      </c>
      <c r="E201" s="16" t="s">
        <v>40</v>
      </c>
      <c r="F201" s="15" t="s">
        <v>95</v>
      </c>
      <c r="G201" s="17" t="s">
        <v>85</v>
      </c>
      <c r="H201" s="16" t="s">
        <v>86</v>
      </c>
      <c r="I201" s="15"/>
      <c r="J201" s="15"/>
      <c r="K201" s="18"/>
      <c r="L201" s="15"/>
    </row>
    <row r="202" customFormat="false" ht="15" hidden="false" customHeight="false" outlineLevel="0" collapsed="false">
      <c r="A202" s="15" t="n">
        <v>201</v>
      </c>
      <c r="B202" s="15" t="s">
        <v>55</v>
      </c>
      <c r="C202" s="15" t="s">
        <v>339</v>
      </c>
      <c r="D202" s="15" t="s">
        <v>340</v>
      </c>
      <c r="E202" s="16" t="s">
        <v>39</v>
      </c>
      <c r="F202" s="15" t="s">
        <v>95</v>
      </c>
      <c r="G202" s="17" t="s">
        <v>85</v>
      </c>
      <c r="H202" s="16" t="s">
        <v>86</v>
      </c>
      <c r="I202" s="15"/>
      <c r="J202" s="15"/>
      <c r="K202" s="18"/>
      <c r="L202" s="15"/>
    </row>
    <row r="203" customFormat="false" ht="15" hidden="false" customHeight="false" outlineLevel="0" collapsed="false">
      <c r="A203" s="15" t="n">
        <v>202</v>
      </c>
      <c r="B203" s="15" t="s">
        <v>55</v>
      </c>
      <c r="C203" s="15" t="s">
        <v>339</v>
      </c>
      <c r="D203" s="15" t="s">
        <v>341</v>
      </c>
      <c r="E203" s="16" t="s">
        <v>40</v>
      </c>
      <c r="F203" s="15" t="s">
        <v>95</v>
      </c>
      <c r="G203" s="17" t="s">
        <v>85</v>
      </c>
      <c r="H203" s="16" t="s">
        <v>86</v>
      </c>
      <c r="I203" s="15"/>
      <c r="J203" s="15"/>
      <c r="K203" s="18"/>
      <c r="L203" s="15"/>
    </row>
    <row r="204" customFormat="false" ht="15" hidden="false" customHeight="false" outlineLevel="0" collapsed="false">
      <c r="A204" s="15" t="n">
        <v>203</v>
      </c>
      <c r="B204" s="15" t="s">
        <v>55</v>
      </c>
      <c r="C204" s="15" t="s">
        <v>339</v>
      </c>
      <c r="D204" s="15" t="s">
        <v>342</v>
      </c>
      <c r="E204" s="16" t="s">
        <v>39</v>
      </c>
      <c r="F204" s="15" t="s">
        <v>95</v>
      </c>
      <c r="G204" s="17" t="s">
        <v>85</v>
      </c>
      <c r="H204" s="16" t="s">
        <v>86</v>
      </c>
      <c r="I204" s="15"/>
      <c r="J204" s="15"/>
      <c r="K204" s="18"/>
      <c r="L204" s="15"/>
    </row>
    <row r="205" customFormat="false" ht="15" hidden="false" customHeight="false" outlineLevel="0" collapsed="false">
      <c r="A205" s="15" t="n">
        <v>204</v>
      </c>
      <c r="B205" s="15" t="s">
        <v>55</v>
      </c>
      <c r="C205" s="15" t="s">
        <v>339</v>
      </c>
      <c r="D205" s="15" t="s">
        <v>343</v>
      </c>
      <c r="E205" s="16" t="s">
        <v>40</v>
      </c>
      <c r="F205" s="15" t="s">
        <v>95</v>
      </c>
      <c r="G205" s="17" t="s">
        <v>85</v>
      </c>
      <c r="H205" s="16" t="s">
        <v>86</v>
      </c>
      <c r="I205" s="15"/>
      <c r="J205" s="15"/>
      <c r="K205" s="18"/>
      <c r="L205" s="15"/>
    </row>
    <row r="206" customFormat="false" ht="15" hidden="false" customHeight="false" outlineLevel="0" collapsed="false">
      <c r="A206" s="15" t="n">
        <v>205</v>
      </c>
      <c r="B206" s="15" t="s">
        <v>55</v>
      </c>
      <c r="C206" s="15" t="s">
        <v>339</v>
      </c>
      <c r="D206" s="15" t="s">
        <v>344</v>
      </c>
      <c r="E206" s="16" t="s">
        <v>40</v>
      </c>
      <c r="F206" s="15" t="s">
        <v>95</v>
      </c>
      <c r="G206" s="17" t="s">
        <v>85</v>
      </c>
      <c r="H206" s="16" t="s">
        <v>86</v>
      </c>
      <c r="I206" s="15"/>
      <c r="J206" s="15"/>
      <c r="K206" s="18"/>
      <c r="L206" s="15"/>
    </row>
    <row r="207" customFormat="false" ht="15" hidden="false" customHeight="false" outlineLevel="0" collapsed="false">
      <c r="A207" s="15" t="n">
        <v>206</v>
      </c>
      <c r="B207" s="15" t="s">
        <v>55</v>
      </c>
      <c r="C207" s="15" t="s">
        <v>345</v>
      </c>
      <c r="D207" s="15" t="s">
        <v>346</v>
      </c>
      <c r="E207" s="16" t="s">
        <v>39</v>
      </c>
      <c r="F207" s="15" t="s">
        <v>95</v>
      </c>
      <c r="G207" s="17" t="s">
        <v>85</v>
      </c>
      <c r="H207" s="16" t="s">
        <v>86</v>
      </c>
      <c r="I207" s="15"/>
      <c r="J207" s="15"/>
      <c r="K207" s="18"/>
      <c r="L207" s="15"/>
    </row>
    <row r="208" customFormat="false" ht="15" hidden="false" customHeight="false" outlineLevel="0" collapsed="false">
      <c r="A208" s="15" t="n">
        <v>207</v>
      </c>
      <c r="B208" s="15" t="s">
        <v>55</v>
      </c>
      <c r="C208" s="15" t="s">
        <v>345</v>
      </c>
      <c r="D208" s="15" t="s">
        <v>347</v>
      </c>
      <c r="E208" s="16" t="s">
        <v>41</v>
      </c>
      <c r="F208" s="15" t="s">
        <v>95</v>
      </c>
      <c r="G208" s="17" t="s">
        <v>85</v>
      </c>
      <c r="H208" s="16" t="s">
        <v>86</v>
      </c>
      <c r="I208" s="15"/>
      <c r="J208" s="15"/>
      <c r="K208" s="18"/>
      <c r="L208" s="15"/>
    </row>
    <row r="209" customFormat="false" ht="15" hidden="false" customHeight="false" outlineLevel="0" collapsed="false">
      <c r="A209" s="15" t="n">
        <v>208</v>
      </c>
      <c r="B209" s="15" t="s">
        <v>55</v>
      </c>
      <c r="C209" s="15" t="s">
        <v>345</v>
      </c>
      <c r="D209" s="15" t="s">
        <v>348</v>
      </c>
      <c r="E209" s="16" t="s">
        <v>40</v>
      </c>
      <c r="F209" s="15" t="s">
        <v>95</v>
      </c>
      <c r="G209" s="17" t="s">
        <v>85</v>
      </c>
      <c r="H209" s="16" t="s">
        <v>86</v>
      </c>
      <c r="I209" s="15"/>
      <c r="J209" s="15"/>
      <c r="K209" s="18"/>
      <c r="L209" s="15"/>
    </row>
    <row r="210" customFormat="false" ht="15" hidden="false" customHeight="false" outlineLevel="0" collapsed="false">
      <c r="A210" s="15" t="n">
        <v>209</v>
      </c>
      <c r="B210" s="15" t="s">
        <v>55</v>
      </c>
      <c r="C210" s="15" t="s">
        <v>349</v>
      </c>
      <c r="D210" s="15" t="s">
        <v>350</v>
      </c>
      <c r="E210" s="16" t="s">
        <v>40</v>
      </c>
      <c r="F210" s="15" t="s">
        <v>95</v>
      </c>
      <c r="G210" s="17" t="s">
        <v>85</v>
      </c>
      <c r="H210" s="16" t="s">
        <v>86</v>
      </c>
      <c r="I210" s="15"/>
      <c r="J210" s="15"/>
      <c r="K210" s="18"/>
      <c r="L210" s="15"/>
    </row>
    <row r="211" customFormat="false" ht="15" hidden="false" customHeight="false" outlineLevel="0" collapsed="false">
      <c r="A211" s="15" t="n">
        <v>210</v>
      </c>
      <c r="B211" s="15" t="s">
        <v>55</v>
      </c>
      <c r="C211" s="15" t="s">
        <v>349</v>
      </c>
      <c r="D211" s="15" t="s">
        <v>351</v>
      </c>
      <c r="E211" s="16" t="s">
        <v>40</v>
      </c>
      <c r="F211" s="15" t="s">
        <v>95</v>
      </c>
      <c r="G211" s="17" t="s">
        <v>85</v>
      </c>
      <c r="H211" s="16" t="s">
        <v>86</v>
      </c>
      <c r="I211" s="15"/>
      <c r="J211" s="15"/>
      <c r="K211" s="18"/>
      <c r="L211" s="15"/>
    </row>
    <row r="212" customFormat="false" ht="15" hidden="false" customHeight="false" outlineLevel="0" collapsed="false">
      <c r="A212" s="15" t="n">
        <v>211</v>
      </c>
      <c r="B212" s="15" t="s">
        <v>55</v>
      </c>
      <c r="C212" s="15" t="s">
        <v>127</v>
      </c>
      <c r="D212" s="15" t="s">
        <v>352</v>
      </c>
      <c r="E212" s="16" t="s">
        <v>40</v>
      </c>
      <c r="F212" s="15" t="s">
        <v>95</v>
      </c>
      <c r="G212" s="17" t="s">
        <v>85</v>
      </c>
      <c r="H212" s="16" t="s">
        <v>86</v>
      </c>
      <c r="I212" s="15"/>
      <c r="J212" s="15"/>
      <c r="K212" s="18"/>
      <c r="L212" s="15"/>
    </row>
    <row r="213" customFormat="false" ht="15" hidden="false" customHeight="false" outlineLevel="0" collapsed="false">
      <c r="A213" s="15" t="n">
        <v>212</v>
      </c>
      <c r="B213" s="15" t="s">
        <v>55</v>
      </c>
      <c r="C213" s="15" t="s">
        <v>127</v>
      </c>
      <c r="D213" s="15" t="s">
        <v>353</v>
      </c>
      <c r="E213" s="16" t="s">
        <v>40</v>
      </c>
      <c r="F213" s="15" t="s">
        <v>95</v>
      </c>
      <c r="G213" s="17" t="s">
        <v>85</v>
      </c>
      <c r="H213" s="16" t="s">
        <v>86</v>
      </c>
      <c r="I213" s="15"/>
      <c r="J213" s="15"/>
      <c r="K213" s="18"/>
      <c r="L213" s="15"/>
    </row>
    <row r="214" customFormat="false" ht="15" hidden="false" customHeight="false" outlineLevel="0" collapsed="false">
      <c r="A214" s="15" t="n">
        <v>213</v>
      </c>
      <c r="B214" s="15" t="s">
        <v>55</v>
      </c>
      <c r="C214" s="15" t="s">
        <v>127</v>
      </c>
      <c r="D214" s="15" t="s">
        <v>354</v>
      </c>
      <c r="E214" s="16" t="s">
        <v>40</v>
      </c>
      <c r="F214" s="15" t="s">
        <v>95</v>
      </c>
      <c r="G214" s="17" t="s">
        <v>85</v>
      </c>
      <c r="H214" s="16" t="s">
        <v>86</v>
      </c>
      <c r="I214" s="15"/>
      <c r="J214" s="15"/>
      <c r="K214" s="18"/>
      <c r="L214" s="15"/>
    </row>
    <row r="215" customFormat="false" ht="15" hidden="false" customHeight="false" outlineLevel="0" collapsed="false">
      <c r="A215" s="15" t="n">
        <v>214</v>
      </c>
      <c r="B215" s="15" t="s">
        <v>55</v>
      </c>
      <c r="C215" s="15" t="s">
        <v>127</v>
      </c>
      <c r="D215" s="15" t="s">
        <v>355</v>
      </c>
      <c r="E215" s="16" t="s">
        <v>40</v>
      </c>
      <c r="F215" s="15" t="s">
        <v>95</v>
      </c>
      <c r="G215" s="17" t="s">
        <v>85</v>
      </c>
      <c r="H215" s="16" t="s">
        <v>86</v>
      </c>
      <c r="I215" s="15"/>
      <c r="J215" s="15"/>
      <c r="K215" s="18"/>
      <c r="L215" s="15"/>
    </row>
    <row r="216" customFormat="false" ht="15" hidden="false" customHeight="false" outlineLevel="0" collapsed="false">
      <c r="A216" s="15" t="n">
        <v>215</v>
      </c>
      <c r="B216" s="15" t="s">
        <v>55</v>
      </c>
      <c r="C216" s="15" t="s">
        <v>356</v>
      </c>
      <c r="D216" s="15" t="s">
        <v>357</v>
      </c>
      <c r="E216" s="16" t="s">
        <v>39</v>
      </c>
      <c r="F216" s="15" t="s">
        <v>95</v>
      </c>
      <c r="G216" s="17" t="s">
        <v>85</v>
      </c>
      <c r="H216" s="16" t="s">
        <v>86</v>
      </c>
      <c r="I216" s="15"/>
      <c r="J216" s="15"/>
      <c r="K216" s="18"/>
      <c r="L216" s="15"/>
    </row>
    <row r="217" customFormat="false" ht="15" hidden="false" customHeight="false" outlineLevel="0" collapsed="false">
      <c r="A217" s="15" t="n">
        <v>216</v>
      </c>
      <c r="B217" s="15" t="s">
        <v>55</v>
      </c>
      <c r="C217" s="15" t="s">
        <v>356</v>
      </c>
      <c r="D217" s="15" t="s">
        <v>358</v>
      </c>
      <c r="E217" s="16" t="s">
        <v>40</v>
      </c>
      <c r="F217" s="15" t="s">
        <v>95</v>
      </c>
      <c r="G217" s="17" t="s">
        <v>85</v>
      </c>
      <c r="H217" s="16" t="s">
        <v>86</v>
      </c>
      <c r="I217" s="15"/>
      <c r="J217" s="15"/>
      <c r="K217" s="18"/>
      <c r="L217" s="15"/>
    </row>
    <row r="218" customFormat="false" ht="15" hidden="false" customHeight="false" outlineLevel="0" collapsed="false">
      <c r="A218" s="15" t="n">
        <v>217</v>
      </c>
      <c r="B218" s="15" t="s">
        <v>55</v>
      </c>
      <c r="C218" s="15" t="s">
        <v>356</v>
      </c>
      <c r="D218" s="15" t="s">
        <v>359</v>
      </c>
      <c r="E218" s="16" t="s">
        <v>40</v>
      </c>
      <c r="F218" s="15" t="s">
        <v>95</v>
      </c>
      <c r="G218" s="17" t="s">
        <v>85</v>
      </c>
      <c r="H218" s="16" t="s">
        <v>86</v>
      </c>
      <c r="I218" s="15"/>
      <c r="J218" s="15"/>
      <c r="K218" s="18"/>
      <c r="L218" s="15"/>
    </row>
    <row r="219" customFormat="false" ht="15" hidden="false" customHeight="false" outlineLevel="0" collapsed="false">
      <c r="A219" s="15" t="n">
        <v>218</v>
      </c>
      <c r="B219" s="15" t="s">
        <v>55</v>
      </c>
      <c r="C219" s="15" t="s">
        <v>356</v>
      </c>
      <c r="D219" s="15" t="s">
        <v>360</v>
      </c>
      <c r="E219" s="16" t="s">
        <v>40</v>
      </c>
      <c r="F219" s="15" t="s">
        <v>84</v>
      </c>
      <c r="G219" s="17" t="s">
        <v>85</v>
      </c>
      <c r="H219" s="16" t="s">
        <v>86</v>
      </c>
      <c r="I219" s="15"/>
      <c r="J219" s="15"/>
      <c r="K219" s="18"/>
      <c r="L219" s="15"/>
    </row>
    <row r="220" customFormat="false" ht="15" hidden="false" customHeight="false" outlineLevel="0" collapsed="false">
      <c r="A220" s="15" t="n">
        <v>219</v>
      </c>
      <c r="B220" s="15" t="s">
        <v>55</v>
      </c>
      <c r="C220" s="15" t="s">
        <v>361</v>
      </c>
      <c r="D220" s="15" t="s">
        <v>362</v>
      </c>
      <c r="E220" s="16" t="s">
        <v>40</v>
      </c>
      <c r="F220" s="15" t="s">
        <v>95</v>
      </c>
      <c r="G220" s="17" t="s">
        <v>85</v>
      </c>
      <c r="H220" s="16" t="s">
        <v>86</v>
      </c>
      <c r="I220" s="15"/>
      <c r="J220" s="15"/>
      <c r="K220" s="18"/>
      <c r="L220" s="15"/>
    </row>
    <row r="221" customFormat="false" ht="15" hidden="false" customHeight="false" outlineLevel="0" collapsed="false">
      <c r="A221" s="15" t="n">
        <v>220</v>
      </c>
      <c r="B221" s="15" t="s">
        <v>56</v>
      </c>
      <c r="C221" s="15" t="s">
        <v>363</v>
      </c>
      <c r="D221" s="15" t="s">
        <v>364</v>
      </c>
      <c r="E221" s="16" t="s">
        <v>39</v>
      </c>
      <c r="F221" s="15" t="s">
        <v>95</v>
      </c>
      <c r="G221" s="17" t="s">
        <v>85</v>
      </c>
      <c r="H221" s="16" t="s">
        <v>86</v>
      </c>
      <c r="I221" s="15"/>
      <c r="J221" s="15"/>
      <c r="K221" s="18"/>
      <c r="L221" s="15"/>
    </row>
    <row r="222" customFormat="false" ht="15" hidden="false" customHeight="false" outlineLevel="0" collapsed="false">
      <c r="A222" s="15" t="n">
        <v>221</v>
      </c>
      <c r="B222" s="15" t="s">
        <v>56</v>
      </c>
      <c r="C222" s="15" t="s">
        <v>363</v>
      </c>
      <c r="D222" s="15" t="s">
        <v>365</v>
      </c>
      <c r="E222" s="16" t="s">
        <v>41</v>
      </c>
      <c r="F222" s="15" t="s">
        <v>95</v>
      </c>
      <c r="G222" s="17" t="s">
        <v>85</v>
      </c>
      <c r="H222" s="16" t="s">
        <v>86</v>
      </c>
      <c r="I222" s="15"/>
      <c r="J222" s="15"/>
      <c r="K222" s="18"/>
      <c r="L222" s="15"/>
    </row>
    <row r="223" customFormat="false" ht="15" hidden="false" customHeight="false" outlineLevel="0" collapsed="false">
      <c r="A223" s="15" t="n">
        <v>222</v>
      </c>
      <c r="B223" s="15" t="s">
        <v>56</v>
      </c>
      <c r="C223" s="15" t="s">
        <v>363</v>
      </c>
      <c r="D223" s="15" t="s">
        <v>366</v>
      </c>
      <c r="E223" s="16" t="s">
        <v>40</v>
      </c>
      <c r="F223" s="15" t="s">
        <v>95</v>
      </c>
      <c r="G223" s="17" t="s">
        <v>85</v>
      </c>
      <c r="H223" s="16" t="s">
        <v>86</v>
      </c>
      <c r="I223" s="15"/>
      <c r="J223" s="15"/>
      <c r="K223" s="18"/>
      <c r="L223" s="15"/>
    </row>
    <row r="224" customFormat="false" ht="15" hidden="false" customHeight="false" outlineLevel="0" collapsed="false">
      <c r="A224" s="15" t="n">
        <v>223</v>
      </c>
      <c r="B224" s="15" t="s">
        <v>56</v>
      </c>
      <c r="C224" s="15" t="s">
        <v>361</v>
      </c>
      <c r="D224" s="15" t="s">
        <v>367</v>
      </c>
      <c r="E224" s="16" t="s">
        <v>40</v>
      </c>
      <c r="F224" s="15" t="s">
        <v>95</v>
      </c>
      <c r="G224" s="17" t="s">
        <v>85</v>
      </c>
      <c r="H224" s="16" t="s">
        <v>86</v>
      </c>
      <c r="I224" s="15"/>
      <c r="J224" s="15"/>
      <c r="K224" s="18"/>
      <c r="L224" s="15"/>
    </row>
    <row r="225" customFormat="false" ht="15" hidden="false" customHeight="false" outlineLevel="0" collapsed="false">
      <c r="A225" s="15" t="n">
        <v>224</v>
      </c>
      <c r="B225" s="15" t="s">
        <v>56</v>
      </c>
      <c r="C225" s="15" t="s">
        <v>361</v>
      </c>
      <c r="D225" s="15" t="s">
        <v>368</v>
      </c>
      <c r="E225" s="16" t="s">
        <v>39</v>
      </c>
      <c r="F225" s="15" t="s">
        <v>95</v>
      </c>
      <c r="G225" s="17" t="s">
        <v>85</v>
      </c>
      <c r="H225" s="16" t="s">
        <v>86</v>
      </c>
      <c r="I225" s="15"/>
      <c r="J225" s="15"/>
      <c r="K225" s="18"/>
      <c r="L225" s="15"/>
    </row>
    <row r="226" customFormat="false" ht="15" hidden="false" customHeight="false" outlineLevel="0" collapsed="false">
      <c r="A226" s="15" t="n">
        <v>225</v>
      </c>
      <c r="B226" s="15" t="s">
        <v>56</v>
      </c>
      <c r="C226" s="15" t="s">
        <v>361</v>
      </c>
      <c r="D226" s="15" t="s">
        <v>369</v>
      </c>
      <c r="E226" s="16" t="s">
        <v>39</v>
      </c>
      <c r="F226" s="15" t="s">
        <v>95</v>
      </c>
      <c r="G226" s="17" t="s">
        <v>85</v>
      </c>
      <c r="H226" s="16" t="s">
        <v>86</v>
      </c>
      <c r="I226" s="15"/>
      <c r="J226" s="15"/>
      <c r="K226" s="18"/>
      <c r="L226" s="15"/>
    </row>
    <row r="227" customFormat="false" ht="15" hidden="false" customHeight="false" outlineLevel="0" collapsed="false">
      <c r="A227" s="15" t="n">
        <v>226</v>
      </c>
      <c r="B227" s="15" t="s">
        <v>56</v>
      </c>
      <c r="C227" s="15" t="s">
        <v>361</v>
      </c>
      <c r="D227" s="15" t="s">
        <v>370</v>
      </c>
      <c r="E227" s="16" t="s">
        <v>40</v>
      </c>
      <c r="F227" s="15" t="s">
        <v>95</v>
      </c>
      <c r="G227" s="17" t="s">
        <v>85</v>
      </c>
      <c r="H227" s="16" t="s">
        <v>86</v>
      </c>
      <c r="I227" s="15"/>
      <c r="J227" s="15"/>
      <c r="K227" s="18"/>
      <c r="L227" s="15"/>
    </row>
    <row r="228" customFormat="false" ht="15" hidden="false" customHeight="false" outlineLevel="0" collapsed="false">
      <c r="A228" s="15" t="n">
        <v>227</v>
      </c>
      <c r="B228" s="15" t="s">
        <v>56</v>
      </c>
      <c r="C228" s="15" t="s">
        <v>361</v>
      </c>
      <c r="D228" s="15" t="s">
        <v>371</v>
      </c>
      <c r="E228" s="16" t="s">
        <v>41</v>
      </c>
      <c r="F228" s="15" t="s">
        <v>95</v>
      </c>
      <c r="G228" s="17" t="s">
        <v>85</v>
      </c>
      <c r="H228" s="16" t="s">
        <v>86</v>
      </c>
      <c r="I228" s="15"/>
      <c r="J228" s="15"/>
      <c r="K228" s="18"/>
      <c r="L228" s="15"/>
    </row>
    <row r="229" customFormat="false" ht="15" hidden="false" customHeight="false" outlineLevel="0" collapsed="false">
      <c r="A229" s="15" t="n">
        <v>228</v>
      </c>
      <c r="B229" s="15" t="s">
        <v>56</v>
      </c>
      <c r="C229" s="15" t="s">
        <v>372</v>
      </c>
      <c r="D229" s="15" t="s">
        <v>373</v>
      </c>
      <c r="E229" s="16" t="s">
        <v>40</v>
      </c>
      <c r="F229" s="15" t="s">
        <v>95</v>
      </c>
      <c r="G229" s="17" t="s">
        <v>85</v>
      </c>
      <c r="H229" s="16" t="s">
        <v>86</v>
      </c>
      <c r="I229" s="15"/>
      <c r="J229" s="15"/>
      <c r="K229" s="18"/>
      <c r="L229" s="15"/>
    </row>
    <row r="230" customFormat="false" ht="15" hidden="false" customHeight="false" outlineLevel="0" collapsed="false">
      <c r="A230" s="15" t="n">
        <v>229</v>
      </c>
      <c r="B230" s="15" t="s">
        <v>56</v>
      </c>
      <c r="C230" s="15" t="s">
        <v>372</v>
      </c>
      <c r="D230" s="15" t="s">
        <v>374</v>
      </c>
      <c r="E230" s="16" t="s">
        <v>41</v>
      </c>
      <c r="F230" s="15" t="s">
        <v>95</v>
      </c>
      <c r="G230" s="17" t="s">
        <v>85</v>
      </c>
      <c r="H230" s="16" t="s">
        <v>86</v>
      </c>
      <c r="I230" s="15"/>
      <c r="J230" s="15"/>
      <c r="K230" s="18"/>
      <c r="L230" s="15"/>
    </row>
    <row r="231" customFormat="false" ht="15" hidden="false" customHeight="false" outlineLevel="0" collapsed="false">
      <c r="A231" s="15" t="n">
        <v>230</v>
      </c>
      <c r="B231" s="15" t="s">
        <v>56</v>
      </c>
      <c r="C231" s="15" t="s">
        <v>372</v>
      </c>
      <c r="D231" s="15" t="s">
        <v>375</v>
      </c>
      <c r="E231" s="16" t="s">
        <v>40</v>
      </c>
      <c r="F231" s="15" t="s">
        <v>95</v>
      </c>
      <c r="G231" s="17" t="s">
        <v>85</v>
      </c>
      <c r="H231" s="16" t="s">
        <v>86</v>
      </c>
      <c r="I231" s="15"/>
      <c r="J231" s="15"/>
      <c r="K231" s="18"/>
      <c r="L231" s="15"/>
    </row>
    <row r="232" customFormat="false" ht="15" hidden="false" customHeight="false" outlineLevel="0" collapsed="false">
      <c r="A232" s="15" t="n">
        <v>231</v>
      </c>
      <c r="B232" s="15" t="s">
        <v>56</v>
      </c>
      <c r="C232" s="15" t="s">
        <v>372</v>
      </c>
      <c r="D232" s="15" t="s">
        <v>376</v>
      </c>
      <c r="E232" s="16" t="s">
        <v>40</v>
      </c>
      <c r="F232" s="15" t="s">
        <v>84</v>
      </c>
      <c r="G232" s="17" t="s">
        <v>85</v>
      </c>
      <c r="H232" s="16" t="s">
        <v>86</v>
      </c>
      <c r="I232" s="15"/>
      <c r="J232" s="15"/>
      <c r="K232" s="18"/>
      <c r="L232" s="15"/>
    </row>
    <row r="233" customFormat="false" ht="15" hidden="false" customHeight="false" outlineLevel="0" collapsed="false">
      <c r="A233" s="15" t="n">
        <v>232</v>
      </c>
      <c r="B233" s="15" t="s">
        <v>56</v>
      </c>
      <c r="C233" s="15" t="s">
        <v>284</v>
      </c>
      <c r="D233" s="15" t="s">
        <v>377</v>
      </c>
      <c r="E233" s="16" t="s">
        <v>40</v>
      </c>
      <c r="F233" s="15" t="s">
        <v>95</v>
      </c>
      <c r="G233" s="17" t="s">
        <v>85</v>
      </c>
      <c r="H233" s="16" t="s">
        <v>86</v>
      </c>
      <c r="I233" s="15"/>
      <c r="J233" s="15"/>
      <c r="K233" s="18"/>
      <c r="L233" s="15"/>
    </row>
    <row r="234" customFormat="false" ht="15" hidden="false" customHeight="false" outlineLevel="0" collapsed="false">
      <c r="A234" s="15" t="n">
        <v>233</v>
      </c>
      <c r="B234" s="15" t="s">
        <v>56</v>
      </c>
      <c r="C234" s="15" t="s">
        <v>284</v>
      </c>
      <c r="D234" s="15" t="s">
        <v>378</v>
      </c>
      <c r="E234" s="16" t="s">
        <v>39</v>
      </c>
      <c r="F234" s="15" t="s">
        <v>95</v>
      </c>
      <c r="G234" s="17" t="s">
        <v>85</v>
      </c>
      <c r="H234" s="16" t="s">
        <v>86</v>
      </c>
      <c r="I234" s="15"/>
      <c r="J234" s="15"/>
      <c r="K234" s="18"/>
      <c r="L234" s="15"/>
    </row>
    <row r="235" customFormat="false" ht="15" hidden="false" customHeight="false" outlineLevel="0" collapsed="false">
      <c r="A235" s="15" t="n">
        <v>234</v>
      </c>
      <c r="B235" s="15" t="s">
        <v>56</v>
      </c>
      <c r="C235" s="15" t="s">
        <v>284</v>
      </c>
      <c r="D235" s="15" t="s">
        <v>379</v>
      </c>
      <c r="E235" s="16" t="s">
        <v>40</v>
      </c>
      <c r="F235" s="15" t="s">
        <v>95</v>
      </c>
      <c r="G235" s="17" t="s">
        <v>85</v>
      </c>
      <c r="H235" s="16" t="s">
        <v>86</v>
      </c>
      <c r="I235" s="15"/>
      <c r="J235" s="15"/>
      <c r="K235" s="18"/>
      <c r="L235" s="15"/>
    </row>
    <row r="236" customFormat="false" ht="15" hidden="false" customHeight="false" outlineLevel="0" collapsed="false">
      <c r="A236" s="15" t="n">
        <v>235</v>
      </c>
      <c r="B236" s="15" t="s">
        <v>56</v>
      </c>
      <c r="C236" s="15" t="s">
        <v>284</v>
      </c>
      <c r="D236" s="15" t="s">
        <v>380</v>
      </c>
      <c r="E236" s="16" t="s">
        <v>40</v>
      </c>
      <c r="F236" s="15" t="s">
        <v>95</v>
      </c>
      <c r="G236" s="17" t="s">
        <v>85</v>
      </c>
      <c r="H236" s="16" t="s">
        <v>86</v>
      </c>
      <c r="I236" s="15"/>
      <c r="J236" s="15"/>
      <c r="K236" s="18"/>
      <c r="L236" s="15"/>
    </row>
    <row r="237" customFormat="false" ht="15" hidden="false" customHeight="false" outlineLevel="0" collapsed="false">
      <c r="A237" s="15" t="n">
        <v>236</v>
      </c>
      <c r="B237" s="15" t="s">
        <v>56</v>
      </c>
      <c r="C237" s="15" t="s">
        <v>284</v>
      </c>
      <c r="D237" s="15" t="s">
        <v>381</v>
      </c>
      <c r="E237" s="16" t="s">
        <v>40</v>
      </c>
      <c r="F237" s="15" t="s">
        <v>95</v>
      </c>
      <c r="G237" s="17" t="s">
        <v>85</v>
      </c>
      <c r="H237" s="16" t="s">
        <v>86</v>
      </c>
      <c r="I237" s="15"/>
      <c r="J237" s="15"/>
      <c r="K237" s="18"/>
      <c r="L237" s="15"/>
    </row>
    <row r="238" customFormat="false" ht="15" hidden="false" customHeight="false" outlineLevel="0" collapsed="false">
      <c r="A238" s="15" t="n">
        <v>237</v>
      </c>
      <c r="B238" s="15" t="s">
        <v>56</v>
      </c>
      <c r="C238" s="15" t="s">
        <v>284</v>
      </c>
      <c r="D238" s="15" t="s">
        <v>382</v>
      </c>
      <c r="E238" s="16" t="s">
        <v>40</v>
      </c>
      <c r="F238" s="15" t="s">
        <v>84</v>
      </c>
      <c r="G238" s="17" t="s">
        <v>85</v>
      </c>
      <c r="H238" s="16" t="s">
        <v>86</v>
      </c>
      <c r="I238" s="15"/>
      <c r="J238" s="15"/>
      <c r="K238" s="18"/>
      <c r="L238" s="15"/>
    </row>
    <row r="239" customFormat="false" ht="15" hidden="false" customHeight="false" outlineLevel="0" collapsed="false">
      <c r="A239" s="15" t="n">
        <v>238</v>
      </c>
      <c r="B239" s="15" t="s">
        <v>56</v>
      </c>
      <c r="C239" s="15" t="s">
        <v>383</v>
      </c>
      <c r="D239" s="15" t="s">
        <v>384</v>
      </c>
      <c r="E239" s="16" t="s">
        <v>39</v>
      </c>
      <c r="F239" s="15" t="s">
        <v>95</v>
      </c>
      <c r="G239" s="17" t="s">
        <v>85</v>
      </c>
      <c r="H239" s="16" t="s">
        <v>86</v>
      </c>
      <c r="I239" s="15"/>
      <c r="J239" s="15"/>
      <c r="K239" s="18"/>
      <c r="L239" s="15"/>
    </row>
    <row r="240" customFormat="false" ht="15" hidden="false" customHeight="false" outlineLevel="0" collapsed="false">
      <c r="A240" s="15" t="n">
        <v>239</v>
      </c>
      <c r="B240" s="15" t="s">
        <v>56</v>
      </c>
      <c r="C240" s="15" t="s">
        <v>383</v>
      </c>
      <c r="D240" s="15" t="s">
        <v>385</v>
      </c>
      <c r="E240" s="16" t="s">
        <v>40</v>
      </c>
      <c r="F240" s="15" t="s">
        <v>95</v>
      </c>
      <c r="G240" s="17" t="s">
        <v>85</v>
      </c>
      <c r="H240" s="16" t="s">
        <v>86</v>
      </c>
      <c r="I240" s="15"/>
      <c r="J240" s="15"/>
      <c r="K240" s="18"/>
      <c r="L240" s="15"/>
    </row>
    <row r="241" customFormat="false" ht="15" hidden="false" customHeight="false" outlineLevel="0" collapsed="false">
      <c r="A241" s="15" t="n">
        <v>240</v>
      </c>
      <c r="B241" s="15" t="s">
        <v>56</v>
      </c>
      <c r="C241" s="15" t="s">
        <v>383</v>
      </c>
      <c r="D241" s="15" t="s">
        <v>386</v>
      </c>
      <c r="E241" s="16" t="s">
        <v>40</v>
      </c>
      <c r="F241" s="15" t="s">
        <v>95</v>
      </c>
      <c r="G241" s="17" t="s">
        <v>85</v>
      </c>
      <c r="H241" s="16" t="s">
        <v>86</v>
      </c>
      <c r="I241" s="15"/>
      <c r="J241" s="15"/>
      <c r="K241" s="18"/>
      <c r="L241" s="15"/>
    </row>
    <row r="242" customFormat="false" ht="15" hidden="false" customHeight="false" outlineLevel="0" collapsed="false">
      <c r="A242" s="15" t="n">
        <v>241</v>
      </c>
      <c r="B242" s="15" t="s">
        <v>56</v>
      </c>
      <c r="C242" s="15" t="s">
        <v>383</v>
      </c>
      <c r="D242" s="15" t="s">
        <v>387</v>
      </c>
      <c r="E242" s="16" t="s">
        <v>40</v>
      </c>
      <c r="F242" s="15" t="s">
        <v>95</v>
      </c>
      <c r="G242" s="17" t="s">
        <v>85</v>
      </c>
      <c r="H242" s="16" t="s">
        <v>86</v>
      </c>
      <c r="I242" s="15"/>
      <c r="J242" s="15"/>
      <c r="K242" s="18"/>
      <c r="L242" s="15"/>
    </row>
    <row r="243" customFormat="false" ht="15" hidden="false" customHeight="false" outlineLevel="0" collapsed="false">
      <c r="A243" s="15" t="n">
        <v>242</v>
      </c>
      <c r="B243" s="15" t="s">
        <v>56</v>
      </c>
      <c r="C243" s="15" t="s">
        <v>383</v>
      </c>
      <c r="D243" s="15" t="s">
        <v>388</v>
      </c>
      <c r="E243" s="16" t="s">
        <v>41</v>
      </c>
      <c r="F243" s="15" t="s">
        <v>95</v>
      </c>
      <c r="G243" s="17" t="s">
        <v>85</v>
      </c>
      <c r="H243" s="16" t="s">
        <v>86</v>
      </c>
      <c r="I243" s="15"/>
      <c r="J243" s="15"/>
      <c r="K243" s="18"/>
      <c r="L243" s="15"/>
    </row>
    <row r="244" customFormat="false" ht="15" hidden="false" customHeight="false" outlineLevel="0" collapsed="false">
      <c r="A244" s="15" t="n">
        <v>243</v>
      </c>
      <c r="B244" s="15" t="s">
        <v>56</v>
      </c>
      <c r="C244" s="15" t="s">
        <v>383</v>
      </c>
      <c r="D244" s="15" t="s">
        <v>389</v>
      </c>
      <c r="E244" s="16" t="s">
        <v>40</v>
      </c>
      <c r="F244" s="15" t="s">
        <v>95</v>
      </c>
      <c r="G244" s="17" t="s">
        <v>85</v>
      </c>
      <c r="H244" s="16" t="s">
        <v>86</v>
      </c>
      <c r="I244" s="15"/>
      <c r="J244" s="15"/>
      <c r="K244" s="18"/>
      <c r="L244" s="15"/>
    </row>
    <row r="245" customFormat="false" ht="15" hidden="false" customHeight="false" outlineLevel="0" collapsed="false">
      <c r="A245" s="15" t="n">
        <v>244</v>
      </c>
      <c r="B245" s="15" t="s">
        <v>56</v>
      </c>
      <c r="C245" s="15" t="s">
        <v>383</v>
      </c>
      <c r="D245" s="15" t="s">
        <v>390</v>
      </c>
      <c r="E245" s="16" t="s">
        <v>40</v>
      </c>
      <c r="F245" s="15" t="s">
        <v>95</v>
      </c>
      <c r="G245" s="17" t="s">
        <v>85</v>
      </c>
      <c r="H245" s="16" t="s">
        <v>86</v>
      </c>
      <c r="I245" s="15"/>
      <c r="J245" s="15"/>
      <c r="K245" s="18"/>
      <c r="L245" s="15"/>
    </row>
    <row r="246" customFormat="false" ht="15" hidden="false" customHeight="false" outlineLevel="0" collapsed="false">
      <c r="A246" s="15" t="n">
        <v>245</v>
      </c>
      <c r="B246" s="15" t="s">
        <v>56</v>
      </c>
      <c r="C246" s="15" t="s">
        <v>383</v>
      </c>
      <c r="D246" s="15" t="s">
        <v>391</v>
      </c>
      <c r="E246" s="16" t="s">
        <v>40</v>
      </c>
      <c r="F246" s="15" t="s">
        <v>95</v>
      </c>
      <c r="G246" s="17" t="s">
        <v>85</v>
      </c>
      <c r="H246" s="16" t="s">
        <v>86</v>
      </c>
      <c r="I246" s="15"/>
      <c r="J246" s="15"/>
      <c r="K246" s="18"/>
      <c r="L246" s="15"/>
    </row>
    <row r="247" customFormat="false" ht="15" hidden="false" customHeight="false" outlineLevel="0" collapsed="false">
      <c r="A247" s="15" t="n">
        <v>246</v>
      </c>
      <c r="B247" s="15" t="s">
        <v>56</v>
      </c>
      <c r="C247" s="15" t="s">
        <v>383</v>
      </c>
      <c r="D247" s="15" t="s">
        <v>392</v>
      </c>
      <c r="E247" s="16" t="s">
        <v>40</v>
      </c>
      <c r="F247" s="15" t="s">
        <v>95</v>
      </c>
      <c r="G247" s="17" t="s">
        <v>85</v>
      </c>
      <c r="H247" s="16" t="s">
        <v>86</v>
      </c>
      <c r="I247" s="15"/>
      <c r="J247" s="15"/>
      <c r="K247" s="18"/>
      <c r="L247" s="15"/>
    </row>
    <row r="248" customFormat="false" ht="15" hidden="false" customHeight="false" outlineLevel="0" collapsed="false">
      <c r="A248" s="15" t="n">
        <v>247</v>
      </c>
      <c r="B248" s="15" t="s">
        <v>56</v>
      </c>
      <c r="C248" s="15" t="s">
        <v>383</v>
      </c>
      <c r="D248" s="15" t="s">
        <v>393</v>
      </c>
      <c r="E248" s="16" t="s">
        <v>41</v>
      </c>
      <c r="F248" s="15" t="s">
        <v>95</v>
      </c>
      <c r="G248" s="17" t="s">
        <v>85</v>
      </c>
      <c r="H248" s="16" t="s">
        <v>86</v>
      </c>
      <c r="I248" s="15"/>
      <c r="J248" s="15"/>
      <c r="K248" s="18"/>
      <c r="L248" s="15"/>
    </row>
    <row r="249" customFormat="false" ht="15" hidden="false" customHeight="false" outlineLevel="0" collapsed="false">
      <c r="A249" s="15" t="n">
        <v>248</v>
      </c>
      <c r="B249" s="15" t="s">
        <v>56</v>
      </c>
      <c r="C249" s="15" t="s">
        <v>383</v>
      </c>
      <c r="D249" s="15" t="s">
        <v>394</v>
      </c>
      <c r="E249" s="16" t="s">
        <v>41</v>
      </c>
      <c r="F249" s="15" t="s">
        <v>95</v>
      </c>
      <c r="G249" s="17" t="s">
        <v>85</v>
      </c>
      <c r="H249" s="16" t="s">
        <v>86</v>
      </c>
      <c r="I249" s="15"/>
      <c r="J249" s="15"/>
      <c r="K249" s="18"/>
      <c r="L249" s="15"/>
    </row>
    <row r="250" customFormat="false" ht="15" hidden="false" customHeight="false" outlineLevel="0" collapsed="false">
      <c r="A250" s="15" t="n">
        <v>249</v>
      </c>
      <c r="B250" s="15" t="s">
        <v>57</v>
      </c>
      <c r="C250" s="15" t="s">
        <v>395</v>
      </c>
      <c r="D250" s="15" t="s">
        <v>396</v>
      </c>
      <c r="E250" s="16" t="s">
        <v>40</v>
      </c>
      <c r="F250" s="15" t="s">
        <v>95</v>
      </c>
      <c r="G250" s="17" t="s">
        <v>85</v>
      </c>
      <c r="H250" s="16" t="s">
        <v>86</v>
      </c>
      <c r="I250" s="15"/>
      <c r="J250" s="15"/>
      <c r="K250" s="18"/>
      <c r="L250" s="15"/>
    </row>
    <row r="251" customFormat="false" ht="15" hidden="false" customHeight="false" outlineLevel="0" collapsed="false">
      <c r="A251" s="15" t="n">
        <v>250</v>
      </c>
      <c r="B251" s="15" t="s">
        <v>57</v>
      </c>
      <c r="C251" s="15" t="s">
        <v>395</v>
      </c>
      <c r="D251" s="15" t="s">
        <v>397</v>
      </c>
      <c r="E251" s="16" t="s">
        <v>40</v>
      </c>
      <c r="F251" s="15" t="s">
        <v>84</v>
      </c>
      <c r="G251" s="17" t="s">
        <v>85</v>
      </c>
      <c r="H251" s="16" t="s">
        <v>86</v>
      </c>
      <c r="I251" s="15"/>
      <c r="J251" s="15"/>
      <c r="K251" s="18"/>
      <c r="L251" s="15"/>
    </row>
    <row r="252" customFormat="false" ht="15" hidden="false" customHeight="false" outlineLevel="0" collapsed="false">
      <c r="A252" s="15" t="n">
        <v>251</v>
      </c>
      <c r="B252" s="15" t="s">
        <v>57</v>
      </c>
      <c r="C252" s="15" t="s">
        <v>395</v>
      </c>
      <c r="D252" s="15" t="s">
        <v>398</v>
      </c>
      <c r="E252" s="16" t="s">
        <v>39</v>
      </c>
      <c r="F252" s="15" t="s">
        <v>95</v>
      </c>
      <c r="G252" s="17" t="s">
        <v>85</v>
      </c>
      <c r="H252" s="16" t="s">
        <v>86</v>
      </c>
      <c r="I252" s="15"/>
      <c r="J252" s="15"/>
      <c r="K252" s="18"/>
      <c r="L252" s="15"/>
    </row>
    <row r="253" customFormat="false" ht="15" hidden="false" customHeight="false" outlineLevel="0" collapsed="false">
      <c r="A253" s="15" t="n">
        <v>252</v>
      </c>
      <c r="B253" s="15" t="s">
        <v>57</v>
      </c>
      <c r="C253" s="15" t="s">
        <v>395</v>
      </c>
      <c r="D253" s="15" t="s">
        <v>399</v>
      </c>
      <c r="E253" s="16" t="s">
        <v>40</v>
      </c>
      <c r="F253" s="15" t="s">
        <v>95</v>
      </c>
      <c r="G253" s="17" t="s">
        <v>85</v>
      </c>
      <c r="H253" s="16" t="s">
        <v>86</v>
      </c>
      <c r="I253" s="15"/>
      <c r="J253" s="15"/>
      <c r="K253" s="18"/>
      <c r="L253" s="15"/>
    </row>
    <row r="254" customFormat="false" ht="15" hidden="false" customHeight="false" outlineLevel="0" collapsed="false">
      <c r="A254" s="15" t="n">
        <v>253</v>
      </c>
      <c r="B254" s="15" t="s">
        <v>57</v>
      </c>
      <c r="C254" s="15" t="s">
        <v>400</v>
      </c>
      <c r="D254" s="15" t="s">
        <v>401</v>
      </c>
      <c r="E254" s="16" t="s">
        <v>40</v>
      </c>
      <c r="F254" s="15" t="s">
        <v>95</v>
      </c>
      <c r="G254" s="17" t="s">
        <v>85</v>
      </c>
      <c r="H254" s="16" t="s">
        <v>86</v>
      </c>
      <c r="I254" s="15"/>
      <c r="J254" s="15"/>
      <c r="K254" s="18"/>
      <c r="L254" s="15"/>
    </row>
    <row r="255" customFormat="false" ht="15" hidden="false" customHeight="false" outlineLevel="0" collapsed="false">
      <c r="A255" s="15" t="n">
        <v>254</v>
      </c>
      <c r="B255" s="15" t="s">
        <v>57</v>
      </c>
      <c r="C255" s="15" t="s">
        <v>400</v>
      </c>
      <c r="D255" s="15" t="s">
        <v>402</v>
      </c>
      <c r="E255" s="16" t="s">
        <v>40</v>
      </c>
      <c r="F255" s="15" t="s">
        <v>95</v>
      </c>
      <c r="G255" s="17" t="s">
        <v>85</v>
      </c>
      <c r="H255" s="16" t="s">
        <v>86</v>
      </c>
      <c r="I255" s="15"/>
      <c r="J255" s="15"/>
      <c r="K255" s="18"/>
      <c r="L255" s="15"/>
    </row>
    <row r="256" customFormat="false" ht="15" hidden="false" customHeight="false" outlineLevel="0" collapsed="false">
      <c r="A256" s="15" t="n">
        <v>255</v>
      </c>
      <c r="B256" s="15" t="s">
        <v>57</v>
      </c>
      <c r="C256" s="15" t="s">
        <v>400</v>
      </c>
      <c r="D256" s="15" t="s">
        <v>403</v>
      </c>
      <c r="E256" s="16" t="s">
        <v>40</v>
      </c>
      <c r="F256" s="15" t="s">
        <v>95</v>
      </c>
      <c r="G256" s="17" t="s">
        <v>85</v>
      </c>
      <c r="H256" s="16" t="s">
        <v>86</v>
      </c>
      <c r="I256" s="15"/>
      <c r="J256" s="15"/>
      <c r="K256" s="18"/>
      <c r="L256" s="15"/>
    </row>
    <row r="257" customFormat="false" ht="15" hidden="false" customHeight="false" outlineLevel="0" collapsed="false">
      <c r="A257" s="15" t="n">
        <v>256</v>
      </c>
      <c r="B257" s="15" t="s">
        <v>57</v>
      </c>
      <c r="C257" s="15" t="s">
        <v>400</v>
      </c>
      <c r="D257" s="15" t="s">
        <v>404</v>
      </c>
      <c r="E257" s="16" t="s">
        <v>39</v>
      </c>
      <c r="F257" s="15" t="s">
        <v>95</v>
      </c>
      <c r="G257" s="17" t="s">
        <v>85</v>
      </c>
      <c r="H257" s="16" t="s">
        <v>86</v>
      </c>
      <c r="I257" s="15"/>
      <c r="J257" s="15"/>
      <c r="K257" s="18"/>
      <c r="L257" s="15"/>
    </row>
    <row r="258" customFormat="false" ht="15" hidden="false" customHeight="false" outlineLevel="0" collapsed="false">
      <c r="A258" s="15" t="n">
        <v>257</v>
      </c>
      <c r="B258" s="15" t="s">
        <v>57</v>
      </c>
      <c r="C258" s="15" t="s">
        <v>400</v>
      </c>
      <c r="D258" s="15" t="s">
        <v>405</v>
      </c>
      <c r="E258" s="16" t="s">
        <v>40</v>
      </c>
      <c r="F258" s="15" t="s">
        <v>95</v>
      </c>
      <c r="G258" s="17" t="s">
        <v>85</v>
      </c>
      <c r="H258" s="16" t="s">
        <v>86</v>
      </c>
      <c r="I258" s="15"/>
      <c r="J258" s="15"/>
      <c r="K258" s="18"/>
      <c r="L258" s="15"/>
    </row>
    <row r="259" customFormat="false" ht="15" hidden="false" customHeight="false" outlineLevel="0" collapsed="false">
      <c r="A259" s="15" t="n">
        <v>258</v>
      </c>
      <c r="B259" s="15" t="s">
        <v>57</v>
      </c>
      <c r="C259" s="15" t="s">
        <v>406</v>
      </c>
      <c r="D259" s="15" t="s">
        <v>407</v>
      </c>
      <c r="E259" s="16" t="s">
        <v>40</v>
      </c>
      <c r="F259" s="15" t="s">
        <v>84</v>
      </c>
      <c r="G259" s="17" t="s">
        <v>85</v>
      </c>
      <c r="H259" s="16" t="s">
        <v>86</v>
      </c>
      <c r="I259" s="15"/>
      <c r="J259" s="15"/>
      <c r="K259" s="18"/>
      <c r="L259" s="15"/>
    </row>
    <row r="260" customFormat="false" ht="15" hidden="false" customHeight="false" outlineLevel="0" collapsed="false">
      <c r="A260" s="15" t="n">
        <v>259</v>
      </c>
      <c r="B260" s="15" t="s">
        <v>57</v>
      </c>
      <c r="C260" s="15" t="s">
        <v>406</v>
      </c>
      <c r="D260" s="15" t="s">
        <v>408</v>
      </c>
      <c r="E260" s="16" t="s">
        <v>41</v>
      </c>
      <c r="F260" s="15" t="s">
        <v>95</v>
      </c>
      <c r="G260" s="17" t="s">
        <v>85</v>
      </c>
      <c r="H260" s="16" t="s">
        <v>86</v>
      </c>
      <c r="I260" s="15"/>
      <c r="J260" s="15"/>
      <c r="K260" s="18"/>
      <c r="L260" s="15"/>
    </row>
    <row r="261" customFormat="false" ht="15" hidden="false" customHeight="false" outlineLevel="0" collapsed="false">
      <c r="A261" s="15" t="n">
        <v>260</v>
      </c>
      <c r="B261" s="15" t="s">
        <v>57</v>
      </c>
      <c r="C261" s="15" t="s">
        <v>409</v>
      </c>
      <c r="D261" s="15" t="s">
        <v>410</v>
      </c>
      <c r="E261" s="16" t="s">
        <v>39</v>
      </c>
      <c r="F261" s="15" t="s">
        <v>95</v>
      </c>
      <c r="G261" s="17" t="s">
        <v>85</v>
      </c>
      <c r="H261" s="16" t="s">
        <v>86</v>
      </c>
      <c r="I261" s="15"/>
      <c r="J261" s="15"/>
      <c r="K261" s="18"/>
      <c r="L261" s="15"/>
    </row>
    <row r="262" customFormat="false" ht="15" hidden="false" customHeight="false" outlineLevel="0" collapsed="false">
      <c r="A262" s="15" t="n">
        <v>261</v>
      </c>
      <c r="B262" s="15" t="s">
        <v>57</v>
      </c>
      <c r="C262" s="15" t="s">
        <v>409</v>
      </c>
      <c r="D262" s="15" t="s">
        <v>411</v>
      </c>
      <c r="E262" s="16" t="s">
        <v>39</v>
      </c>
      <c r="F262" s="15" t="s">
        <v>84</v>
      </c>
      <c r="G262" s="17" t="s">
        <v>85</v>
      </c>
      <c r="H262" s="16" t="s">
        <v>86</v>
      </c>
      <c r="I262" s="15"/>
      <c r="J262" s="15"/>
      <c r="K262" s="18"/>
      <c r="L262" s="15"/>
    </row>
    <row r="263" customFormat="false" ht="15" hidden="false" customHeight="false" outlineLevel="0" collapsed="false">
      <c r="A263" s="15" t="n">
        <v>262</v>
      </c>
      <c r="B263" s="15" t="s">
        <v>57</v>
      </c>
      <c r="C263" s="15" t="s">
        <v>409</v>
      </c>
      <c r="D263" s="15" t="s">
        <v>412</v>
      </c>
      <c r="E263" s="16" t="s">
        <v>40</v>
      </c>
      <c r="F263" s="15" t="s">
        <v>95</v>
      </c>
      <c r="G263" s="17" t="s">
        <v>85</v>
      </c>
      <c r="H263" s="16" t="s">
        <v>86</v>
      </c>
      <c r="I263" s="15"/>
      <c r="J263" s="15"/>
      <c r="K263" s="18"/>
      <c r="L263" s="15"/>
    </row>
    <row r="264" customFormat="false" ht="15" hidden="false" customHeight="false" outlineLevel="0" collapsed="false">
      <c r="A264" s="15" t="n">
        <v>263</v>
      </c>
      <c r="B264" s="15" t="s">
        <v>57</v>
      </c>
      <c r="C264" s="15" t="s">
        <v>409</v>
      </c>
      <c r="D264" s="15" t="s">
        <v>413</v>
      </c>
      <c r="E264" s="16" t="s">
        <v>40</v>
      </c>
      <c r="F264" s="15" t="s">
        <v>95</v>
      </c>
      <c r="G264" s="17" t="s">
        <v>85</v>
      </c>
      <c r="H264" s="16" t="s">
        <v>86</v>
      </c>
      <c r="I264" s="15"/>
      <c r="J264" s="15"/>
      <c r="K264" s="18"/>
      <c r="L264" s="15"/>
    </row>
    <row r="265" customFormat="false" ht="15" hidden="false" customHeight="false" outlineLevel="0" collapsed="false">
      <c r="A265" s="15" t="n">
        <v>264</v>
      </c>
      <c r="B265" s="15" t="s">
        <v>57</v>
      </c>
      <c r="C265" s="15" t="s">
        <v>409</v>
      </c>
      <c r="D265" s="15" t="s">
        <v>414</v>
      </c>
      <c r="E265" s="16" t="s">
        <v>40</v>
      </c>
      <c r="F265" s="15" t="s">
        <v>95</v>
      </c>
      <c r="G265" s="17" t="s">
        <v>85</v>
      </c>
      <c r="H265" s="16" t="s">
        <v>86</v>
      </c>
      <c r="I265" s="15"/>
      <c r="J265" s="15"/>
      <c r="K265" s="18"/>
      <c r="L265" s="15"/>
    </row>
    <row r="266" customFormat="false" ht="15" hidden="false" customHeight="false" outlineLevel="0" collapsed="false">
      <c r="A266" s="15" t="n">
        <v>265</v>
      </c>
      <c r="B266" s="15" t="s">
        <v>57</v>
      </c>
      <c r="C266" s="15" t="s">
        <v>409</v>
      </c>
      <c r="D266" s="15" t="s">
        <v>415</v>
      </c>
      <c r="E266" s="16" t="s">
        <v>41</v>
      </c>
      <c r="F266" s="15" t="s">
        <v>95</v>
      </c>
      <c r="G266" s="17" t="s">
        <v>85</v>
      </c>
      <c r="H266" s="16" t="s">
        <v>86</v>
      </c>
      <c r="I266" s="15"/>
      <c r="J266" s="15"/>
      <c r="K266" s="18"/>
      <c r="L266" s="15"/>
    </row>
    <row r="267" customFormat="false" ht="15" hidden="false" customHeight="false" outlineLevel="0" collapsed="false">
      <c r="A267" s="15" t="n">
        <v>266</v>
      </c>
      <c r="B267" s="15" t="s">
        <v>57</v>
      </c>
      <c r="C267" s="15" t="s">
        <v>409</v>
      </c>
      <c r="D267" s="15" t="s">
        <v>416</v>
      </c>
      <c r="E267" s="16" t="s">
        <v>41</v>
      </c>
      <c r="F267" s="15" t="s">
        <v>95</v>
      </c>
      <c r="G267" s="17" t="s">
        <v>85</v>
      </c>
      <c r="H267" s="16" t="s">
        <v>86</v>
      </c>
      <c r="I267" s="15"/>
      <c r="J267" s="15"/>
      <c r="K267" s="18"/>
      <c r="L267" s="15"/>
    </row>
    <row r="268" customFormat="false" ht="15" hidden="false" customHeight="false" outlineLevel="0" collapsed="false">
      <c r="A268" s="15" t="n">
        <v>267</v>
      </c>
      <c r="B268" s="15" t="s">
        <v>57</v>
      </c>
      <c r="C268" s="15" t="s">
        <v>409</v>
      </c>
      <c r="D268" s="15" t="s">
        <v>417</v>
      </c>
      <c r="E268" s="16" t="s">
        <v>41</v>
      </c>
      <c r="F268" s="15" t="s">
        <v>95</v>
      </c>
      <c r="G268" s="17" t="s">
        <v>85</v>
      </c>
      <c r="H268" s="16" t="s">
        <v>86</v>
      </c>
      <c r="I268" s="15"/>
      <c r="J268" s="15"/>
      <c r="K268" s="18"/>
      <c r="L268" s="15"/>
    </row>
    <row r="269" customFormat="false" ht="15" hidden="false" customHeight="false" outlineLevel="0" collapsed="false">
      <c r="A269" s="15" t="n">
        <v>268</v>
      </c>
      <c r="B269" s="15" t="s">
        <v>57</v>
      </c>
      <c r="C269" s="15" t="s">
        <v>409</v>
      </c>
      <c r="D269" s="15" t="s">
        <v>418</v>
      </c>
      <c r="E269" s="16" t="s">
        <v>40</v>
      </c>
      <c r="F269" s="15" t="s">
        <v>95</v>
      </c>
      <c r="G269" s="17" t="s">
        <v>85</v>
      </c>
      <c r="H269" s="16" t="s">
        <v>86</v>
      </c>
      <c r="I269" s="15"/>
      <c r="J269" s="15"/>
      <c r="K269" s="18"/>
      <c r="L269" s="15"/>
    </row>
    <row r="270" customFormat="false" ht="15" hidden="false" customHeight="false" outlineLevel="0" collapsed="false">
      <c r="A270" s="15" t="n">
        <v>269</v>
      </c>
      <c r="B270" s="15" t="s">
        <v>57</v>
      </c>
      <c r="C270" s="15" t="s">
        <v>409</v>
      </c>
      <c r="D270" s="15" t="s">
        <v>419</v>
      </c>
      <c r="E270" s="16" t="s">
        <v>40</v>
      </c>
      <c r="F270" s="15" t="s">
        <v>95</v>
      </c>
      <c r="G270" s="17" t="s">
        <v>85</v>
      </c>
      <c r="H270" s="16" t="s">
        <v>86</v>
      </c>
      <c r="I270" s="15"/>
      <c r="J270" s="15"/>
      <c r="K270" s="18"/>
      <c r="L270" s="15"/>
    </row>
    <row r="271" customFormat="false" ht="15" hidden="false" customHeight="false" outlineLevel="0" collapsed="false">
      <c r="A271" s="15" t="n">
        <v>270</v>
      </c>
      <c r="B271" s="15" t="s">
        <v>57</v>
      </c>
      <c r="C271" s="15" t="s">
        <v>420</v>
      </c>
      <c r="D271" s="15" t="s">
        <v>421</v>
      </c>
      <c r="E271" s="16" t="s">
        <v>41</v>
      </c>
      <c r="F271" s="15" t="s">
        <v>95</v>
      </c>
      <c r="G271" s="17" t="s">
        <v>85</v>
      </c>
      <c r="H271" s="16" t="s">
        <v>86</v>
      </c>
      <c r="I271" s="15"/>
      <c r="J271" s="15"/>
      <c r="K271" s="18"/>
      <c r="L271" s="15"/>
    </row>
    <row r="272" customFormat="false" ht="15" hidden="false" customHeight="false" outlineLevel="0" collapsed="false">
      <c r="A272" s="15" t="n">
        <v>271</v>
      </c>
      <c r="B272" s="15" t="s">
        <v>57</v>
      </c>
      <c r="C272" s="15" t="s">
        <v>420</v>
      </c>
      <c r="D272" s="15" t="s">
        <v>422</v>
      </c>
      <c r="E272" s="16" t="s">
        <v>41</v>
      </c>
      <c r="F272" s="15" t="s">
        <v>95</v>
      </c>
      <c r="G272" s="17" t="s">
        <v>85</v>
      </c>
      <c r="H272" s="16" t="s">
        <v>86</v>
      </c>
      <c r="I272" s="15"/>
      <c r="J272" s="15"/>
      <c r="K272" s="18"/>
      <c r="L272" s="15"/>
    </row>
    <row r="273" customFormat="false" ht="15" hidden="false" customHeight="false" outlineLevel="0" collapsed="false">
      <c r="A273" s="15" t="n">
        <v>272</v>
      </c>
      <c r="B273" s="15" t="s">
        <v>57</v>
      </c>
      <c r="C273" s="15" t="s">
        <v>361</v>
      </c>
      <c r="D273" s="15" t="s">
        <v>423</v>
      </c>
      <c r="E273" s="16" t="s">
        <v>40</v>
      </c>
      <c r="F273" s="15" t="s">
        <v>95</v>
      </c>
      <c r="G273" s="17" t="s">
        <v>85</v>
      </c>
      <c r="H273" s="16" t="s">
        <v>86</v>
      </c>
      <c r="I273" s="15"/>
      <c r="J273" s="15"/>
      <c r="K273" s="18"/>
      <c r="L273" s="15"/>
    </row>
    <row r="274" customFormat="false" ht="15" hidden="false" customHeight="false" outlineLevel="0" collapsed="false">
      <c r="A274" s="15" t="n">
        <v>273</v>
      </c>
      <c r="B274" s="15" t="s">
        <v>57</v>
      </c>
      <c r="C274" s="15" t="s">
        <v>361</v>
      </c>
      <c r="D274" s="15" t="s">
        <v>424</v>
      </c>
      <c r="E274" s="16" t="s">
        <v>40</v>
      </c>
      <c r="F274" s="15" t="s">
        <v>95</v>
      </c>
      <c r="G274" s="17" t="s">
        <v>85</v>
      </c>
      <c r="H274" s="16" t="s">
        <v>86</v>
      </c>
      <c r="I274" s="15"/>
      <c r="J274" s="15"/>
      <c r="K274" s="18"/>
      <c r="L274" s="15"/>
    </row>
    <row r="275" customFormat="false" ht="15" hidden="false" customHeight="false" outlineLevel="0" collapsed="false">
      <c r="A275" s="15" t="n">
        <v>274</v>
      </c>
      <c r="B275" s="15" t="s">
        <v>58</v>
      </c>
      <c r="C275" s="15" t="s">
        <v>425</v>
      </c>
      <c r="D275" s="15" t="s">
        <v>426</v>
      </c>
      <c r="E275" s="16" t="s">
        <v>39</v>
      </c>
      <c r="F275" s="15" t="s">
        <v>95</v>
      </c>
      <c r="G275" s="17" t="s">
        <v>85</v>
      </c>
      <c r="H275" s="16" t="s">
        <v>86</v>
      </c>
      <c r="I275" s="15"/>
      <c r="J275" s="15"/>
      <c r="K275" s="18"/>
      <c r="L275" s="15"/>
    </row>
    <row r="276" customFormat="false" ht="15" hidden="false" customHeight="false" outlineLevel="0" collapsed="false">
      <c r="A276" s="15" t="n">
        <v>275</v>
      </c>
      <c r="B276" s="15" t="s">
        <v>58</v>
      </c>
      <c r="C276" s="15" t="s">
        <v>284</v>
      </c>
      <c r="D276" s="15" t="s">
        <v>427</v>
      </c>
      <c r="E276" s="16" t="s">
        <v>39</v>
      </c>
      <c r="F276" s="15" t="s">
        <v>95</v>
      </c>
      <c r="G276" s="17" t="s">
        <v>85</v>
      </c>
      <c r="H276" s="16" t="s">
        <v>86</v>
      </c>
      <c r="I276" s="15"/>
      <c r="J276" s="15"/>
      <c r="K276" s="18"/>
      <c r="L276" s="15"/>
    </row>
    <row r="277" customFormat="false" ht="15" hidden="false" customHeight="false" outlineLevel="0" collapsed="false">
      <c r="A277" s="15" t="n">
        <v>276</v>
      </c>
      <c r="B277" s="15" t="s">
        <v>58</v>
      </c>
      <c r="C277" s="15" t="s">
        <v>428</v>
      </c>
      <c r="D277" s="15" t="s">
        <v>429</v>
      </c>
      <c r="E277" s="16" t="s">
        <v>40</v>
      </c>
      <c r="F277" s="15" t="s">
        <v>95</v>
      </c>
      <c r="G277" s="17" t="s">
        <v>85</v>
      </c>
      <c r="H277" s="16" t="s">
        <v>86</v>
      </c>
      <c r="I277" s="15"/>
      <c r="J277" s="15"/>
      <c r="K277" s="18"/>
      <c r="L277" s="15"/>
    </row>
    <row r="278" customFormat="false" ht="15" hidden="false" customHeight="false" outlineLevel="0" collapsed="false">
      <c r="A278" s="15" t="n">
        <v>277</v>
      </c>
      <c r="B278" s="15" t="s">
        <v>58</v>
      </c>
      <c r="C278" s="15" t="s">
        <v>428</v>
      </c>
      <c r="D278" s="15" t="s">
        <v>430</v>
      </c>
      <c r="E278" s="16" t="s">
        <v>40</v>
      </c>
      <c r="F278" s="15" t="s">
        <v>95</v>
      </c>
      <c r="G278" s="17" t="s">
        <v>85</v>
      </c>
      <c r="H278" s="16" t="s">
        <v>86</v>
      </c>
      <c r="I278" s="15"/>
      <c r="J278" s="15"/>
      <c r="K278" s="18"/>
      <c r="L278" s="15"/>
    </row>
    <row r="279" customFormat="false" ht="15" hidden="false" customHeight="false" outlineLevel="0" collapsed="false">
      <c r="A279" s="15" t="n">
        <v>278</v>
      </c>
      <c r="B279" s="15" t="s">
        <v>58</v>
      </c>
      <c r="C279" s="15" t="s">
        <v>431</v>
      </c>
      <c r="D279" s="15" t="s">
        <v>432</v>
      </c>
      <c r="E279" s="16" t="s">
        <v>40</v>
      </c>
      <c r="F279" s="15" t="s">
        <v>95</v>
      </c>
      <c r="G279" s="17" t="s">
        <v>85</v>
      </c>
      <c r="H279" s="16" t="s">
        <v>86</v>
      </c>
      <c r="I279" s="15"/>
      <c r="J279" s="15"/>
      <c r="K279" s="18"/>
      <c r="L279" s="15"/>
    </row>
    <row r="280" customFormat="false" ht="15" hidden="false" customHeight="false" outlineLevel="0" collapsed="false">
      <c r="A280" s="15" t="n">
        <v>279</v>
      </c>
      <c r="B280" s="15" t="s">
        <v>58</v>
      </c>
      <c r="C280" s="15" t="s">
        <v>433</v>
      </c>
      <c r="D280" s="15" t="s">
        <v>434</v>
      </c>
      <c r="E280" s="16" t="s">
        <v>41</v>
      </c>
      <c r="F280" s="15" t="s">
        <v>95</v>
      </c>
      <c r="G280" s="17" t="s">
        <v>85</v>
      </c>
      <c r="H280" s="16" t="s">
        <v>86</v>
      </c>
      <c r="I280" s="15"/>
      <c r="J280" s="15"/>
      <c r="K280" s="18"/>
      <c r="L280" s="15"/>
    </row>
    <row r="281" customFormat="false" ht="15" hidden="false" customHeight="false" outlineLevel="0" collapsed="false">
      <c r="A281" s="15" t="n">
        <v>280</v>
      </c>
      <c r="B281" s="15" t="s">
        <v>58</v>
      </c>
      <c r="C281" s="15" t="s">
        <v>433</v>
      </c>
      <c r="D281" s="15" t="s">
        <v>435</v>
      </c>
      <c r="E281" s="16" t="s">
        <v>40</v>
      </c>
      <c r="F281" s="15" t="s">
        <v>95</v>
      </c>
      <c r="G281" s="17" t="s">
        <v>85</v>
      </c>
      <c r="H281" s="16" t="s">
        <v>86</v>
      </c>
      <c r="I281" s="15"/>
      <c r="J281" s="15"/>
      <c r="K281" s="18"/>
      <c r="L281" s="15"/>
    </row>
    <row r="282" customFormat="false" ht="15" hidden="false" customHeight="false" outlineLevel="0" collapsed="false">
      <c r="A282" s="15" t="n">
        <v>281</v>
      </c>
      <c r="B282" s="15" t="s">
        <v>58</v>
      </c>
      <c r="C282" s="15" t="s">
        <v>436</v>
      </c>
      <c r="D282" s="15" t="s">
        <v>437</v>
      </c>
      <c r="E282" s="16" t="s">
        <v>40</v>
      </c>
      <c r="F282" s="15" t="s">
        <v>95</v>
      </c>
      <c r="G282" s="17" t="s">
        <v>85</v>
      </c>
      <c r="H282" s="16" t="s">
        <v>86</v>
      </c>
      <c r="I282" s="15"/>
      <c r="J282" s="15"/>
      <c r="K282" s="18"/>
      <c r="L282" s="15"/>
    </row>
    <row r="283" customFormat="false" ht="15" hidden="false" customHeight="false" outlineLevel="0" collapsed="false">
      <c r="A283" s="15" t="n">
        <v>282</v>
      </c>
      <c r="B283" s="15" t="s">
        <v>58</v>
      </c>
      <c r="C283" s="15" t="s">
        <v>438</v>
      </c>
      <c r="D283" s="15" t="s">
        <v>439</v>
      </c>
      <c r="E283" s="16" t="s">
        <v>40</v>
      </c>
      <c r="F283" s="15" t="s">
        <v>95</v>
      </c>
      <c r="G283" s="17" t="s">
        <v>85</v>
      </c>
      <c r="H283" s="16" t="s">
        <v>86</v>
      </c>
      <c r="I283" s="15"/>
      <c r="J283" s="15"/>
      <c r="K283" s="18"/>
      <c r="L283" s="15"/>
    </row>
    <row r="284" customFormat="false" ht="15" hidden="false" customHeight="false" outlineLevel="0" collapsed="false">
      <c r="A284" s="15" t="n">
        <v>283</v>
      </c>
      <c r="B284" s="15" t="s">
        <v>58</v>
      </c>
      <c r="C284" s="15" t="s">
        <v>438</v>
      </c>
      <c r="D284" s="15" t="s">
        <v>440</v>
      </c>
      <c r="E284" s="16" t="s">
        <v>40</v>
      </c>
      <c r="F284" s="15" t="s">
        <v>95</v>
      </c>
      <c r="G284" s="17" t="s">
        <v>85</v>
      </c>
      <c r="H284" s="16" t="s">
        <v>86</v>
      </c>
      <c r="I284" s="15"/>
      <c r="J284" s="15"/>
      <c r="K284" s="18"/>
      <c r="L284" s="15"/>
    </row>
    <row r="285" customFormat="false" ht="15" hidden="false" customHeight="false" outlineLevel="0" collapsed="false">
      <c r="A285" s="15" t="n">
        <v>284</v>
      </c>
      <c r="B285" s="15" t="s">
        <v>58</v>
      </c>
      <c r="C285" s="15" t="s">
        <v>438</v>
      </c>
      <c r="D285" s="15" t="s">
        <v>441</v>
      </c>
      <c r="E285" s="16" t="s">
        <v>39</v>
      </c>
      <c r="F285" s="15" t="s">
        <v>84</v>
      </c>
      <c r="G285" s="17" t="s">
        <v>85</v>
      </c>
      <c r="H285" s="16" t="s">
        <v>86</v>
      </c>
      <c r="I285" s="15"/>
      <c r="J285" s="15"/>
      <c r="K285" s="18"/>
      <c r="L285" s="15"/>
    </row>
    <row r="286" customFormat="false" ht="15" hidden="false" customHeight="false" outlineLevel="0" collapsed="false">
      <c r="A286" s="15" t="n">
        <v>285</v>
      </c>
      <c r="B286" s="15" t="s">
        <v>58</v>
      </c>
      <c r="C286" s="15" t="s">
        <v>438</v>
      </c>
      <c r="D286" s="15" t="s">
        <v>442</v>
      </c>
      <c r="E286" s="16" t="s">
        <v>40</v>
      </c>
      <c r="F286" s="15" t="s">
        <v>84</v>
      </c>
      <c r="G286" s="17" t="s">
        <v>85</v>
      </c>
      <c r="H286" s="16" t="s">
        <v>86</v>
      </c>
      <c r="I286" s="15"/>
      <c r="J286" s="15"/>
      <c r="K286" s="18"/>
      <c r="L286" s="15"/>
    </row>
    <row r="287" customFormat="false" ht="15" hidden="false" customHeight="false" outlineLevel="0" collapsed="false">
      <c r="A287" s="15" t="n">
        <v>286</v>
      </c>
      <c r="B287" s="15" t="s">
        <v>58</v>
      </c>
      <c r="C287" s="15" t="s">
        <v>438</v>
      </c>
      <c r="D287" s="15" t="s">
        <v>443</v>
      </c>
      <c r="E287" s="16" t="s">
        <v>40</v>
      </c>
      <c r="F287" s="15" t="s">
        <v>84</v>
      </c>
      <c r="G287" s="17" t="s">
        <v>85</v>
      </c>
      <c r="H287" s="16" t="s">
        <v>86</v>
      </c>
      <c r="I287" s="15"/>
      <c r="J287" s="15"/>
      <c r="K287" s="18"/>
      <c r="L287" s="15"/>
    </row>
    <row r="288" customFormat="false" ht="15" hidden="false" customHeight="false" outlineLevel="0" collapsed="false">
      <c r="A288" s="15" t="n">
        <v>287</v>
      </c>
      <c r="B288" s="15" t="s">
        <v>58</v>
      </c>
      <c r="C288" s="15" t="s">
        <v>444</v>
      </c>
      <c r="D288" s="15" t="s">
        <v>445</v>
      </c>
      <c r="E288" s="16" t="s">
        <v>40</v>
      </c>
      <c r="F288" s="15" t="s">
        <v>84</v>
      </c>
      <c r="G288" s="17" t="s">
        <v>85</v>
      </c>
      <c r="H288" s="16" t="s">
        <v>86</v>
      </c>
      <c r="I288" s="15"/>
      <c r="J288" s="15"/>
      <c r="K288" s="18"/>
      <c r="L288" s="15"/>
    </row>
    <row r="289" customFormat="false" ht="15" hidden="false" customHeight="false" outlineLevel="0" collapsed="false">
      <c r="A289" s="15" t="n">
        <v>288</v>
      </c>
      <c r="B289" s="15" t="s">
        <v>58</v>
      </c>
      <c r="C289" s="15" t="s">
        <v>444</v>
      </c>
      <c r="D289" s="15" t="s">
        <v>446</v>
      </c>
      <c r="E289" s="16" t="s">
        <v>39</v>
      </c>
      <c r="F289" s="15" t="s">
        <v>84</v>
      </c>
      <c r="G289" s="17" t="s">
        <v>85</v>
      </c>
      <c r="H289" s="16" t="s">
        <v>86</v>
      </c>
      <c r="I289" s="15"/>
      <c r="J289" s="15"/>
      <c r="K289" s="18"/>
      <c r="L289" s="15"/>
    </row>
    <row r="290" customFormat="false" ht="15" hidden="false" customHeight="false" outlineLevel="0" collapsed="false">
      <c r="A290" s="15" t="n">
        <v>289</v>
      </c>
      <c r="B290" s="15" t="s">
        <v>58</v>
      </c>
      <c r="C290" s="15" t="s">
        <v>444</v>
      </c>
      <c r="D290" s="15" t="s">
        <v>447</v>
      </c>
      <c r="E290" s="16" t="s">
        <v>39</v>
      </c>
      <c r="F290" s="15" t="s">
        <v>95</v>
      </c>
      <c r="G290" s="17" t="s">
        <v>85</v>
      </c>
      <c r="H290" s="16" t="s">
        <v>86</v>
      </c>
      <c r="I290" s="15"/>
      <c r="J290" s="15"/>
      <c r="K290" s="18"/>
      <c r="L290" s="15"/>
    </row>
    <row r="291" customFormat="false" ht="15" hidden="false" customHeight="false" outlineLevel="0" collapsed="false">
      <c r="A291" s="15" t="n">
        <v>290</v>
      </c>
      <c r="B291" s="15" t="s">
        <v>58</v>
      </c>
      <c r="C291" s="15" t="s">
        <v>448</v>
      </c>
      <c r="D291" s="15" t="s">
        <v>449</v>
      </c>
      <c r="E291" s="16" t="s">
        <v>40</v>
      </c>
      <c r="F291" s="15" t="s">
        <v>95</v>
      </c>
      <c r="G291" s="17" t="s">
        <v>85</v>
      </c>
      <c r="H291" s="16" t="s">
        <v>86</v>
      </c>
      <c r="I291" s="15"/>
      <c r="J291" s="15"/>
      <c r="K291" s="18"/>
      <c r="L291" s="15"/>
    </row>
    <row r="292" customFormat="false" ht="15" hidden="false" customHeight="false" outlineLevel="0" collapsed="false">
      <c r="A292" s="15" t="n">
        <v>291</v>
      </c>
      <c r="B292" s="15" t="s">
        <v>58</v>
      </c>
      <c r="C292" s="15" t="s">
        <v>450</v>
      </c>
      <c r="D292" s="15" t="s">
        <v>451</v>
      </c>
      <c r="E292" s="16" t="s">
        <v>40</v>
      </c>
      <c r="F292" s="15" t="s">
        <v>95</v>
      </c>
      <c r="G292" s="17" t="s">
        <v>85</v>
      </c>
      <c r="H292" s="16" t="s">
        <v>86</v>
      </c>
      <c r="I292" s="15"/>
      <c r="J292" s="15"/>
      <c r="K292" s="18"/>
      <c r="L292" s="15"/>
    </row>
    <row r="293" customFormat="false" ht="15" hidden="false" customHeight="false" outlineLevel="0" collapsed="false">
      <c r="A293" s="15" t="n">
        <v>292</v>
      </c>
      <c r="B293" s="15" t="s">
        <v>59</v>
      </c>
      <c r="C293" s="15" t="s">
        <v>452</v>
      </c>
      <c r="D293" s="15" t="s">
        <v>452</v>
      </c>
      <c r="E293" s="16" t="s">
        <v>40</v>
      </c>
      <c r="F293" s="15" t="s">
        <v>95</v>
      </c>
      <c r="G293" s="17" t="s">
        <v>85</v>
      </c>
      <c r="H293" s="16" t="s">
        <v>86</v>
      </c>
      <c r="I293" s="15"/>
      <c r="J293" s="15"/>
      <c r="K293" s="18"/>
      <c r="L293" s="15"/>
    </row>
    <row r="294" customFormat="false" ht="15" hidden="false" customHeight="false" outlineLevel="0" collapsed="false">
      <c r="A294" s="15" t="n">
        <v>293</v>
      </c>
      <c r="B294" s="15" t="s">
        <v>59</v>
      </c>
      <c r="C294" s="15" t="s">
        <v>452</v>
      </c>
      <c r="D294" s="15" t="s">
        <v>453</v>
      </c>
      <c r="E294" s="16" t="s">
        <v>40</v>
      </c>
      <c r="F294" s="15" t="s">
        <v>95</v>
      </c>
      <c r="G294" s="17" t="s">
        <v>85</v>
      </c>
      <c r="H294" s="16" t="s">
        <v>86</v>
      </c>
      <c r="I294" s="15"/>
      <c r="J294" s="15"/>
      <c r="K294" s="18"/>
      <c r="L294" s="15"/>
    </row>
    <row r="295" customFormat="false" ht="15" hidden="false" customHeight="false" outlineLevel="0" collapsed="false">
      <c r="A295" s="15" t="n">
        <v>294</v>
      </c>
      <c r="B295" s="15" t="s">
        <v>59</v>
      </c>
      <c r="C295" s="15" t="s">
        <v>452</v>
      </c>
      <c r="D295" s="15" t="s">
        <v>454</v>
      </c>
      <c r="E295" s="16" t="s">
        <v>40</v>
      </c>
      <c r="F295" s="15" t="s">
        <v>84</v>
      </c>
      <c r="G295" s="17" t="s">
        <v>85</v>
      </c>
      <c r="H295" s="16" t="s">
        <v>86</v>
      </c>
      <c r="I295" s="15"/>
      <c r="J295" s="15"/>
      <c r="K295" s="18"/>
      <c r="L295" s="15"/>
    </row>
    <row r="296" customFormat="false" ht="15" hidden="false" customHeight="false" outlineLevel="0" collapsed="false">
      <c r="A296" s="15" t="n">
        <v>295</v>
      </c>
      <c r="B296" s="15" t="s">
        <v>59</v>
      </c>
      <c r="C296" s="15" t="s">
        <v>455</v>
      </c>
      <c r="D296" s="15" t="s">
        <v>455</v>
      </c>
      <c r="E296" s="16" t="s">
        <v>40</v>
      </c>
      <c r="F296" s="15" t="s">
        <v>95</v>
      </c>
      <c r="G296" s="17" t="s">
        <v>85</v>
      </c>
      <c r="H296" s="16" t="s">
        <v>86</v>
      </c>
      <c r="I296" s="15"/>
      <c r="J296" s="15"/>
      <c r="K296" s="18"/>
      <c r="L296" s="15"/>
    </row>
    <row r="297" customFormat="false" ht="15" hidden="false" customHeight="false" outlineLevel="0" collapsed="false">
      <c r="A297" s="15" t="n">
        <v>296</v>
      </c>
      <c r="B297" s="15" t="s">
        <v>59</v>
      </c>
      <c r="C297" s="15" t="s">
        <v>455</v>
      </c>
      <c r="D297" s="15" t="s">
        <v>456</v>
      </c>
      <c r="E297" s="16" t="s">
        <v>40</v>
      </c>
      <c r="F297" s="15" t="s">
        <v>95</v>
      </c>
      <c r="G297" s="17" t="s">
        <v>85</v>
      </c>
      <c r="H297" s="16" t="s">
        <v>86</v>
      </c>
      <c r="I297" s="15"/>
      <c r="J297" s="15"/>
      <c r="K297" s="18"/>
      <c r="L297" s="15"/>
    </row>
    <row r="298" customFormat="false" ht="15" hidden="false" customHeight="false" outlineLevel="0" collapsed="false">
      <c r="A298" s="15" t="n">
        <v>297</v>
      </c>
      <c r="B298" s="15" t="s">
        <v>59</v>
      </c>
      <c r="C298" s="15" t="s">
        <v>455</v>
      </c>
      <c r="D298" s="15" t="s">
        <v>457</v>
      </c>
      <c r="E298" s="16" t="s">
        <v>41</v>
      </c>
      <c r="F298" s="15" t="s">
        <v>95</v>
      </c>
      <c r="G298" s="17" t="s">
        <v>85</v>
      </c>
      <c r="H298" s="16" t="s">
        <v>86</v>
      </c>
      <c r="I298" s="15"/>
      <c r="J298" s="15"/>
      <c r="K298" s="18"/>
      <c r="L298" s="15"/>
    </row>
    <row r="299" customFormat="false" ht="15" hidden="false" customHeight="false" outlineLevel="0" collapsed="false">
      <c r="A299" s="15" t="n">
        <v>298</v>
      </c>
      <c r="B299" s="15" t="s">
        <v>59</v>
      </c>
      <c r="C299" s="15" t="s">
        <v>458</v>
      </c>
      <c r="D299" s="15" t="s">
        <v>458</v>
      </c>
      <c r="E299" s="16" t="s">
        <v>40</v>
      </c>
      <c r="F299" s="15" t="s">
        <v>95</v>
      </c>
      <c r="G299" s="17" t="s">
        <v>85</v>
      </c>
      <c r="H299" s="16" t="s">
        <v>86</v>
      </c>
      <c r="I299" s="15"/>
      <c r="J299" s="15"/>
      <c r="K299" s="18"/>
      <c r="L299" s="15"/>
    </row>
    <row r="300" customFormat="false" ht="15" hidden="false" customHeight="false" outlineLevel="0" collapsed="false">
      <c r="A300" s="15" t="n">
        <v>299</v>
      </c>
      <c r="B300" s="15" t="s">
        <v>59</v>
      </c>
      <c r="C300" s="15" t="s">
        <v>458</v>
      </c>
      <c r="D300" s="15" t="s">
        <v>459</v>
      </c>
      <c r="E300" s="16" t="s">
        <v>40</v>
      </c>
      <c r="F300" s="15" t="s">
        <v>95</v>
      </c>
      <c r="G300" s="17" t="s">
        <v>85</v>
      </c>
      <c r="H300" s="16" t="s">
        <v>86</v>
      </c>
      <c r="I300" s="15"/>
      <c r="J300" s="15"/>
      <c r="K300" s="18"/>
      <c r="L300" s="15"/>
    </row>
    <row r="301" customFormat="false" ht="15" hidden="false" customHeight="false" outlineLevel="0" collapsed="false">
      <c r="A301" s="15" t="n">
        <v>300</v>
      </c>
      <c r="B301" s="15" t="s">
        <v>59</v>
      </c>
      <c r="C301" s="15" t="s">
        <v>458</v>
      </c>
      <c r="D301" s="15" t="s">
        <v>460</v>
      </c>
      <c r="E301" s="16" t="s">
        <v>40</v>
      </c>
      <c r="F301" s="15" t="s">
        <v>95</v>
      </c>
      <c r="G301" s="17" t="s">
        <v>85</v>
      </c>
      <c r="H301" s="16" t="s">
        <v>86</v>
      </c>
      <c r="I301" s="15"/>
      <c r="J301" s="15"/>
      <c r="K301" s="18"/>
      <c r="L301" s="15"/>
    </row>
    <row r="302" customFormat="false" ht="15" hidden="false" customHeight="false" outlineLevel="0" collapsed="false">
      <c r="A302" s="15" t="n">
        <v>301</v>
      </c>
      <c r="B302" s="15" t="s">
        <v>59</v>
      </c>
      <c r="C302" s="15" t="s">
        <v>458</v>
      </c>
      <c r="D302" s="15" t="s">
        <v>461</v>
      </c>
      <c r="E302" s="16" t="s">
        <v>40</v>
      </c>
      <c r="F302" s="15" t="s">
        <v>95</v>
      </c>
      <c r="G302" s="17" t="s">
        <v>85</v>
      </c>
      <c r="H302" s="16" t="s">
        <v>86</v>
      </c>
      <c r="I302" s="15"/>
      <c r="J302" s="15"/>
      <c r="K302" s="18"/>
      <c r="L302" s="15"/>
    </row>
    <row r="303" customFormat="false" ht="15" hidden="false" customHeight="false" outlineLevel="0" collapsed="false">
      <c r="A303" s="15" t="n">
        <v>302</v>
      </c>
      <c r="B303" s="15" t="s">
        <v>59</v>
      </c>
      <c r="C303" s="15" t="s">
        <v>458</v>
      </c>
      <c r="D303" s="15" t="s">
        <v>462</v>
      </c>
      <c r="E303" s="16" t="s">
        <v>40</v>
      </c>
      <c r="F303" s="15" t="s">
        <v>95</v>
      </c>
      <c r="G303" s="17" t="s">
        <v>85</v>
      </c>
      <c r="H303" s="16" t="s">
        <v>86</v>
      </c>
      <c r="I303" s="15"/>
      <c r="J303" s="15"/>
      <c r="K303" s="18"/>
      <c r="L303" s="15"/>
    </row>
    <row r="304" customFormat="false" ht="15" hidden="false" customHeight="false" outlineLevel="0" collapsed="false">
      <c r="A304" s="15" t="n">
        <v>303</v>
      </c>
      <c r="B304" s="15" t="s">
        <v>59</v>
      </c>
      <c r="C304" s="15" t="s">
        <v>463</v>
      </c>
      <c r="D304" s="15" t="s">
        <v>464</v>
      </c>
      <c r="E304" s="16" t="s">
        <v>40</v>
      </c>
      <c r="F304" s="15" t="s">
        <v>95</v>
      </c>
      <c r="G304" s="17" t="s">
        <v>85</v>
      </c>
      <c r="H304" s="16" t="s">
        <v>86</v>
      </c>
      <c r="I304" s="15"/>
      <c r="J304" s="15"/>
      <c r="K304" s="18"/>
      <c r="L304" s="15"/>
    </row>
    <row r="305" customFormat="false" ht="15" hidden="false" customHeight="false" outlineLevel="0" collapsed="false">
      <c r="A305" s="15" t="n">
        <v>304</v>
      </c>
      <c r="B305" s="15" t="s">
        <v>59</v>
      </c>
      <c r="C305" s="15" t="s">
        <v>463</v>
      </c>
      <c r="D305" s="15" t="s">
        <v>465</v>
      </c>
      <c r="E305" s="16" t="s">
        <v>40</v>
      </c>
      <c r="F305" s="15" t="s">
        <v>95</v>
      </c>
      <c r="G305" s="17" t="s">
        <v>85</v>
      </c>
      <c r="H305" s="16" t="s">
        <v>86</v>
      </c>
      <c r="I305" s="15"/>
      <c r="J305" s="15"/>
      <c r="K305" s="18"/>
      <c r="L305" s="15"/>
    </row>
    <row r="306" customFormat="false" ht="15" hidden="false" customHeight="false" outlineLevel="0" collapsed="false">
      <c r="A306" s="15" t="n">
        <v>305</v>
      </c>
      <c r="B306" s="15" t="s">
        <v>59</v>
      </c>
      <c r="C306" s="15" t="s">
        <v>466</v>
      </c>
      <c r="D306" s="15" t="s">
        <v>467</v>
      </c>
      <c r="E306" s="16" t="s">
        <v>40</v>
      </c>
      <c r="F306" s="15" t="s">
        <v>95</v>
      </c>
      <c r="G306" s="17" t="s">
        <v>85</v>
      </c>
      <c r="H306" s="16" t="s">
        <v>86</v>
      </c>
      <c r="I306" s="15"/>
      <c r="J306" s="15"/>
      <c r="K306" s="18"/>
      <c r="L306" s="15"/>
    </row>
    <row r="307" customFormat="false" ht="15" hidden="false" customHeight="false" outlineLevel="0" collapsed="false">
      <c r="A307" s="15" t="n">
        <v>306</v>
      </c>
      <c r="B307" s="15" t="s">
        <v>59</v>
      </c>
      <c r="C307" s="15" t="s">
        <v>466</v>
      </c>
      <c r="D307" s="15" t="s">
        <v>468</v>
      </c>
      <c r="E307" s="16" t="s">
        <v>41</v>
      </c>
      <c r="F307" s="15" t="s">
        <v>95</v>
      </c>
      <c r="G307" s="17" t="s">
        <v>85</v>
      </c>
      <c r="H307" s="16" t="s">
        <v>86</v>
      </c>
      <c r="I307" s="15"/>
      <c r="J307" s="15"/>
      <c r="K307" s="18"/>
      <c r="L307" s="15"/>
    </row>
    <row r="308" customFormat="false" ht="15" hidden="false" customHeight="false" outlineLevel="0" collapsed="false">
      <c r="A308" s="15" t="n">
        <v>307</v>
      </c>
      <c r="B308" s="15" t="s">
        <v>59</v>
      </c>
      <c r="C308" s="15" t="s">
        <v>469</v>
      </c>
      <c r="D308" s="15" t="s">
        <v>470</v>
      </c>
      <c r="E308" s="16" t="s">
        <v>40</v>
      </c>
      <c r="F308" s="15" t="s">
        <v>95</v>
      </c>
      <c r="G308" s="17" t="s">
        <v>85</v>
      </c>
      <c r="H308" s="16" t="s">
        <v>86</v>
      </c>
      <c r="I308" s="15"/>
      <c r="J308" s="15"/>
      <c r="K308" s="18"/>
      <c r="L308" s="15"/>
    </row>
    <row r="309" customFormat="false" ht="15" hidden="false" customHeight="false" outlineLevel="0" collapsed="false">
      <c r="A309" s="15" t="n">
        <v>308</v>
      </c>
      <c r="B309" s="15" t="s">
        <v>59</v>
      </c>
      <c r="C309" s="15" t="s">
        <v>469</v>
      </c>
      <c r="D309" s="15" t="s">
        <v>471</v>
      </c>
      <c r="E309" s="16" t="s">
        <v>40</v>
      </c>
      <c r="F309" s="15" t="s">
        <v>84</v>
      </c>
      <c r="G309" s="17" t="s">
        <v>85</v>
      </c>
      <c r="H309" s="16" t="s">
        <v>86</v>
      </c>
      <c r="I309" s="15"/>
      <c r="J309" s="15"/>
      <c r="K309" s="18"/>
      <c r="L309" s="15"/>
    </row>
    <row r="310" customFormat="false" ht="15" hidden="false" customHeight="false" outlineLevel="0" collapsed="false">
      <c r="A310" s="15" t="n">
        <v>309</v>
      </c>
      <c r="B310" s="15" t="s">
        <v>59</v>
      </c>
      <c r="C310" s="15" t="s">
        <v>469</v>
      </c>
      <c r="D310" s="15" t="s">
        <v>472</v>
      </c>
      <c r="E310" s="16" t="s">
        <v>41</v>
      </c>
      <c r="F310" s="15" t="s">
        <v>95</v>
      </c>
      <c r="G310" s="17" t="s">
        <v>85</v>
      </c>
      <c r="H310" s="16" t="s">
        <v>86</v>
      </c>
      <c r="I310" s="15"/>
      <c r="J310" s="15"/>
      <c r="K310" s="18"/>
      <c r="L310" s="15"/>
    </row>
    <row r="311" customFormat="false" ht="15" hidden="false" customHeight="false" outlineLevel="0" collapsed="false">
      <c r="A311" s="15" t="n">
        <v>310</v>
      </c>
      <c r="B311" s="15" t="s">
        <v>59</v>
      </c>
      <c r="C311" s="15" t="s">
        <v>469</v>
      </c>
      <c r="D311" s="15" t="s">
        <v>473</v>
      </c>
      <c r="E311" s="16" t="s">
        <v>41</v>
      </c>
      <c r="F311" s="15" t="s">
        <v>95</v>
      </c>
      <c r="G311" s="17" t="s">
        <v>85</v>
      </c>
      <c r="H311" s="16" t="s">
        <v>86</v>
      </c>
      <c r="I311" s="15"/>
      <c r="J311" s="15"/>
      <c r="K311" s="18"/>
      <c r="L311" s="15"/>
    </row>
    <row r="312" customFormat="false" ht="15" hidden="false" customHeight="false" outlineLevel="0" collapsed="false">
      <c r="A312" s="15" t="n">
        <v>311</v>
      </c>
      <c r="B312" s="15" t="s">
        <v>59</v>
      </c>
      <c r="C312" s="15" t="s">
        <v>469</v>
      </c>
      <c r="D312" s="15" t="s">
        <v>474</v>
      </c>
      <c r="E312" s="16" t="s">
        <v>41</v>
      </c>
      <c r="F312" s="15" t="s">
        <v>95</v>
      </c>
      <c r="G312" s="17" t="s">
        <v>85</v>
      </c>
      <c r="H312" s="16" t="s">
        <v>86</v>
      </c>
      <c r="I312" s="15"/>
      <c r="J312" s="15"/>
      <c r="K312" s="18"/>
      <c r="L312" s="15"/>
    </row>
    <row r="313" customFormat="false" ht="15" hidden="false" customHeight="false" outlineLevel="0" collapsed="false">
      <c r="A313" s="15" t="n">
        <v>312</v>
      </c>
      <c r="B313" s="15" t="s">
        <v>59</v>
      </c>
      <c r="C313" s="15" t="s">
        <v>475</v>
      </c>
      <c r="D313" s="15" t="s">
        <v>476</v>
      </c>
      <c r="E313" s="16" t="s">
        <v>40</v>
      </c>
      <c r="F313" s="15" t="s">
        <v>95</v>
      </c>
      <c r="G313" s="17" t="s">
        <v>85</v>
      </c>
      <c r="H313" s="16" t="s">
        <v>86</v>
      </c>
      <c r="I313" s="15"/>
      <c r="J313" s="15"/>
      <c r="K313" s="18"/>
      <c r="L313" s="15"/>
    </row>
    <row r="314" customFormat="false" ht="15" hidden="false" customHeight="false" outlineLevel="0" collapsed="false">
      <c r="A314" s="15" t="n">
        <v>313</v>
      </c>
      <c r="B314" s="15" t="s">
        <v>59</v>
      </c>
      <c r="C314" s="15" t="s">
        <v>475</v>
      </c>
      <c r="D314" s="15" t="s">
        <v>477</v>
      </c>
      <c r="E314" s="16" t="s">
        <v>40</v>
      </c>
      <c r="F314" s="15" t="s">
        <v>95</v>
      </c>
      <c r="G314" s="17" t="s">
        <v>85</v>
      </c>
      <c r="H314" s="16" t="s">
        <v>86</v>
      </c>
      <c r="I314" s="15"/>
      <c r="J314" s="15"/>
      <c r="K314" s="18"/>
      <c r="L314" s="15"/>
    </row>
    <row r="315" customFormat="false" ht="15" hidden="false" customHeight="false" outlineLevel="0" collapsed="false">
      <c r="A315" s="15" t="n">
        <v>314</v>
      </c>
      <c r="B315" s="15" t="s">
        <v>59</v>
      </c>
      <c r="C315" s="15" t="s">
        <v>478</v>
      </c>
      <c r="D315" s="15" t="s">
        <v>479</v>
      </c>
      <c r="E315" s="16" t="s">
        <v>40</v>
      </c>
      <c r="F315" s="15" t="s">
        <v>84</v>
      </c>
      <c r="G315" s="17" t="s">
        <v>85</v>
      </c>
      <c r="H315" s="16" t="s">
        <v>86</v>
      </c>
      <c r="I315" s="15"/>
      <c r="J315" s="15"/>
      <c r="K315" s="18"/>
      <c r="L315" s="15"/>
    </row>
    <row r="316" customFormat="false" ht="15" hidden="false" customHeight="false" outlineLevel="0" collapsed="false">
      <c r="A316" s="15" t="n">
        <v>315</v>
      </c>
      <c r="B316" s="15" t="s">
        <v>59</v>
      </c>
      <c r="C316" s="15" t="s">
        <v>372</v>
      </c>
      <c r="D316" s="15" t="s">
        <v>480</v>
      </c>
      <c r="E316" s="16" t="s">
        <v>41</v>
      </c>
      <c r="F316" s="15" t="s">
        <v>95</v>
      </c>
      <c r="G316" s="17" t="s">
        <v>85</v>
      </c>
      <c r="H316" s="16" t="s">
        <v>86</v>
      </c>
      <c r="I316" s="15"/>
      <c r="J316" s="15"/>
      <c r="K316" s="18"/>
      <c r="L316" s="15"/>
    </row>
    <row r="317" customFormat="false" ht="15" hidden="false" customHeight="false" outlineLevel="0" collapsed="false">
      <c r="A317" s="15" t="n">
        <v>316</v>
      </c>
      <c r="B317" s="15" t="s">
        <v>59</v>
      </c>
      <c r="C317" s="15" t="s">
        <v>481</v>
      </c>
      <c r="D317" s="15" t="s">
        <v>482</v>
      </c>
      <c r="E317" s="16" t="s">
        <v>40</v>
      </c>
      <c r="F317" s="15" t="s">
        <v>95</v>
      </c>
      <c r="G317" s="17" t="s">
        <v>85</v>
      </c>
      <c r="H317" s="16" t="s">
        <v>86</v>
      </c>
      <c r="I317" s="15"/>
      <c r="J317" s="15"/>
      <c r="K317" s="18"/>
      <c r="L317" s="15"/>
    </row>
    <row r="318" customFormat="false" ht="15" hidden="false" customHeight="false" outlineLevel="0" collapsed="false">
      <c r="A318" s="15" t="n">
        <v>317</v>
      </c>
      <c r="B318" s="15" t="s">
        <v>60</v>
      </c>
      <c r="C318" s="15" t="s">
        <v>311</v>
      </c>
      <c r="D318" s="15" t="s">
        <v>483</v>
      </c>
      <c r="E318" s="16" t="s">
        <v>39</v>
      </c>
      <c r="F318" s="15" t="s">
        <v>95</v>
      </c>
      <c r="G318" s="17" t="s">
        <v>85</v>
      </c>
      <c r="H318" s="16" t="s">
        <v>86</v>
      </c>
      <c r="I318" s="15"/>
      <c r="J318" s="15"/>
      <c r="K318" s="18"/>
      <c r="L318" s="15"/>
    </row>
    <row r="319" customFormat="false" ht="15" hidden="false" customHeight="false" outlineLevel="0" collapsed="false">
      <c r="A319" s="15" t="n">
        <v>318</v>
      </c>
      <c r="B319" s="15" t="s">
        <v>60</v>
      </c>
      <c r="C319" s="15" t="s">
        <v>311</v>
      </c>
      <c r="D319" s="15" t="s">
        <v>484</v>
      </c>
      <c r="E319" s="16" t="s">
        <v>39</v>
      </c>
      <c r="F319" s="15" t="s">
        <v>95</v>
      </c>
      <c r="G319" s="17" t="s">
        <v>85</v>
      </c>
      <c r="H319" s="16" t="s">
        <v>86</v>
      </c>
      <c r="I319" s="15"/>
      <c r="J319" s="15"/>
      <c r="K319" s="18"/>
      <c r="L319" s="15"/>
    </row>
    <row r="320" customFormat="false" ht="15" hidden="false" customHeight="false" outlineLevel="0" collapsed="false">
      <c r="A320" s="15" t="n">
        <v>319</v>
      </c>
      <c r="B320" s="15" t="s">
        <v>60</v>
      </c>
      <c r="C320" s="15" t="s">
        <v>311</v>
      </c>
      <c r="D320" s="15" t="s">
        <v>485</v>
      </c>
      <c r="E320" s="16" t="s">
        <v>39</v>
      </c>
      <c r="F320" s="15" t="s">
        <v>95</v>
      </c>
      <c r="G320" s="17" t="s">
        <v>85</v>
      </c>
      <c r="H320" s="16" t="s">
        <v>86</v>
      </c>
      <c r="I320" s="15"/>
      <c r="J320" s="15"/>
      <c r="K320" s="18"/>
      <c r="L320" s="15"/>
    </row>
    <row r="321" customFormat="false" ht="15" hidden="false" customHeight="false" outlineLevel="0" collapsed="false">
      <c r="A321" s="15" t="n">
        <v>320</v>
      </c>
      <c r="B321" s="15" t="s">
        <v>60</v>
      </c>
      <c r="C321" s="15" t="s">
        <v>311</v>
      </c>
      <c r="D321" s="15" t="s">
        <v>486</v>
      </c>
      <c r="E321" s="16" t="s">
        <v>40</v>
      </c>
      <c r="F321" s="15" t="s">
        <v>84</v>
      </c>
      <c r="G321" s="17" t="s">
        <v>85</v>
      </c>
      <c r="H321" s="16" t="s">
        <v>86</v>
      </c>
      <c r="I321" s="15"/>
      <c r="J321" s="15"/>
      <c r="K321" s="18"/>
      <c r="L321" s="15"/>
    </row>
    <row r="322" customFormat="false" ht="15" hidden="false" customHeight="false" outlineLevel="0" collapsed="false">
      <c r="A322" s="15" t="n">
        <v>321</v>
      </c>
      <c r="B322" s="15" t="s">
        <v>60</v>
      </c>
      <c r="C322" s="15" t="s">
        <v>487</v>
      </c>
      <c r="D322" s="15" t="s">
        <v>488</v>
      </c>
      <c r="E322" s="16" t="s">
        <v>40</v>
      </c>
      <c r="F322" s="15" t="s">
        <v>95</v>
      </c>
      <c r="G322" s="17" t="s">
        <v>85</v>
      </c>
      <c r="H322" s="16" t="s">
        <v>86</v>
      </c>
      <c r="I322" s="15"/>
      <c r="J322" s="15"/>
      <c r="K322" s="18"/>
      <c r="L322" s="15"/>
    </row>
    <row r="323" customFormat="false" ht="15" hidden="false" customHeight="false" outlineLevel="0" collapsed="false">
      <c r="A323" s="15" t="n">
        <v>322</v>
      </c>
      <c r="B323" s="15" t="s">
        <v>60</v>
      </c>
      <c r="C323" s="15" t="s">
        <v>487</v>
      </c>
      <c r="D323" s="15" t="s">
        <v>489</v>
      </c>
      <c r="E323" s="16" t="s">
        <v>40</v>
      </c>
      <c r="F323" s="15" t="s">
        <v>95</v>
      </c>
      <c r="G323" s="17" t="s">
        <v>85</v>
      </c>
      <c r="H323" s="16" t="s">
        <v>86</v>
      </c>
      <c r="I323" s="15"/>
      <c r="J323" s="15"/>
      <c r="K323" s="18"/>
      <c r="L323" s="15"/>
    </row>
    <row r="324" customFormat="false" ht="15" hidden="false" customHeight="false" outlineLevel="0" collapsed="false">
      <c r="A324" s="15" t="n">
        <v>323</v>
      </c>
      <c r="B324" s="15" t="s">
        <v>60</v>
      </c>
      <c r="C324" s="15" t="s">
        <v>487</v>
      </c>
      <c r="D324" s="15" t="s">
        <v>490</v>
      </c>
      <c r="E324" s="16" t="s">
        <v>40</v>
      </c>
      <c r="F324" s="15" t="s">
        <v>95</v>
      </c>
      <c r="G324" s="17" t="s">
        <v>85</v>
      </c>
      <c r="H324" s="16" t="s">
        <v>86</v>
      </c>
      <c r="I324" s="15"/>
      <c r="J324" s="15"/>
      <c r="K324" s="18"/>
      <c r="L324" s="15"/>
    </row>
    <row r="325" customFormat="false" ht="15" hidden="false" customHeight="false" outlineLevel="0" collapsed="false">
      <c r="A325" s="15" t="n">
        <v>324</v>
      </c>
      <c r="B325" s="15" t="s">
        <v>60</v>
      </c>
      <c r="C325" s="15" t="s">
        <v>487</v>
      </c>
      <c r="D325" s="15" t="s">
        <v>491</v>
      </c>
      <c r="E325" s="16" t="s">
        <v>39</v>
      </c>
      <c r="F325" s="15" t="s">
        <v>95</v>
      </c>
      <c r="G325" s="17" t="s">
        <v>85</v>
      </c>
      <c r="H325" s="16" t="s">
        <v>86</v>
      </c>
      <c r="I325" s="15"/>
      <c r="J325" s="15"/>
      <c r="K325" s="18"/>
      <c r="L325" s="15"/>
    </row>
    <row r="326" customFormat="false" ht="15" hidden="false" customHeight="false" outlineLevel="0" collapsed="false">
      <c r="A326" s="15" t="n">
        <v>325</v>
      </c>
      <c r="B326" s="15" t="s">
        <v>60</v>
      </c>
      <c r="C326" s="15" t="s">
        <v>487</v>
      </c>
      <c r="D326" s="15" t="s">
        <v>492</v>
      </c>
      <c r="E326" s="16" t="s">
        <v>40</v>
      </c>
      <c r="F326" s="15" t="s">
        <v>95</v>
      </c>
      <c r="G326" s="17" t="s">
        <v>85</v>
      </c>
      <c r="H326" s="16" t="s">
        <v>86</v>
      </c>
      <c r="I326" s="15"/>
      <c r="J326" s="15"/>
      <c r="K326" s="18"/>
      <c r="L326" s="15"/>
    </row>
    <row r="327" customFormat="false" ht="15" hidden="false" customHeight="false" outlineLevel="0" collapsed="false">
      <c r="A327" s="15" t="n">
        <v>326</v>
      </c>
      <c r="B327" s="15" t="s">
        <v>60</v>
      </c>
      <c r="C327" s="15" t="s">
        <v>493</v>
      </c>
      <c r="D327" s="15" t="s">
        <v>494</v>
      </c>
      <c r="E327" s="16" t="s">
        <v>40</v>
      </c>
      <c r="F327" s="15" t="s">
        <v>95</v>
      </c>
      <c r="G327" s="17" t="s">
        <v>85</v>
      </c>
      <c r="H327" s="16" t="s">
        <v>86</v>
      </c>
      <c r="I327" s="15"/>
      <c r="J327" s="15"/>
      <c r="K327" s="18"/>
      <c r="L327" s="15"/>
    </row>
    <row r="328" customFormat="false" ht="15" hidden="false" customHeight="false" outlineLevel="0" collapsed="false">
      <c r="A328" s="15" t="n">
        <v>327</v>
      </c>
      <c r="B328" s="15" t="s">
        <v>60</v>
      </c>
      <c r="C328" s="15" t="s">
        <v>493</v>
      </c>
      <c r="D328" s="15" t="s">
        <v>495</v>
      </c>
      <c r="E328" s="16" t="s">
        <v>41</v>
      </c>
      <c r="F328" s="15" t="s">
        <v>95</v>
      </c>
      <c r="G328" s="17" t="s">
        <v>85</v>
      </c>
      <c r="H328" s="16" t="s">
        <v>86</v>
      </c>
      <c r="I328" s="15"/>
      <c r="J328" s="15"/>
      <c r="K328" s="18"/>
      <c r="L328" s="15"/>
    </row>
    <row r="329" customFormat="false" ht="15" hidden="false" customHeight="false" outlineLevel="0" collapsed="false">
      <c r="A329" s="15" t="n">
        <v>328</v>
      </c>
      <c r="B329" s="15" t="s">
        <v>60</v>
      </c>
      <c r="C329" s="15" t="s">
        <v>493</v>
      </c>
      <c r="D329" s="15" t="s">
        <v>496</v>
      </c>
      <c r="E329" s="16" t="s">
        <v>40</v>
      </c>
      <c r="F329" s="15" t="s">
        <v>84</v>
      </c>
      <c r="G329" s="17" t="s">
        <v>85</v>
      </c>
      <c r="H329" s="16" t="s">
        <v>86</v>
      </c>
      <c r="I329" s="15"/>
      <c r="J329" s="15"/>
      <c r="K329" s="18"/>
      <c r="L329" s="15"/>
    </row>
    <row r="330" customFormat="false" ht="15" hidden="false" customHeight="false" outlineLevel="0" collapsed="false">
      <c r="A330" s="15" t="n">
        <v>329</v>
      </c>
      <c r="B330" s="15" t="s">
        <v>60</v>
      </c>
      <c r="C330" s="15" t="s">
        <v>493</v>
      </c>
      <c r="D330" s="15" t="s">
        <v>497</v>
      </c>
      <c r="E330" s="16" t="s">
        <v>40</v>
      </c>
      <c r="F330" s="15" t="s">
        <v>84</v>
      </c>
      <c r="G330" s="17" t="s">
        <v>85</v>
      </c>
      <c r="H330" s="16" t="s">
        <v>86</v>
      </c>
      <c r="I330" s="15"/>
      <c r="J330" s="15"/>
      <c r="K330" s="18"/>
      <c r="L330" s="15"/>
    </row>
    <row r="331" customFormat="false" ht="15" hidden="false" customHeight="false" outlineLevel="0" collapsed="false">
      <c r="A331" s="15" t="n">
        <v>330</v>
      </c>
      <c r="B331" s="15" t="s">
        <v>60</v>
      </c>
      <c r="C331" s="15" t="s">
        <v>493</v>
      </c>
      <c r="D331" s="15" t="s">
        <v>498</v>
      </c>
      <c r="E331" s="16" t="s">
        <v>40</v>
      </c>
      <c r="F331" s="15" t="s">
        <v>84</v>
      </c>
      <c r="G331" s="17" t="s">
        <v>85</v>
      </c>
      <c r="H331" s="16" t="s">
        <v>86</v>
      </c>
      <c r="I331" s="15"/>
      <c r="J331" s="15"/>
      <c r="K331" s="18"/>
      <c r="L331" s="15"/>
    </row>
    <row r="332" customFormat="false" ht="15" hidden="false" customHeight="false" outlineLevel="0" collapsed="false">
      <c r="A332" s="15" t="n">
        <v>331</v>
      </c>
      <c r="B332" s="15" t="s">
        <v>60</v>
      </c>
      <c r="C332" s="15" t="s">
        <v>499</v>
      </c>
      <c r="D332" s="15" t="s">
        <v>500</v>
      </c>
      <c r="E332" s="16" t="s">
        <v>39</v>
      </c>
      <c r="F332" s="15" t="s">
        <v>95</v>
      </c>
      <c r="G332" s="17" t="s">
        <v>85</v>
      </c>
      <c r="H332" s="16" t="s">
        <v>86</v>
      </c>
      <c r="I332" s="15"/>
      <c r="J332" s="15"/>
      <c r="K332" s="18"/>
      <c r="L332" s="15"/>
    </row>
    <row r="333" customFormat="false" ht="15" hidden="false" customHeight="false" outlineLevel="0" collapsed="false">
      <c r="A333" s="15" t="n">
        <v>332</v>
      </c>
      <c r="B333" s="15" t="s">
        <v>60</v>
      </c>
      <c r="C333" s="15" t="s">
        <v>499</v>
      </c>
      <c r="D333" s="15" t="s">
        <v>501</v>
      </c>
      <c r="E333" s="16" t="s">
        <v>39</v>
      </c>
      <c r="F333" s="15" t="s">
        <v>95</v>
      </c>
      <c r="G333" s="17" t="s">
        <v>85</v>
      </c>
      <c r="H333" s="16" t="s">
        <v>86</v>
      </c>
      <c r="I333" s="15"/>
      <c r="J333" s="15"/>
      <c r="K333" s="18"/>
      <c r="L333" s="15"/>
    </row>
    <row r="334" customFormat="false" ht="15" hidden="false" customHeight="false" outlineLevel="0" collapsed="false">
      <c r="A334" s="15" t="n">
        <v>333</v>
      </c>
      <c r="B334" s="15" t="s">
        <v>60</v>
      </c>
      <c r="C334" s="15" t="s">
        <v>499</v>
      </c>
      <c r="D334" s="15" t="s">
        <v>502</v>
      </c>
      <c r="E334" s="16" t="s">
        <v>39</v>
      </c>
      <c r="F334" s="15" t="s">
        <v>95</v>
      </c>
      <c r="G334" s="17" t="s">
        <v>85</v>
      </c>
      <c r="H334" s="16" t="s">
        <v>86</v>
      </c>
      <c r="I334" s="15"/>
      <c r="J334" s="15"/>
      <c r="K334" s="18"/>
      <c r="L334" s="15"/>
    </row>
    <row r="335" customFormat="false" ht="15" hidden="false" customHeight="false" outlineLevel="0" collapsed="false">
      <c r="A335" s="15" t="n">
        <v>334</v>
      </c>
      <c r="B335" s="15" t="s">
        <v>60</v>
      </c>
      <c r="C335" s="15" t="s">
        <v>499</v>
      </c>
      <c r="D335" s="15" t="s">
        <v>503</v>
      </c>
      <c r="E335" s="16" t="s">
        <v>39</v>
      </c>
      <c r="F335" s="15" t="s">
        <v>95</v>
      </c>
      <c r="G335" s="17" t="s">
        <v>85</v>
      </c>
      <c r="H335" s="16" t="s">
        <v>86</v>
      </c>
      <c r="I335" s="15"/>
      <c r="J335" s="15"/>
      <c r="K335" s="18"/>
      <c r="L335" s="15"/>
    </row>
    <row r="336" customFormat="false" ht="15" hidden="false" customHeight="false" outlineLevel="0" collapsed="false">
      <c r="A336" s="15" t="n">
        <v>335</v>
      </c>
      <c r="B336" s="15" t="s">
        <v>60</v>
      </c>
      <c r="C336" s="15" t="s">
        <v>504</v>
      </c>
      <c r="D336" s="15" t="s">
        <v>505</v>
      </c>
      <c r="E336" s="16" t="s">
        <v>39</v>
      </c>
      <c r="F336" s="15" t="s">
        <v>95</v>
      </c>
      <c r="G336" s="17" t="s">
        <v>85</v>
      </c>
      <c r="H336" s="16" t="s">
        <v>86</v>
      </c>
      <c r="I336" s="15"/>
      <c r="J336" s="15"/>
      <c r="K336" s="18"/>
      <c r="L336" s="15"/>
    </row>
    <row r="337" customFormat="false" ht="15" hidden="false" customHeight="false" outlineLevel="0" collapsed="false">
      <c r="A337" s="15" t="n">
        <v>336</v>
      </c>
      <c r="B337" s="15" t="s">
        <v>60</v>
      </c>
      <c r="C337" s="15" t="s">
        <v>504</v>
      </c>
      <c r="D337" s="15" t="s">
        <v>506</v>
      </c>
      <c r="E337" s="16" t="s">
        <v>39</v>
      </c>
      <c r="F337" s="15" t="s">
        <v>95</v>
      </c>
      <c r="G337" s="17" t="s">
        <v>85</v>
      </c>
      <c r="H337" s="16" t="s">
        <v>86</v>
      </c>
      <c r="I337" s="15"/>
      <c r="J337" s="15"/>
      <c r="K337" s="18"/>
      <c r="L337" s="15"/>
    </row>
    <row r="338" customFormat="false" ht="15" hidden="false" customHeight="false" outlineLevel="0" collapsed="false">
      <c r="A338" s="15" t="n">
        <v>337</v>
      </c>
      <c r="B338" s="15" t="s">
        <v>60</v>
      </c>
      <c r="C338" s="15" t="s">
        <v>504</v>
      </c>
      <c r="D338" s="15" t="s">
        <v>507</v>
      </c>
      <c r="E338" s="16" t="s">
        <v>39</v>
      </c>
      <c r="F338" s="15" t="s">
        <v>95</v>
      </c>
      <c r="G338" s="17" t="s">
        <v>85</v>
      </c>
      <c r="H338" s="16" t="s">
        <v>86</v>
      </c>
      <c r="I338" s="15"/>
      <c r="J338" s="15"/>
      <c r="K338" s="18"/>
      <c r="L338" s="15"/>
    </row>
    <row r="339" customFormat="false" ht="15" hidden="false" customHeight="false" outlineLevel="0" collapsed="false">
      <c r="A339" s="15" t="n">
        <v>338</v>
      </c>
      <c r="B339" s="15" t="s">
        <v>60</v>
      </c>
      <c r="C339" s="15" t="s">
        <v>504</v>
      </c>
      <c r="D339" s="15" t="s">
        <v>508</v>
      </c>
      <c r="E339" s="16" t="s">
        <v>39</v>
      </c>
      <c r="F339" s="15" t="s">
        <v>95</v>
      </c>
      <c r="G339" s="17" t="s">
        <v>85</v>
      </c>
      <c r="H339" s="16" t="s">
        <v>86</v>
      </c>
      <c r="I339" s="15"/>
      <c r="J339" s="15"/>
      <c r="K339" s="18"/>
      <c r="L339" s="15"/>
    </row>
    <row r="340" customFormat="false" ht="15" hidden="false" customHeight="false" outlineLevel="0" collapsed="false">
      <c r="A340" s="15" t="n">
        <v>339</v>
      </c>
      <c r="B340" s="15" t="s">
        <v>60</v>
      </c>
      <c r="C340" s="15" t="s">
        <v>504</v>
      </c>
      <c r="D340" s="15" t="s">
        <v>509</v>
      </c>
      <c r="E340" s="16" t="s">
        <v>40</v>
      </c>
      <c r="F340" s="15" t="s">
        <v>95</v>
      </c>
      <c r="G340" s="17" t="s">
        <v>85</v>
      </c>
      <c r="H340" s="16" t="s">
        <v>86</v>
      </c>
      <c r="I340" s="15"/>
      <c r="J340" s="15"/>
      <c r="K340" s="18"/>
      <c r="L340" s="15"/>
    </row>
    <row r="341" customFormat="false" ht="15" hidden="false" customHeight="false" outlineLevel="0" collapsed="false">
      <c r="A341" s="15" t="n">
        <v>340</v>
      </c>
      <c r="B341" s="15" t="s">
        <v>60</v>
      </c>
      <c r="C341" s="15" t="s">
        <v>504</v>
      </c>
      <c r="D341" s="15" t="s">
        <v>510</v>
      </c>
      <c r="E341" s="16" t="s">
        <v>40</v>
      </c>
      <c r="F341" s="15" t="s">
        <v>95</v>
      </c>
      <c r="G341" s="17" t="s">
        <v>85</v>
      </c>
      <c r="H341" s="16" t="s">
        <v>86</v>
      </c>
      <c r="I341" s="15"/>
      <c r="J341" s="15"/>
      <c r="K341" s="18"/>
      <c r="L341" s="15"/>
    </row>
    <row r="342" customFormat="false" ht="15" hidden="false" customHeight="false" outlineLevel="0" collapsed="false">
      <c r="A342" s="15" t="n">
        <v>341</v>
      </c>
      <c r="B342" s="15" t="s">
        <v>60</v>
      </c>
      <c r="C342" s="15" t="s">
        <v>504</v>
      </c>
      <c r="D342" s="15" t="s">
        <v>511</v>
      </c>
      <c r="E342" s="16" t="s">
        <v>39</v>
      </c>
      <c r="F342" s="15" t="s">
        <v>95</v>
      </c>
      <c r="G342" s="17" t="s">
        <v>85</v>
      </c>
      <c r="H342" s="16" t="s">
        <v>86</v>
      </c>
      <c r="I342" s="15"/>
      <c r="J342" s="15"/>
      <c r="K342" s="18"/>
      <c r="L342" s="15"/>
    </row>
    <row r="343" customFormat="false" ht="15" hidden="false" customHeight="false" outlineLevel="0" collapsed="false">
      <c r="A343" s="15" t="n">
        <v>342</v>
      </c>
      <c r="B343" s="15" t="s">
        <v>60</v>
      </c>
      <c r="C343" s="15" t="s">
        <v>512</v>
      </c>
      <c r="D343" s="15" t="s">
        <v>513</v>
      </c>
      <c r="E343" s="16" t="s">
        <v>39</v>
      </c>
      <c r="F343" s="15" t="s">
        <v>95</v>
      </c>
      <c r="G343" s="17" t="s">
        <v>85</v>
      </c>
      <c r="H343" s="16" t="s">
        <v>86</v>
      </c>
      <c r="I343" s="15"/>
      <c r="J343" s="15"/>
      <c r="K343" s="18"/>
      <c r="L343" s="15"/>
    </row>
    <row r="344" customFormat="false" ht="15" hidden="false" customHeight="false" outlineLevel="0" collapsed="false">
      <c r="A344" s="15" t="n">
        <v>343</v>
      </c>
      <c r="B344" s="15" t="s">
        <v>60</v>
      </c>
      <c r="C344" s="15" t="s">
        <v>512</v>
      </c>
      <c r="D344" s="15" t="s">
        <v>514</v>
      </c>
      <c r="E344" s="16" t="s">
        <v>40</v>
      </c>
      <c r="F344" s="15" t="s">
        <v>95</v>
      </c>
      <c r="G344" s="17" t="s">
        <v>85</v>
      </c>
      <c r="H344" s="16" t="s">
        <v>86</v>
      </c>
      <c r="I344" s="15"/>
      <c r="J344" s="15"/>
      <c r="K344" s="18"/>
      <c r="L344" s="15"/>
    </row>
    <row r="345" customFormat="false" ht="15" hidden="false" customHeight="false" outlineLevel="0" collapsed="false">
      <c r="A345" s="15" t="n">
        <v>344</v>
      </c>
      <c r="B345" s="15" t="s">
        <v>60</v>
      </c>
      <c r="C345" s="15" t="s">
        <v>512</v>
      </c>
      <c r="D345" s="15" t="s">
        <v>515</v>
      </c>
      <c r="E345" s="16" t="s">
        <v>40</v>
      </c>
      <c r="F345" s="15" t="s">
        <v>95</v>
      </c>
      <c r="G345" s="17" t="s">
        <v>85</v>
      </c>
      <c r="H345" s="16" t="s">
        <v>86</v>
      </c>
      <c r="I345" s="15"/>
      <c r="J345" s="15"/>
      <c r="K345" s="18"/>
      <c r="L345" s="15"/>
    </row>
    <row r="346" customFormat="false" ht="15" hidden="false" customHeight="false" outlineLevel="0" collapsed="false">
      <c r="A346" s="15" t="n">
        <v>345</v>
      </c>
      <c r="B346" s="15" t="s">
        <v>60</v>
      </c>
      <c r="C346" s="15" t="s">
        <v>512</v>
      </c>
      <c r="D346" s="15" t="s">
        <v>516</v>
      </c>
      <c r="E346" s="16" t="s">
        <v>40</v>
      </c>
      <c r="F346" s="15" t="s">
        <v>95</v>
      </c>
      <c r="G346" s="17" t="s">
        <v>85</v>
      </c>
      <c r="H346" s="16" t="s">
        <v>86</v>
      </c>
      <c r="I346" s="15"/>
      <c r="J346" s="15"/>
      <c r="K346" s="18"/>
      <c r="L346" s="15"/>
    </row>
    <row r="347" customFormat="false" ht="15" hidden="false" customHeight="false" outlineLevel="0" collapsed="false">
      <c r="A347" s="15" t="n">
        <v>346</v>
      </c>
      <c r="B347" s="15" t="s">
        <v>60</v>
      </c>
      <c r="C347" s="15" t="s">
        <v>512</v>
      </c>
      <c r="D347" s="15" t="s">
        <v>517</v>
      </c>
      <c r="E347" s="16" t="s">
        <v>39</v>
      </c>
      <c r="F347" s="15" t="s">
        <v>95</v>
      </c>
      <c r="G347" s="17" t="s">
        <v>85</v>
      </c>
      <c r="H347" s="16" t="s">
        <v>86</v>
      </c>
      <c r="I347" s="15"/>
      <c r="J347" s="15"/>
      <c r="K347" s="18"/>
      <c r="L347" s="15"/>
    </row>
    <row r="348" customFormat="false" ht="15" hidden="false" customHeight="false" outlineLevel="0" collapsed="false">
      <c r="A348" s="15" t="n">
        <v>347</v>
      </c>
      <c r="B348" s="15" t="s">
        <v>60</v>
      </c>
      <c r="C348" s="15" t="s">
        <v>512</v>
      </c>
      <c r="D348" s="15" t="s">
        <v>518</v>
      </c>
      <c r="E348" s="16" t="s">
        <v>41</v>
      </c>
      <c r="F348" s="15" t="s">
        <v>95</v>
      </c>
      <c r="G348" s="17" t="s">
        <v>85</v>
      </c>
      <c r="H348" s="16" t="s">
        <v>86</v>
      </c>
      <c r="I348" s="15"/>
      <c r="J348" s="15"/>
      <c r="K348" s="18"/>
      <c r="L348" s="15"/>
    </row>
    <row r="349" customFormat="false" ht="15" hidden="false" customHeight="false" outlineLevel="0" collapsed="false">
      <c r="A349" s="15" t="n">
        <v>348</v>
      </c>
      <c r="B349" s="15" t="s">
        <v>60</v>
      </c>
      <c r="C349" s="15" t="s">
        <v>519</v>
      </c>
      <c r="D349" s="15" t="s">
        <v>520</v>
      </c>
      <c r="E349" s="16" t="s">
        <v>40</v>
      </c>
      <c r="F349" s="15" t="s">
        <v>95</v>
      </c>
      <c r="G349" s="17" t="s">
        <v>85</v>
      </c>
      <c r="H349" s="16" t="s">
        <v>86</v>
      </c>
      <c r="I349" s="15"/>
      <c r="J349" s="15"/>
      <c r="K349" s="18"/>
      <c r="L349" s="15"/>
    </row>
    <row r="350" customFormat="false" ht="15" hidden="false" customHeight="false" outlineLevel="0" collapsed="false">
      <c r="A350" s="15" t="n">
        <v>349</v>
      </c>
      <c r="B350" s="15" t="s">
        <v>60</v>
      </c>
      <c r="C350" s="15" t="s">
        <v>519</v>
      </c>
      <c r="D350" s="15" t="s">
        <v>521</v>
      </c>
      <c r="E350" s="16" t="s">
        <v>40</v>
      </c>
      <c r="F350" s="15" t="s">
        <v>95</v>
      </c>
      <c r="G350" s="17" t="s">
        <v>85</v>
      </c>
      <c r="H350" s="16" t="s">
        <v>86</v>
      </c>
      <c r="I350" s="15"/>
      <c r="J350" s="15"/>
      <c r="K350" s="18"/>
      <c r="L350" s="15"/>
    </row>
    <row r="351" customFormat="false" ht="15" hidden="false" customHeight="false" outlineLevel="0" collapsed="false">
      <c r="A351" s="15" t="n">
        <v>350</v>
      </c>
      <c r="B351" s="15" t="s">
        <v>60</v>
      </c>
      <c r="C351" s="15" t="s">
        <v>522</v>
      </c>
      <c r="D351" s="15" t="s">
        <v>523</v>
      </c>
      <c r="E351" s="16" t="s">
        <v>40</v>
      </c>
      <c r="F351" s="15" t="s">
        <v>95</v>
      </c>
      <c r="G351" s="17" t="s">
        <v>85</v>
      </c>
      <c r="H351" s="16" t="s">
        <v>86</v>
      </c>
      <c r="I351" s="15"/>
      <c r="J351" s="15"/>
      <c r="K351" s="18"/>
      <c r="L351" s="15"/>
    </row>
    <row r="352" customFormat="false" ht="15" hidden="false" customHeight="false" outlineLevel="0" collapsed="false">
      <c r="A352" s="15" t="n">
        <v>351</v>
      </c>
      <c r="B352" s="15" t="s">
        <v>60</v>
      </c>
      <c r="C352" s="15" t="s">
        <v>522</v>
      </c>
      <c r="D352" s="15" t="s">
        <v>524</v>
      </c>
      <c r="E352" s="16" t="s">
        <v>40</v>
      </c>
      <c r="F352" s="15" t="s">
        <v>95</v>
      </c>
      <c r="G352" s="17" t="s">
        <v>85</v>
      </c>
      <c r="H352" s="16" t="s">
        <v>86</v>
      </c>
      <c r="I352" s="15"/>
      <c r="J352" s="15"/>
      <c r="K352" s="18"/>
      <c r="L352" s="15"/>
    </row>
    <row r="353" customFormat="false" ht="15" hidden="false" customHeight="false" outlineLevel="0" collapsed="false">
      <c r="A353" s="15" t="n">
        <v>352</v>
      </c>
      <c r="B353" s="15" t="s">
        <v>60</v>
      </c>
      <c r="C353" s="15" t="s">
        <v>522</v>
      </c>
      <c r="D353" s="15" t="s">
        <v>525</v>
      </c>
      <c r="E353" s="16" t="s">
        <v>40</v>
      </c>
      <c r="F353" s="15" t="s">
        <v>95</v>
      </c>
      <c r="G353" s="17" t="s">
        <v>85</v>
      </c>
      <c r="H353" s="16" t="s">
        <v>86</v>
      </c>
      <c r="I353" s="15"/>
      <c r="J353" s="15"/>
      <c r="K353" s="18"/>
      <c r="L353" s="15"/>
    </row>
    <row r="354" customFormat="false" ht="15" hidden="false" customHeight="false" outlineLevel="0" collapsed="false">
      <c r="A354" s="15" t="n">
        <v>353</v>
      </c>
      <c r="B354" s="15" t="s">
        <v>60</v>
      </c>
      <c r="C354" s="15" t="s">
        <v>323</v>
      </c>
      <c r="D354" s="15" t="s">
        <v>526</v>
      </c>
      <c r="E354" s="16" t="s">
        <v>40</v>
      </c>
      <c r="F354" s="15" t="s">
        <v>95</v>
      </c>
      <c r="G354" s="17" t="s">
        <v>85</v>
      </c>
      <c r="H354" s="16" t="s">
        <v>86</v>
      </c>
      <c r="I354" s="15"/>
      <c r="J354" s="15"/>
      <c r="K354" s="18"/>
      <c r="L354" s="15"/>
    </row>
    <row r="355" customFormat="false" ht="15" hidden="false" customHeight="false" outlineLevel="0" collapsed="false">
      <c r="A355" s="15" t="n">
        <v>354</v>
      </c>
      <c r="B355" s="15" t="s">
        <v>60</v>
      </c>
      <c r="C355" s="15" t="s">
        <v>323</v>
      </c>
      <c r="D355" s="15" t="s">
        <v>527</v>
      </c>
      <c r="E355" s="16" t="s">
        <v>40</v>
      </c>
      <c r="F355" s="15" t="s">
        <v>95</v>
      </c>
      <c r="G355" s="17" t="s">
        <v>85</v>
      </c>
      <c r="H355" s="16" t="s">
        <v>86</v>
      </c>
      <c r="I355" s="15"/>
      <c r="J355" s="15"/>
      <c r="K355" s="18"/>
      <c r="L355" s="15"/>
    </row>
    <row r="356" customFormat="false" ht="15" hidden="false" customHeight="false" outlineLevel="0" collapsed="false">
      <c r="A356" s="15" t="n">
        <v>355</v>
      </c>
      <c r="B356" s="15" t="s">
        <v>60</v>
      </c>
      <c r="C356" s="15" t="s">
        <v>323</v>
      </c>
      <c r="D356" s="15" t="s">
        <v>528</v>
      </c>
      <c r="E356" s="16" t="s">
        <v>39</v>
      </c>
      <c r="F356" s="15" t="s">
        <v>95</v>
      </c>
      <c r="G356" s="17" t="s">
        <v>85</v>
      </c>
      <c r="H356" s="16" t="s">
        <v>86</v>
      </c>
      <c r="I356" s="15"/>
      <c r="J356" s="15"/>
      <c r="K356" s="18"/>
      <c r="L356" s="15"/>
    </row>
    <row r="357" customFormat="false" ht="15" hidden="false" customHeight="false" outlineLevel="0" collapsed="false">
      <c r="A357" s="15" t="n">
        <v>356</v>
      </c>
      <c r="B357" s="15" t="s">
        <v>60</v>
      </c>
      <c r="C357" s="15" t="s">
        <v>323</v>
      </c>
      <c r="D357" s="15" t="s">
        <v>529</v>
      </c>
      <c r="E357" s="16" t="s">
        <v>40</v>
      </c>
      <c r="F357" s="15" t="s">
        <v>95</v>
      </c>
      <c r="G357" s="17" t="s">
        <v>85</v>
      </c>
      <c r="H357" s="16" t="s">
        <v>86</v>
      </c>
      <c r="I357" s="15"/>
      <c r="J357" s="15"/>
      <c r="K357" s="18"/>
      <c r="L357" s="15"/>
    </row>
    <row r="358" customFormat="false" ht="15" hidden="false" customHeight="false" outlineLevel="0" collapsed="false">
      <c r="A358" s="15" t="n">
        <v>357</v>
      </c>
      <c r="B358" s="15" t="s">
        <v>60</v>
      </c>
      <c r="C358" s="15" t="s">
        <v>530</v>
      </c>
      <c r="D358" s="15" t="s">
        <v>531</v>
      </c>
      <c r="E358" s="16" t="s">
        <v>41</v>
      </c>
      <c r="F358" s="15" t="s">
        <v>95</v>
      </c>
      <c r="G358" s="17" t="s">
        <v>85</v>
      </c>
      <c r="H358" s="16" t="s">
        <v>86</v>
      </c>
      <c r="I358" s="15"/>
      <c r="J358" s="15"/>
      <c r="K358" s="18"/>
      <c r="L358" s="15"/>
    </row>
    <row r="359" customFormat="false" ht="15" hidden="false" customHeight="false" outlineLevel="0" collapsed="false">
      <c r="A359" s="15" t="n">
        <v>358</v>
      </c>
      <c r="B359" s="15" t="s">
        <v>60</v>
      </c>
      <c r="C359" s="15" t="s">
        <v>532</v>
      </c>
      <c r="D359" s="15" t="s">
        <v>533</v>
      </c>
      <c r="E359" s="16" t="s">
        <v>39</v>
      </c>
      <c r="F359" s="15" t="s">
        <v>95</v>
      </c>
      <c r="G359" s="17" t="s">
        <v>85</v>
      </c>
      <c r="H359" s="16" t="s">
        <v>86</v>
      </c>
      <c r="I359" s="15"/>
      <c r="J359" s="15"/>
      <c r="K359" s="18"/>
      <c r="L359" s="15"/>
    </row>
    <row r="360" customFormat="false" ht="15" hidden="false" customHeight="false" outlineLevel="0" collapsed="false">
      <c r="A360" s="15" t="n">
        <v>359</v>
      </c>
      <c r="B360" s="15" t="s">
        <v>60</v>
      </c>
      <c r="C360" s="15" t="s">
        <v>532</v>
      </c>
      <c r="D360" s="15" t="s">
        <v>534</v>
      </c>
      <c r="E360" s="16" t="s">
        <v>40</v>
      </c>
      <c r="F360" s="15" t="s">
        <v>95</v>
      </c>
      <c r="G360" s="17" t="s">
        <v>85</v>
      </c>
      <c r="H360" s="16" t="s">
        <v>86</v>
      </c>
      <c r="I360" s="15"/>
      <c r="J360" s="15"/>
      <c r="K360" s="18"/>
      <c r="L360" s="15"/>
    </row>
    <row r="361" customFormat="false" ht="15" hidden="false" customHeight="false" outlineLevel="0" collapsed="false">
      <c r="A361" s="15" t="n">
        <v>360</v>
      </c>
      <c r="B361" s="15" t="s">
        <v>60</v>
      </c>
      <c r="C361" s="15" t="s">
        <v>532</v>
      </c>
      <c r="D361" s="15" t="s">
        <v>535</v>
      </c>
      <c r="E361" s="16" t="s">
        <v>40</v>
      </c>
      <c r="F361" s="15" t="s">
        <v>95</v>
      </c>
      <c r="G361" s="17" t="s">
        <v>85</v>
      </c>
      <c r="H361" s="16" t="s">
        <v>86</v>
      </c>
      <c r="I361" s="15"/>
      <c r="J361" s="15"/>
      <c r="K361" s="18"/>
      <c r="L361" s="15"/>
    </row>
    <row r="362" customFormat="false" ht="15" hidden="false" customHeight="false" outlineLevel="0" collapsed="false">
      <c r="A362" s="15" t="n">
        <v>361</v>
      </c>
      <c r="B362" s="15" t="s">
        <v>60</v>
      </c>
      <c r="C362" s="15" t="s">
        <v>532</v>
      </c>
      <c r="D362" s="15" t="s">
        <v>536</v>
      </c>
      <c r="E362" s="16" t="s">
        <v>39</v>
      </c>
      <c r="F362" s="15" t="s">
        <v>95</v>
      </c>
      <c r="G362" s="17" t="s">
        <v>85</v>
      </c>
      <c r="H362" s="16" t="s">
        <v>86</v>
      </c>
      <c r="I362" s="15"/>
      <c r="J362" s="15"/>
      <c r="K362" s="18"/>
      <c r="L362" s="15"/>
    </row>
    <row r="363" customFormat="false" ht="15" hidden="false" customHeight="false" outlineLevel="0" collapsed="false">
      <c r="A363" s="15" t="n">
        <v>362</v>
      </c>
      <c r="B363" s="15" t="s">
        <v>60</v>
      </c>
      <c r="C363" s="15" t="s">
        <v>537</v>
      </c>
      <c r="D363" s="15" t="s">
        <v>538</v>
      </c>
      <c r="E363" s="16" t="s">
        <v>40</v>
      </c>
      <c r="F363" s="15" t="s">
        <v>95</v>
      </c>
      <c r="G363" s="17" t="s">
        <v>85</v>
      </c>
      <c r="H363" s="16" t="s">
        <v>86</v>
      </c>
      <c r="I363" s="15"/>
      <c r="J363" s="15"/>
      <c r="K363" s="18"/>
      <c r="L363" s="15"/>
    </row>
    <row r="364" customFormat="false" ht="15" hidden="false" customHeight="false" outlineLevel="0" collapsed="false">
      <c r="A364" s="15" t="n">
        <v>363</v>
      </c>
      <c r="B364" s="15" t="s">
        <v>60</v>
      </c>
      <c r="C364" s="15" t="s">
        <v>537</v>
      </c>
      <c r="D364" s="15" t="s">
        <v>539</v>
      </c>
      <c r="E364" s="16" t="s">
        <v>40</v>
      </c>
      <c r="F364" s="15" t="s">
        <v>95</v>
      </c>
      <c r="G364" s="17" t="s">
        <v>85</v>
      </c>
      <c r="H364" s="16" t="s">
        <v>86</v>
      </c>
      <c r="I364" s="15"/>
      <c r="J364" s="15"/>
      <c r="K364" s="18"/>
      <c r="L364" s="15"/>
    </row>
    <row r="365" customFormat="false" ht="15" hidden="false" customHeight="false" outlineLevel="0" collapsed="false">
      <c r="A365" s="15" t="n">
        <v>364</v>
      </c>
      <c r="B365" s="15" t="s">
        <v>60</v>
      </c>
      <c r="C365" s="15" t="s">
        <v>537</v>
      </c>
      <c r="D365" s="15" t="s">
        <v>540</v>
      </c>
      <c r="E365" s="16" t="s">
        <v>39</v>
      </c>
      <c r="F365" s="15" t="s">
        <v>95</v>
      </c>
      <c r="G365" s="17" t="s">
        <v>85</v>
      </c>
      <c r="H365" s="16" t="s">
        <v>86</v>
      </c>
      <c r="I365" s="15"/>
      <c r="J365" s="15"/>
      <c r="K365" s="18"/>
      <c r="L365" s="15"/>
    </row>
    <row r="366" customFormat="false" ht="15" hidden="false" customHeight="false" outlineLevel="0" collapsed="false">
      <c r="A366" s="15" t="n">
        <v>365</v>
      </c>
      <c r="B366" s="15" t="s">
        <v>60</v>
      </c>
      <c r="C366" s="15" t="s">
        <v>537</v>
      </c>
      <c r="D366" s="15" t="s">
        <v>541</v>
      </c>
      <c r="E366" s="16" t="s">
        <v>40</v>
      </c>
      <c r="F366" s="15" t="s">
        <v>95</v>
      </c>
      <c r="G366" s="17" t="s">
        <v>85</v>
      </c>
      <c r="H366" s="16" t="s">
        <v>86</v>
      </c>
      <c r="I366" s="15"/>
      <c r="J366" s="15"/>
      <c r="K366" s="18"/>
      <c r="L366" s="15"/>
    </row>
    <row r="367" customFormat="false" ht="15" hidden="false" customHeight="false" outlineLevel="0" collapsed="false">
      <c r="A367" s="15" t="n">
        <v>366</v>
      </c>
      <c r="B367" s="15" t="s">
        <v>60</v>
      </c>
      <c r="C367" s="15" t="s">
        <v>537</v>
      </c>
      <c r="D367" s="15" t="s">
        <v>542</v>
      </c>
      <c r="E367" s="16" t="s">
        <v>40</v>
      </c>
      <c r="F367" s="15" t="s">
        <v>95</v>
      </c>
      <c r="G367" s="17" t="s">
        <v>85</v>
      </c>
      <c r="H367" s="16" t="s">
        <v>86</v>
      </c>
      <c r="I367" s="15"/>
      <c r="J367" s="15"/>
      <c r="K367" s="18"/>
      <c r="L367" s="15"/>
    </row>
    <row r="368" customFormat="false" ht="15" hidden="false" customHeight="false" outlineLevel="0" collapsed="false">
      <c r="A368" s="15" t="n">
        <v>367</v>
      </c>
      <c r="B368" s="15" t="s">
        <v>60</v>
      </c>
      <c r="C368" s="15" t="s">
        <v>537</v>
      </c>
      <c r="D368" s="15" t="s">
        <v>543</v>
      </c>
      <c r="E368" s="16" t="s">
        <v>40</v>
      </c>
      <c r="F368" s="15" t="s">
        <v>84</v>
      </c>
      <c r="G368" s="17" t="s">
        <v>85</v>
      </c>
      <c r="H368" s="16" t="s">
        <v>86</v>
      </c>
      <c r="I368" s="15"/>
      <c r="J368" s="15"/>
      <c r="K368" s="18"/>
      <c r="L368" s="15"/>
    </row>
    <row r="369" customFormat="false" ht="15" hidden="false" customHeight="false" outlineLevel="0" collapsed="false">
      <c r="A369" s="15" t="n">
        <v>368</v>
      </c>
      <c r="B369" s="15" t="s">
        <v>60</v>
      </c>
      <c r="C369" s="15" t="s">
        <v>537</v>
      </c>
      <c r="D369" s="15" t="s">
        <v>544</v>
      </c>
      <c r="E369" s="16" t="s">
        <v>41</v>
      </c>
      <c r="F369" s="15" t="s">
        <v>84</v>
      </c>
      <c r="G369" s="17" t="s">
        <v>85</v>
      </c>
      <c r="H369" s="16" t="s">
        <v>86</v>
      </c>
      <c r="I369" s="15"/>
      <c r="J369" s="15"/>
      <c r="K369" s="18"/>
      <c r="L369" s="15"/>
    </row>
    <row r="370" customFormat="false" ht="15" hidden="false" customHeight="false" outlineLevel="0" collapsed="false">
      <c r="A370" s="15" t="n">
        <v>369</v>
      </c>
      <c r="B370" s="15" t="s">
        <v>61</v>
      </c>
      <c r="C370" s="15" t="s">
        <v>361</v>
      </c>
      <c r="D370" s="15" t="s">
        <v>545</v>
      </c>
      <c r="E370" s="16" t="s">
        <v>40</v>
      </c>
      <c r="F370" s="15" t="s">
        <v>95</v>
      </c>
      <c r="G370" s="17" t="s">
        <v>85</v>
      </c>
      <c r="H370" s="16" t="s">
        <v>86</v>
      </c>
      <c r="I370" s="15"/>
      <c r="J370" s="15"/>
      <c r="K370" s="18"/>
      <c r="L370" s="15"/>
    </row>
    <row r="371" customFormat="false" ht="15" hidden="false" customHeight="false" outlineLevel="0" collapsed="false">
      <c r="A371" s="15" t="n">
        <v>370</v>
      </c>
      <c r="B371" s="15" t="s">
        <v>61</v>
      </c>
      <c r="C371" s="15" t="s">
        <v>361</v>
      </c>
      <c r="D371" s="15" t="s">
        <v>546</v>
      </c>
      <c r="E371" s="16" t="s">
        <v>40</v>
      </c>
      <c r="F371" s="15" t="s">
        <v>95</v>
      </c>
      <c r="G371" s="17" t="s">
        <v>85</v>
      </c>
      <c r="H371" s="16" t="s">
        <v>86</v>
      </c>
      <c r="I371" s="15"/>
      <c r="J371" s="15"/>
      <c r="K371" s="18"/>
      <c r="L371" s="15"/>
    </row>
    <row r="372" customFormat="false" ht="15" hidden="false" customHeight="false" outlineLevel="0" collapsed="false">
      <c r="A372" s="15" t="n">
        <v>371</v>
      </c>
      <c r="B372" s="15" t="s">
        <v>61</v>
      </c>
      <c r="C372" s="15" t="s">
        <v>361</v>
      </c>
      <c r="D372" s="15" t="s">
        <v>547</v>
      </c>
      <c r="E372" s="16" t="s">
        <v>40</v>
      </c>
      <c r="F372" s="15" t="s">
        <v>95</v>
      </c>
      <c r="G372" s="17" t="s">
        <v>85</v>
      </c>
      <c r="H372" s="16" t="s">
        <v>86</v>
      </c>
      <c r="I372" s="15"/>
      <c r="J372" s="15"/>
      <c r="K372" s="18"/>
      <c r="L372" s="15"/>
    </row>
    <row r="373" customFormat="false" ht="15" hidden="false" customHeight="false" outlineLevel="0" collapsed="false">
      <c r="A373" s="15" t="n">
        <v>372</v>
      </c>
      <c r="B373" s="15" t="s">
        <v>61</v>
      </c>
      <c r="C373" s="15" t="s">
        <v>361</v>
      </c>
      <c r="D373" s="15" t="s">
        <v>548</v>
      </c>
      <c r="E373" s="16" t="s">
        <v>40</v>
      </c>
      <c r="F373" s="15" t="s">
        <v>84</v>
      </c>
      <c r="G373" s="17" t="s">
        <v>85</v>
      </c>
      <c r="H373" s="16" t="s">
        <v>86</v>
      </c>
      <c r="I373" s="15"/>
      <c r="J373" s="15"/>
      <c r="K373" s="18"/>
      <c r="L373" s="15"/>
    </row>
    <row r="374" customFormat="false" ht="15" hidden="false" customHeight="false" outlineLevel="0" collapsed="false">
      <c r="A374" s="15" t="n">
        <v>373</v>
      </c>
      <c r="B374" s="15" t="s">
        <v>61</v>
      </c>
      <c r="C374" s="15" t="s">
        <v>549</v>
      </c>
      <c r="D374" s="15" t="s">
        <v>550</v>
      </c>
      <c r="E374" s="16" t="s">
        <v>40</v>
      </c>
      <c r="F374" s="15" t="s">
        <v>95</v>
      </c>
      <c r="G374" s="17" t="s">
        <v>85</v>
      </c>
      <c r="H374" s="16" t="s">
        <v>86</v>
      </c>
      <c r="I374" s="15"/>
      <c r="J374" s="15"/>
      <c r="K374" s="18"/>
      <c r="L374" s="15"/>
    </row>
    <row r="375" customFormat="false" ht="15" hidden="false" customHeight="false" outlineLevel="0" collapsed="false">
      <c r="A375" s="15" t="n">
        <v>374</v>
      </c>
      <c r="B375" s="15" t="s">
        <v>61</v>
      </c>
      <c r="C375" s="15" t="s">
        <v>549</v>
      </c>
      <c r="D375" s="15" t="s">
        <v>551</v>
      </c>
      <c r="E375" s="16" t="s">
        <v>40</v>
      </c>
      <c r="F375" s="15" t="s">
        <v>95</v>
      </c>
      <c r="G375" s="17" t="s">
        <v>85</v>
      </c>
      <c r="H375" s="16" t="s">
        <v>86</v>
      </c>
      <c r="I375" s="15"/>
      <c r="J375" s="15"/>
      <c r="K375" s="18"/>
      <c r="L375" s="15"/>
    </row>
    <row r="376" customFormat="false" ht="15" hidden="false" customHeight="false" outlineLevel="0" collapsed="false">
      <c r="A376" s="15" t="n">
        <v>375</v>
      </c>
      <c r="B376" s="15" t="s">
        <v>61</v>
      </c>
      <c r="C376" s="15" t="s">
        <v>549</v>
      </c>
      <c r="D376" s="15" t="s">
        <v>552</v>
      </c>
      <c r="E376" s="16" t="s">
        <v>40</v>
      </c>
      <c r="F376" s="15" t="s">
        <v>95</v>
      </c>
      <c r="G376" s="17" t="s">
        <v>85</v>
      </c>
      <c r="H376" s="16" t="s">
        <v>86</v>
      </c>
      <c r="I376" s="15"/>
      <c r="J376" s="15"/>
      <c r="K376" s="18"/>
      <c r="L376" s="15"/>
    </row>
    <row r="377" customFormat="false" ht="15" hidden="false" customHeight="false" outlineLevel="0" collapsed="false">
      <c r="A377" s="15" t="n">
        <v>376</v>
      </c>
      <c r="B377" s="15" t="s">
        <v>61</v>
      </c>
      <c r="C377" s="15" t="s">
        <v>553</v>
      </c>
      <c r="D377" s="15" t="s">
        <v>554</v>
      </c>
      <c r="E377" s="16" t="s">
        <v>41</v>
      </c>
      <c r="F377" s="15" t="s">
        <v>95</v>
      </c>
      <c r="G377" s="17" t="s">
        <v>85</v>
      </c>
      <c r="H377" s="16" t="s">
        <v>86</v>
      </c>
      <c r="I377" s="15"/>
      <c r="J377" s="15"/>
      <c r="K377" s="18"/>
      <c r="L377" s="15"/>
    </row>
    <row r="378" customFormat="false" ht="15" hidden="false" customHeight="false" outlineLevel="0" collapsed="false">
      <c r="A378" s="15" t="n">
        <v>377</v>
      </c>
      <c r="B378" s="15" t="s">
        <v>61</v>
      </c>
      <c r="C378" s="15" t="s">
        <v>555</v>
      </c>
      <c r="D378" s="15" t="s">
        <v>556</v>
      </c>
      <c r="E378" s="16" t="s">
        <v>40</v>
      </c>
      <c r="F378" s="15" t="s">
        <v>95</v>
      </c>
      <c r="G378" s="17" t="s">
        <v>85</v>
      </c>
      <c r="H378" s="16" t="s">
        <v>86</v>
      </c>
      <c r="I378" s="15"/>
      <c r="J378" s="15"/>
      <c r="K378" s="18"/>
      <c r="L378" s="15"/>
    </row>
    <row r="379" customFormat="false" ht="15" hidden="false" customHeight="false" outlineLevel="0" collapsed="false">
      <c r="A379" s="15" t="n">
        <v>378</v>
      </c>
      <c r="B379" s="15" t="s">
        <v>61</v>
      </c>
      <c r="C379" s="15" t="s">
        <v>481</v>
      </c>
      <c r="D379" s="15" t="s">
        <v>557</v>
      </c>
      <c r="E379" s="16" t="s">
        <v>41</v>
      </c>
      <c r="F379" s="15" t="s">
        <v>84</v>
      </c>
      <c r="G379" s="17" t="s">
        <v>85</v>
      </c>
      <c r="H379" s="16" t="s">
        <v>86</v>
      </c>
      <c r="I379" s="15"/>
      <c r="J379" s="15"/>
      <c r="K379" s="18"/>
      <c r="L379" s="15"/>
    </row>
    <row r="380" customFormat="false" ht="15" hidden="false" customHeight="false" outlineLevel="0" collapsed="false">
      <c r="A380" s="15" t="n">
        <v>379</v>
      </c>
      <c r="B380" s="15" t="s">
        <v>62</v>
      </c>
      <c r="C380" s="15" t="s">
        <v>558</v>
      </c>
      <c r="D380" s="15" t="s">
        <v>559</v>
      </c>
      <c r="E380" s="16" t="s">
        <v>39</v>
      </c>
      <c r="F380" s="15" t="s">
        <v>84</v>
      </c>
      <c r="G380" s="17" t="s">
        <v>85</v>
      </c>
      <c r="H380" s="16" t="s">
        <v>86</v>
      </c>
      <c r="I380" s="15"/>
      <c r="J380" s="15"/>
      <c r="K380" s="18"/>
      <c r="L380" s="15"/>
    </row>
    <row r="381" customFormat="false" ht="15" hidden="false" customHeight="false" outlineLevel="0" collapsed="false">
      <c r="A381" s="15" t="n">
        <v>380</v>
      </c>
      <c r="B381" s="15" t="s">
        <v>62</v>
      </c>
      <c r="C381" s="15" t="s">
        <v>311</v>
      </c>
      <c r="D381" s="15" t="s">
        <v>560</v>
      </c>
      <c r="E381" s="16" t="s">
        <v>39</v>
      </c>
      <c r="F381" s="15" t="s">
        <v>84</v>
      </c>
      <c r="G381" s="17" t="s">
        <v>85</v>
      </c>
      <c r="H381" s="16" t="s">
        <v>86</v>
      </c>
      <c r="I381" s="15"/>
      <c r="J381" s="15"/>
      <c r="K381" s="18"/>
      <c r="L381" s="15"/>
    </row>
    <row r="382" customFormat="false" ht="15" hidden="false" customHeight="false" outlineLevel="0" collapsed="false">
      <c r="A382" s="15" t="n">
        <v>381</v>
      </c>
      <c r="B382" s="15" t="s">
        <v>62</v>
      </c>
      <c r="C382" s="15" t="s">
        <v>311</v>
      </c>
      <c r="D382" s="15" t="s">
        <v>561</v>
      </c>
      <c r="E382" s="16" t="s">
        <v>39</v>
      </c>
      <c r="F382" s="15" t="s">
        <v>84</v>
      </c>
      <c r="G382" s="17" t="s">
        <v>85</v>
      </c>
      <c r="H382" s="16" t="s">
        <v>86</v>
      </c>
      <c r="I382" s="15"/>
      <c r="J382" s="15"/>
      <c r="K382" s="18"/>
      <c r="L382" s="15"/>
    </row>
    <row r="383" customFormat="false" ht="15" hidden="false" customHeight="false" outlineLevel="0" collapsed="false">
      <c r="A383" s="15" t="n">
        <v>382</v>
      </c>
      <c r="B383" s="15" t="s">
        <v>62</v>
      </c>
      <c r="C383" s="15" t="s">
        <v>311</v>
      </c>
      <c r="D383" s="15" t="s">
        <v>562</v>
      </c>
      <c r="E383" s="16" t="s">
        <v>40</v>
      </c>
      <c r="F383" s="15" t="s">
        <v>95</v>
      </c>
      <c r="G383" s="17" t="s">
        <v>85</v>
      </c>
      <c r="H383" s="16" t="s">
        <v>86</v>
      </c>
      <c r="I383" s="15"/>
      <c r="J383" s="15"/>
      <c r="K383" s="18"/>
      <c r="L383" s="15"/>
    </row>
    <row r="384" customFormat="false" ht="15" hidden="false" customHeight="false" outlineLevel="0" collapsed="false">
      <c r="A384" s="15" t="n">
        <v>383</v>
      </c>
      <c r="B384" s="15" t="s">
        <v>62</v>
      </c>
      <c r="C384" s="15" t="s">
        <v>563</v>
      </c>
      <c r="D384" s="15" t="s">
        <v>564</v>
      </c>
      <c r="E384" s="16" t="s">
        <v>40</v>
      </c>
      <c r="F384" s="15" t="s">
        <v>95</v>
      </c>
      <c r="G384" s="17" t="s">
        <v>85</v>
      </c>
      <c r="H384" s="16" t="s">
        <v>86</v>
      </c>
      <c r="I384" s="15"/>
      <c r="J384" s="15"/>
      <c r="K384" s="18"/>
      <c r="L384" s="15"/>
    </row>
    <row r="385" customFormat="false" ht="15" hidden="false" customHeight="false" outlineLevel="0" collapsed="false">
      <c r="A385" s="15" t="n">
        <v>384</v>
      </c>
      <c r="B385" s="15" t="s">
        <v>62</v>
      </c>
      <c r="C385" s="15" t="s">
        <v>563</v>
      </c>
      <c r="D385" s="15" t="s">
        <v>565</v>
      </c>
      <c r="E385" s="16" t="s">
        <v>40</v>
      </c>
      <c r="F385" s="15" t="s">
        <v>95</v>
      </c>
      <c r="G385" s="17" t="s">
        <v>85</v>
      </c>
      <c r="H385" s="16" t="s">
        <v>86</v>
      </c>
      <c r="I385" s="15"/>
      <c r="J385" s="15"/>
      <c r="K385" s="18"/>
      <c r="L385" s="15"/>
    </row>
    <row r="386" customFormat="false" ht="15" hidden="false" customHeight="false" outlineLevel="0" collapsed="false">
      <c r="A386" s="15" t="n">
        <v>385</v>
      </c>
      <c r="B386" s="15" t="s">
        <v>62</v>
      </c>
      <c r="C386" s="15" t="s">
        <v>563</v>
      </c>
      <c r="D386" s="15" t="s">
        <v>566</v>
      </c>
      <c r="E386" s="16" t="s">
        <v>39</v>
      </c>
      <c r="F386" s="15" t="s">
        <v>95</v>
      </c>
      <c r="G386" s="17" t="s">
        <v>85</v>
      </c>
      <c r="H386" s="16" t="s">
        <v>86</v>
      </c>
      <c r="I386" s="15"/>
      <c r="J386" s="15"/>
      <c r="K386" s="18"/>
      <c r="L386" s="15"/>
    </row>
    <row r="387" customFormat="false" ht="15" hidden="false" customHeight="false" outlineLevel="0" collapsed="false">
      <c r="A387" s="15" t="n">
        <v>386</v>
      </c>
      <c r="B387" s="15" t="s">
        <v>62</v>
      </c>
      <c r="C387" s="15" t="s">
        <v>563</v>
      </c>
      <c r="D387" s="15" t="s">
        <v>567</v>
      </c>
      <c r="E387" s="16" t="s">
        <v>40</v>
      </c>
      <c r="F387" s="15" t="s">
        <v>95</v>
      </c>
      <c r="G387" s="17" t="s">
        <v>85</v>
      </c>
      <c r="H387" s="16" t="s">
        <v>86</v>
      </c>
      <c r="I387" s="15"/>
      <c r="J387" s="15"/>
      <c r="K387" s="18"/>
      <c r="L387" s="15"/>
    </row>
    <row r="388" customFormat="false" ht="15" hidden="false" customHeight="false" outlineLevel="0" collapsed="false">
      <c r="A388" s="15" t="n">
        <v>387</v>
      </c>
      <c r="B388" s="15" t="s">
        <v>62</v>
      </c>
      <c r="C388" s="15" t="s">
        <v>563</v>
      </c>
      <c r="D388" s="15" t="s">
        <v>568</v>
      </c>
      <c r="E388" s="16" t="s">
        <v>40</v>
      </c>
      <c r="F388" s="15" t="s">
        <v>95</v>
      </c>
      <c r="G388" s="17" t="s">
        <v>85</v>
      </c>
      <c r="H388" s="16" t="s">
        <v>86</v>
      </c>
      <c r="I388" s="15"/>
      <c r="J388" s="15"/>
      <c r="K388" s="18"/>
      <c r="L388" s="15"/>
    </row>
    <row r="389" customFormat="false" ht="15" hidden="false" customHeight="false" outlineLevel="0" collapsed="false">
      <c r="A389" s="15" t="n">
        <v>388</v>
      </c>
      <c r="B389" s="15" t="s">
        <v>62</v>
      </c>
      <c r="C389" s="15" t="s">
        <v>563</v>
      </c>
      <c r="D389" s="15" t="s">
        <v>569</v>
      </c>
      <c r="E389" s="16" t="s">
        <v>40</v>
      </c>
      <c r="F389" s="15" t="s">
        <v>84</v>
      </c>
      <c r="G389" s="17" t="s">
        <v>85</v>
      </c>
      <c r="H389" s="16" t="s">
        <v>86</v>
      </c>
      <c r="I389" s="15"/>
      <c r="J389" s="15"/>
      <c r="K389" s="18"/>
      <c r="L389" s="15"/>
    </row>
    <row r="390" customFormat="false" ht="15" hidden="false" customHeight="false" outlineLevel="0" collapsed="false">
      <c r="A390" s="15" t="n">
        <v>389</v>
      </c>
      <c r="B390" s="15" t="s">
        <v>62</v>
      </c>
      <c r="C390" s="15" t="s">
        <v>563</v>
      </c>
      <c r="D390" s="15" t="s">
        <v>570</v>
      </c>
      <c r="E390" s="16" t="s">
        <v>40</v>
      </c>
      <c r="F390" s="15" t="s">
        <v>95</v>
      </c>
      <c r="G390" s="17" t="s">
        <v>85</v>
      </c>
      <c r="H390" s="16" t="s">
        <v>86</v>
      </c>
      <c r="I390" s="15"/>
      <c r="J390" s="15"/>
      <c r="K390" s="18"/>
      <c r="L390" s="15"/>
    </row>
    <row r="391" customFormat="false" ht="15" hidden="false" customHeight="false" outlineLevel="0" collapsed="false">
      <c r="A391" s="15" t="n">
        <v>390</v>
      </c>
      <c r="B391" s="15" t="s">
        <v>62</v>
      </c>
      <c r="C391" s="15" t="s">
        <v>571</v>
      </c>
      <c r="D391" s="15" t="s">
        <v>572</v>
      </c>
      <c r="E391" s="16" t="s">
        <v>40</v>
      </c>
      <c r="F391" s="15" t="s">
        <v>95</v>
      </c>
      <c r="G391" s="17" t="s">
        <v>85</v>
      </c>
      <c r="H391" s="16" t="s">
        <v>86</v>
      </c>
      <c r="I391" s="15"/>
      <c r="J391" s="15"/>
      <c r="K391" s="18"/>
      <c r="L391" s="15"/>
    </row>
    <row r="392" customFormat="false" ht="15" hidden="false" customHeight="false" outlineLevel="0" collapsed="false">
      <c r="A392" s="15" t="n">
        <v>391</v>
      </c>
      <c r="B392" s="15" t="s">
        <v>62</v>
      </c>
      <c r="C392" s="15" t="s">
        <v>571</v>
      </c>
      <c r="D392" s="15" t="s">
        <v>573</v>
      </c>
      <c r="E392" s="16" t="s">
        <v>40</v>
      </c>
      <c r="F392" s="15" t="s">
        <v>95</v>
      </c>
      <c r="G392" s="17" t="s">
        <v>85</v>
      </c>
      <c r="H392" s="16" t="s">
        <v>86</v>
      </c>
      <c r="I392" s="15"/>
      <c r="J392" s="15"/>
      <c r="K392" s="18"/>
      <c r="L392" s="15"/>
    </row>
    <row r="393" customFormat="false" ht="15" hidden="false" customHeight="false" outlineLevel="0" collapsed="false">
      <c r="A393" s="15" t="n">
        <v>392</v>
      </c>
      <c r="B393" s="15" t="s">
        <v>62</v>
      </c>
      <c r="C393" s="15" t="s">
        <v>574</v>
      </c>
      <c r="D393" s="15" t="s">
        <v>575</v>
      </c>
      <c r="E393" s="16" t="s">
        <v>40</v>
      </c>
      <c r="F393" s="15" t="s">
        <v>95</v>
      </c>
      <c r="G393" s="17" t="s">
        <v>85</v>
      </c>
      <c r="H393" s="16" t="s">
        <v>86</v>
      </c>
      <c r="I393" s="15"/>
      <c r="J393" s="15"/>
      <c r="K393" s="18"/>
      <c r="L393" s="15"/>
    </row>
    <row r="394" customFormat="false" ht="15" hidden="false" customHeight="false" outlineLevel="0" collapsed="false">
      <c r="A394" s="15" t="n">
        <v>393</v>
      </c>
      <c r="B394" s="15" t="s">
        <v>62</v>
      </c>
      <c r="C394" s="15" t="s">
        <v>574</v>
      </c>
      <c r="D394" s="15" t="s">
        <v>576</v>
      </c>
      <c r="E394" s="16" t="s">
        <v>40</v>
      </c>
      <c r="F394" s="15" t="s">
        <v>84</v>
      </c>
      <c r="G394" s="17" t="s">
        <v>85</v>
      </c>
      <c r="H394" s="16" t="s">
        <v>86</v>
      </c>
      <c r="I394" s="15"/>
      <c r="J394" s="15"/>
      <c r="K394" s="18"/>
      <c r="L394" s="15"/>
    </row>
    <row r="395" customFormat="false" ht="15" hidden="false" customHeight="false" outlineLevel="0" collapsed="false">
      <c r="A395" s="15" t="n">
        <v>394</v>
      </c>
      <c r="B395" s="15" t="s">
        <v>62</v>
      </c>
      <c r="C395" s="15" t="s">
        <v>574</v>
      </c>
      <c r="D395" s="15" t="s">
        <v>577</v>
      </c>
      <c r="E395" s="16" t="s">
        <v>41</v>
      </c>
      <c r="F395" s="15" t="s">
        <v>95</v>
      </c>
      <c r="G395" s="17" t="s">
        <v>85</v>
      </c>
      <c r="H395" s="16" t="s">
        <v>86</v>
      </c>
      <c r="I395" s="15"/>
      <c r="J395" s="15"/>
      <c r="K395" s="18"/>
      <c r="L395" s="15"/>
    </row>
    <row r="396" customFormat="false" ht="15" hidden="false" customHeight="false" outlineLevel="0" collapsed="false">
      <c r="A396" s="15" t="n">
        <v>395</v>
      </c>
      <c r="B396" s="15" t="s">
        <v>62</v>
      </c>
      <c r="C396" s="15" t="s">
        <v>574</v>
      </c>
      <c r="D396" s="15" t="s">
        <v>578</v>
      </c>
      <c r="E396" s="16" t="s">
        <v>41</v>
      </c>
      <c r="F396" s="15" t="s">
        <v>95</v>
      </c>
      <c r="G396" s="17" t="s">
        <v>85</v>
      </c>
      <c r="H396" s="16" t="s">
        <v>86</v>
      </c>
      <c r="I396" s="15"/>
      <c r="J396" s="15"/>
      <c r="K396" s="18"/>
      <c r="L396" s="15"/>
    </row>
    <row r="397" customFormat="false" ht="15" hidden="false" customHeight="false" outlineLevel="0" collapsed="false">
      <c r="A397" s="15" t="n">
        <v>396</v>
      </c>
      <c r="B397" s="15" t="s">
        <v>62</v>
      </c>
      <c r="C397" s="15" t="s">
        <v>574</v>
      </c>
      <c r="D397" s="15" t="s">
        <v>579</v>
      </c>
      <c r="E397" s="16" t="s">
        <v>40</v>
      </c>
      <c r="F397" s="15" t="s">
        <v>84</v>
      </c>
      <c r="G397" s="17" t="s">
        <v>85</v>
      </c>
      <c r="H397" s="16" t="s">
        <v>86</v>
      </c>
      <c r="I397" s="15"/>
      <c r="J397" s="15"/>
      <c r="K397" s="18"/>
      <c r="L397" s="15"/>
    </row>
    <row r="398" customFormat="false" ht="15" hidden="false" customHeight="false" outlineLevel="0" collapsed="false">
      <c r="A398" s="15" t="n">
        <v>397</v>
      </c>
      <c r="B398" s="15" t="s">
        <v>62</v>
      </c>
      <c r="C398" s="15" t="s">
        <v>580</v>
      </c>
      <c r="D398" s="15" t="s">
        <v>581</v>
      </c>
      <c r="E398" s="16" t="s">
        <v>40</v>
      </c>
      <c r="F398" s="15" t="s">
        <v>95</v>
      </c>
      <c r="G398" s="17" t="s">
        <v>85</v>
      </c>
      <c r="H398" s="16" t="s">
        <v>86</v>
      </c>
      <c r="I398" s="15"/>
      <c r="J398" s="15"/>
      <c r="K398" s="18"/>
      <c r="L398" s="15"/>
    </row>
    <row r="399" customFormat="false" ht="15" hidden="false" customHeight="false" outlineLevel="0" collapsed="false">
      <c r="A399" s="15" t="n">
        <v>398</v>
      </c>
      <c r="B399" s="15" t="s">
        <v>62</v>
      </c>
      <c r="C399" s="15" t="s">
        <v>300</v>
      </c>
      <c r="D399" s="15" t="s">
        <v>582</v>
      </c>
      <c r="E399" s="16" t="s">
        <v>40</v>
      </c>
      <c r="F399" s="15" t="s">
        <v>84</v>
      </c>
      <c r="G399" s="17" t="s">
        <v>85</v>
      </c>
      <c r="H399" s="16" t="s">
        <v>86</v>
      </c>
      <c r="I399" s="15"/>
      <c r="J399" s="15"/>
      <c r="K399" s="18"/>
      <c r="L399" s="15"/>
    </row>
    <row r="400" customFormat="false" ht="15" hidden="false" customHeight="false" outlineLevel="0" collapsed="false">
      <c r="A400" s="15" t="n">
        <v>399</v>
      </c>
      <c r="B400" s="15" t="s">
        <v>62</v>
      </c>
      <c r="C400" s="15" t="s">
        <v>300</v>
      </c>
      <c r="D400" s="15" t="s">
        <v>583</v>
      </c>
      <c r="E400" s="16" t="s">
        <v>40</v>
      </c>
      <c r="F400" s="15" t="s">
        <v>84</v>
      </c>
      <c r="G400" s="17" t="s">
        <v>85</v>
      </c>
      <c r="H400" s="16" t="s">
        <v>86</v>
      </c>
      <c r="I400" s="15"/>
      <c r="J400" s="15"/>
      <c r="K400" s="18"/>
      <c r="L400" s="15"/>
    </row>
    <row r="401" customFormat="false" ht="15" hidden="false" customHeight="false" outlineLevel="0" collapsed="false">
      <c r="A401" s="15" t="n">
        <v>400</v>
      </c>
      <c r="B401" s="15" t="s">
        <v>62</v>
      </c>
      <c r="C401" s="15" t="s">
        <v>300</v>
      </c>
      <c r="D401" s="15" t="s">
        <v>584</v>
      </c>
      <c r="E401" s="16" t="s">
        <v>40</v>
      </c>
      <c r="F401" s="15" t="s">
        <v>95</v>
      </c>
      <c r="G401" s="17" t="s">
        <v>85</v>
      </c>
      <c r="H401" s="16" t="s">
        <v>86</v>
      </c>
      <c r="I401" s="15"/>
      <c r="J401" s="15"/>
      <c r="K401" s="18"/>
      <c r="L401" s="15"/>
    </row>
    <row r="402" customFormat="false" ht="15" hidden="false" customHeight="false" outlineLevel="0" collapsed="false">
      <c r="A402" s="15" t="n">
        <v>401</v>
      </c>
      <c r="B402" s="15" t="s">
        <v>62</v>
      </c>
      <c r="C402" s="15" t="s">
        <v>585</v>
      </c>
      <c r="D402" s="15" t="s">
        <v>586</v>
      </c>
      <c r="E402" s="16" t="s">
        <v>40</v>
      </c>
      <c r="F402" s="15" t="s">
        <v>95</v>
      </c>
      <c r="G402" s="17" t="s">
        <v>85</v>
      </c>
      <c r="H402" s="16" t="s">
        <v>86</v>
      </c>
      <c r="I402" s="15"/>
      <c r="J402" s="15"/>
      <c r="K402" s="18"/>
      <c r="L402" s="15"/>
    </row>
    <row r="403" customFormat="false" ht="15" hidden="false" customHeight="false" outlineLevel="0" collapsed="false">
      <c r="A403" s="15" t="n">
        <v>402</v>
      </c>
      <c r="B403" s="15" t="s">
        <v>62</v>
      </c>
      <c r="C403" s="15" t="s">
        <v>587</v>
      </c>
      <c r="D403" s="15" t="s">
        <v>588</v>
      </c>
      <c r="E403" s="16" t="s">
        <v>40</v>
      </c>
      <c r="F403" s="15" t="s">
        <v>84</v>
      </c>
      <c r="G403" s="17" t="s">
        <v>85</v>
      </c>
      <c r="H403" s="16" t="s">
        <v>86</v>
      </c>
      <c r="I403" s="15"/>
      <c r="J403" s="15"/>
      <c r="K403" s="18"/>
      <c r="L403" s="15"/>
    </row>
    <row r="404" customFormat="false" ht="15" hidden="false" customHeight="false" outlineLevel="0" collapsed="false">
      <c r="A404" s="15" t="n">
        <v>403</v>
      </c>
      <c r="B404" s="15" t="s">
        <v>62</v>
      </c>
      <c r="C404" s="15" t="s">
        <v>587</v>
      </c>
      <c r="D404" s="15" t="s">
        <v>589</v>
      </c>
      <c r="E404" s="16" t="s">
        <v>40</v>
      </c>
      <c r="F404" s="15" t="s">
        <v>95</v>
      </c>
      <c r="G404" s="17" t="s">
        <v>85</v>
      </c>
      <c r="H404" s="16" t="s">
        <v>86</v>
      </c>
      <c r="I404" s="15"/>
      <c r="J404" s="15"/>
      <c r="K404" s="18"/>
      <c r="L404" s="15"/>
    </row>
    <row r="405" customFormat="false" ht="15" hidden="false" customHeight="false" outlineLevel="0" collapsed="false">
      <c r="A405" s="15" t="n">
        <v>404</v>
      </c>
      <c r="B405" s="15" t="s">
        <v>62</v>
      </c>
      <c r="C405" s="15" t="s">
        <v>587</v>
      </c>
      <c r="D405" s="15" t="s">
        <v>590</v>
      </c>
      <c r="E405" s="16" t="s">
        <v>40</v>
      </c>
      <c r="F405" s="15" t="s">
        <v>95</v>
      </c>
      <c r="G405" s="17" t="s">
        <v>85</v>
      </c>
      <c r="H405" s="16" t="s">
        <v>86</v>
      </c>
      <c r="I405" s="15"/>
      <c r="J405" s="15"/>
      <c r="K405" s="18"/>
      <c r="L405" s="15"/>
    </row>
    <row r="406" customFormat="false" ht="15" hidden="false" customHeight="false" outlineLevel="0" collapsed="false">
      <c r="A406" s="15" t="n">
        <v>405</v>
      </c>
      <c r="B406" s="15" t="s">
        <v>62</v>
      </c>
      <c r="C406" s="15" t="s">
        <v>587</v>
      </c>
      <c r="D406" s="15" t="s">
        <v>591</v>
      </c>
      <c r="E406" s="16" t="s">
        <v>41</v>
      </c>
      <c r="F406" s="15" t="s">
        <v>84</v>
      </c>
      <c r="G406" s="17" t="s">
        <v>85</v>
      </c>
      <c r="H406" s="16" t="s">
        <v>86</v>
      </c>
      <c r="I406" s="15"/>
      <c r="J406" s="15"/>
      <c r="K406" s="18"/>
      <c r="L406" s="15"/>
    </row>
    <row r="407" customFormat="false" ht="15" hidden="false" customHeight="false" outlineLevel="0" collapsed="false">
      <c r="A407" s="15" t="n">
        <v>406</v>
      </c>
      <c r="B407" s="15" t="s">
        <v>62</v>
      </c>
      <c r="C407" s="15" t="s">
        <v>587</v>
      </c>
      <c r="D407" s="15" t="s">
        <v>592</v>
      </c>
      <c r="E407" s="16" t="s">
        <v>40</v>
      </c>
      <c r="F407" s="15" t="s">
        <v>95</v>
      </c>
      <c r="G407" s="17" t="s">
        <v>85</v>
      </c>
      <c r="H407" s="16" t="s">
        <v>86</v>
      </c>
      <c r="I407" s="15"/>
      <c r="J407" s="15"/>
      <c r="K407" s="18"/>
      <c r="L407" s="15"/>
    </row>
    <row r="408" customFormat="false" ht="15" hidden="false" customHeight="false" outlineLevel="0" collapsed="false">
      <c r="A408" s="15" t="n">
        <v>407</v>
      </c>
      <c r="B408" s="15" t="s">
        <v>62</v>
      </c>
      <c r="C408" s="15" t="s">
        <v>587</v>
      </c>
      <c r="D408" s="15" t="s">
        <v>593</v>
      </c>
      <c r="E408" s="16" t="s">
        <v>40</v>
      </c>
      <c r="F408" s="15" t="s">
        <v>84</v>
      </c>
      <c r="G408" s="17" t="s">
        <v>85</v>
      </c>
      <c r="H408" s="16" t="s">
        <v>86</v>
      </c>
      <c r="I408" s="15"/>
      <c r="J408" s="15"/>
      <c r="K408" s="18"/>
      <c r="L408" s="15"/>
    </row>
    <row r="409" customFormat="false" ht="15" hidden="false" customHeight="false" outlineLevel="0" collapsed="false">
      <c r="A409" s="15" t="n">
        <v>408</v>
      </c>
      <c r="B409" s="15" t="s">
        <v>62</v>
      </c>
      <c r="C409" s="15" t="s">
        <v>594</v>
      </c>
      <c r="D409" s="15" t="s">
        <v>595</v>
      </c>
      <c r="E409" s="16" t="s">
        <v>40</v>
      </c>
      <c r="F409" s="15" t="s">
        <v>84</v>
      </c>
      <c r="G409" s="17" t="s">
        <v>85</v>
      </c>
      <c r="H409" s="16" t="s">
        <v>86</v>
      </c>
      <c r="I409" s="15"/>
      <c r="J409" s="15"/>
      <c r="K409" s="18"/>
      <c r="L409" s="15"/>
    </row>
    <row r="410" customFormat="false" ht="15" hidden="false" customHeight="false" outlineLevel="0" collapsed="false">
      <c r="A410" s="15" t="n">
        <v>409</v>
      </c>
      <c r="B410" s="15" t="s">
        <v>62</v>
      </c>
      <c r="C410" s="15" t="s">
        <v>594</v>
      </c>
      <c r="D410" s="15" t="s">
        <v>596</v>
      </c>
      <c r="E410" s="16" t="s">
        <v>40</v>
      </c>
      <c r="F410" s="15" t="s">
        <v>95</v>
      </c>
      <c r="G410" s="17" t="s">
        <v>85</v>
      </c>
      <c r="H410" s="16" t="s">
        <v>86</v>
      </c>
      <c r="I410" s="15"/>
      <c r="J410" s="15"/>
      <c r="K410" s="18"/>
      <c r="L410" s="15"/>
    </row>
    <row r="411" customFormat="false" ht="15" hidden="false" customHeight="false" outlineLevel="0" collapsed="false">
      <c r="A411" s="15" t="n">
        <v>410</v>
      </c>
      <c r="B411" s="15" t="s">
        <v>62</v>
      </c>
      <c r="C411" s="15" t="s">
        <v>594</v>
      </c>
      <c r="D411" s="15" t="s">
        <v>597</v>
      </c>
      <c r="E411" s="16" t="s">
        <v>40</v>
      </c>
      <c r="F411" s="15" t="s">
        <v>95</v>
      </c>
      <c r="G411" s="17" t="s">
        <v>85</v>
      </c>
      <c r="H411" s="16" t="s">
        <v>86</v>
      </c>
      <c r="I411" s="15"/>
      <c r="J411" s="15"/>
      <c r="K411" s="18"/>
      <c r="L411" s="15"/>
    </row>
    <row r="412" customFormat="false" ht="15" hidden="false" customHeight="false" outlineLevel="0" collapsed="false">
      <c r="A412" s="15" t="n">
        <v>411</v>
      </c>
      <c r="B412" s="15" t="s">
        <v>62</v>
      </c>
      <c r="C412" s="15" t="s">
        <v>594</v>
      </c>
      <c r="D412" s="15" t="s">
        <v>598</v>
      </c>
      <c r="E412" s="16" t="s">
        <v>41</v>
      </c>
      <c r="F412" s="15" t="s">
        <v>95</v>
      </c>
      <c r="G412" s="17" t="s">
        <v>85</v>
      </c>
      <c r="H412" s="16" t="s">
        <v>86</v>
      </c>
      <c r="I412" s="15"/>
      <c r="J412" s="15"/>
      <c r="K412" s="18"/>
      <c r="L412" s="15"/>
    </row>
    <row r="413" customFormat="false" ht="15" hidden="false" customHeight="false" outlineLevel="0" collapsed="false">
      <c r="A413" s="15" t="n">
        <v>412</v>
      </c>
      <c r="B413" s="15" t="s">
        <v>62</v>
      </c>
      <c r="C413" s="15" t="s">
        <v>594</v>
      </c>
      <c r="D413" s="15" t="s">
        <v>599</v>
      </c>
      <c r="E413" s="16" t="s">
        <v>40</v>
      </c>
      <c r="F413" s="15" t="s">
        <v>95</v>
      </c>
      <c r="G413" s="17" t="s">
        <v>85</v>
      </c>
      <c r="H413" s="16" t="s">
        <v>86</v>
      </c>
      <c r="I413" s="15"/>
      <c r="J413" s="15"/>
      <c r="K413" s="18"/>
      <c r="L413" s="15"/>
    </row>
    <row r="414" customFormat="false" ht="15" hidden="false" customHeight="false" outlineLevel="0" collapsed="false">
      <c r="A414" s="15" t="n">
        <v>413</v>
      </c>
      <c r="B414" s="15" t="s">
        <v>62</v>
      </c>
      <c r="C414" s="15" t="s">
        <v>594</v>
      </c>
      <c r="D414" s="15" t="s">
        <v>600</v>
      </c>
      <c r="E414" s="16" t="s">
        <v>40</v>
      </c>
      <c r="F414" s="15" t="s">
        <v>95</v>
      </c>
      <c r="G414" s="17" t="s">
        <v>85</v>
      </c>
      <c r="H414" s="16" t="s">
        <v>86</v>
      </c>
      <c r="I414" s="15"/>
      <c r="J414" s="15"/>
      <c r="K414" s="18"/>
      <c r="L414" s="15"/>
    </row>
    <row r="415" customFormat="false" ht="15" hidden="false" customHeight="false" outlineLevel="0" collapsed="false">
      <c r="A415" s="15" t="n">
        <v>414</v>
      </c>
      <c r="B415" s="15" t="s">
        <v>62</v>
      </c>
      <c r="C415" s="15" t="s">
        <v>601</v>
      </c>
      <c r="D415" s="15" t="s">
        <v>602</v>
      </c>
      <c r="E415" s="16" t="s">
        <v>40</v>
      </c>
      <c r="F415" s="15" t="s">
        <v>84</v>
      </c>
      <c r="G415" s="17" t="s">
        <v>85</v>
      </c>
      <c r="H415" s="16" t="s">
        <v>86</v>
      </c>
      <c r="I415" s="15"/>
      <c r="J415" s="15"/>
      <c r="K415" s="18"/>
      <c r="L415" s="15"/>
    </row>
    <row r="416" customFormat="false" ht="15" hidden="false" customHeight="false" outlineLevel="0" collapsed="false">
      <c r="A416" s="15" t="n">
        <v>415</v>
      </c>
      <c r="B416" s="15" t="s">
        <v>62</v>
      </c>
      <c r="C416" s="15" t="s">
        <v>601</v>
      </c>
      <c r="D416" s="15" t="s">
        <v>603</v>
      </c>
      <c r="E416" s="16" t="s">
        <v>40</v>
      </c>
      <c r="F416" s="15" t="s">
        <v>95</v>
      </c>
      <c r="G416" s="17" t="s">
        <v>85</v>
      </c>
      <c r="H416" s="16" t="s">
        <v>86</v>
      </c>
      <c r="I416" s="15"/>
      <c r="J416" s="15"/>
      <c r="K416" s="18"/>
      <c r="L416" s="15"/>
    </row>
    <row r="417" customFormat="false" ht="15" hidden="false" customHeight="false" outlineLevel="0" collapsed="false">
      <c r="A417" s="15" t="n">
        <v>416</v>
      </c>
      <c r="B417" s="15" t="s">
        <v>62</v>
      </c>
      <c r="C417" s="15" t="s">
        <v>604</v>
      </c>
      <c r="D417" s="15" t="s">
        <v>605</v>
      </c>
      <c r="E417" s="16" t="s">
        <v>40</v>
      </c>
      <c r="F417" s="15" t="s">
        <v>84</v>
      </c>
      <c r="G417" s="17" t="s">
        <v>85</v>
      </c>
      <c r="H417" s="16" t="s">
        <v>86</v>
      </c>
      <c r="I417" s="15"/>
      <c r="J417" s="15"/>
      <c r="K417" s="18"/>
      <c r="L417" s="15"/>
    </row>
    <row r="418" customFormat="false" ht="15" hidden="false" customHeight="false" outlineLevel="0" collapsed="false">
      <c r="A418" s="15" t="n">
        <v>417</v>
      </c>
      <c r="B418" s="15" t="s">
        <v>62</v>
      </c>
      <c r="C418" s="15" t="s">
        <v>604</v>
      </c>
      <c r="D418" s="15" t="s">
        <v>606</v>
      </c>
      <c r="E418" s="16" t="s">
        <v>40</v>
      </c>
      <c r="F418" s="15" t="s">
        <v>95</v>
      </c>
      <c r="G418" s="17" t="s">
        <v>85</v>
      </c>
      <c r="H418" s="16" t="s">
        <v>86</v>
      </c>
      <c r="I418" s="15"/>
      <c r="J418" s="15"/>
      <c r="K418" s="18"/>
      <c r="L418" s="15"/>
    </row>
    <row r="419" customFormat="false" ht="15" hidden="false" customHeight="false" outlineLevel="0" collapsed="false">
      <c r="A419" s="15" t="n">
        <v>418</v>
      </c>
      <c r="B419" s="15" t="s">
        <v>62</v>
      </c>
      <c r="C419" s="15" t="s">
        <v>607</v>
      </c>
      <c r="D419" s="15" t="s">
        <v>608</v>
      </c>
      <c r="E419" s="16" t="s">
        <v>40</v>
      </c>
      <c r="F419" s="15" t="s">
        <v>84</v>
      </c>
      <c r="G419" s="17" t="s">
        <v>85</v>
      </c>
      <c r="H419" s="16" t="s">
        <v>86</v>
      </c>
      <c r="I419" s="15"/>
      <c r="J419" s="15"/>
      <c r="K419" s="18"/>
      <c r="L419" s="15"/>
    </row>
    <row r="420" customFormat="false" ht="15" hidden="false" customHeight="false" outlineLevel="0" collapsed="false">
      <c r="A420" s="15" t="n">
        <v>419</v>
      </c>
      <c r="B420" s="15" t="s">
        <v>62</v>
      </c>
      <c r="C420" s="15" t="s">
        <v>607</v>
      </c>
      <c r="D420" s="15" t="s">
        <v>609</v>
      </c>
      <c r="E420" s="16" t="s">
        <v>40</v>
      </c>
      <c r="F420" s="15" t="s">
        <v>84</v>
      </c>
      <c r="G420" s="17" t="s">
        <v>85</v>
      </c>
      <c r="H420" s="16" t="s">
        <v>86</v>
      </c>
      <c r="I420" s="15"/>
      <c r="J420" s="15"/>
      <c r="K420" s="18"/>
      <c r="L420" s="15"/>
    </row>
    <row r="421" customFormat="false" ht="15" hidden="false" customHeight="false" outlineLevel="0" collapsed="false">
      <c r="A421" s="15" t="n">
        <v>420</v>
      </c>
      <c r="B421" s="15" t="s">
        <v>62</v>
      </c>
      <c r="C421" s="15" t="s">
        <v>607</v>
      </c>
      <c r="D421" s="15" t="s">
        <v>610</v>
      </c>
      <c r="E421" s="16" t="s">
        <v>40</v>
      </c>
      <c r="F421" s="15" t="s">
        <v>95</v>
      </c>
      <c r="G421" s="17" t="s">
        <v>85</v>
      </c>
      <c r="H421" s="16" t="s">
        <v>86</v>
      </c>
      <c r="I421" s="15"/>
      <c r="J421" s="15"/>
      <c r="K421" s="18"/>
      <c r="L421" s="15"/>
    </row>
    <row r="422" customFormat="false" ht="15" hidden="false" customHeight="false" outlineLevel="0" collapsed="false">
      <c r="A422" s="15" t="n">
        <v>421</v>
      </c>
      <c r="B422" s="15" t="s">
        <v>62</v>
      </c>
      <c r="C422" s="15" t="s">
        <v>611</v>
      </c>
      <c r="D422" s="15" t="s">
        <v>612</v>
      </c>
      <c r="E422" s="16" t="s">
        <v>40</v>
      </c>
      <c r="F422" s="15" t="s">
        <v>84</v>
      </c>
      <c r="G422" s="17" t="s">
        <v>85</v>
      </c>
      <c r="H422" s="16" t="s">
        <v>86</v>
      </c>
      <c r="I422" s="15"/>
      <c r="J422" s="15"/>
      <c r="K422" s="18"/>
      <c r="L422" s="15"/>
    </row>
    <row r="423" customFormat="false" ht="15" hidden="false" customHeight="false" outlineLevel="0" collapsed="false">
      <c r="A423" s="15" t="n">
        <v>422</v>
      </c>
      <c r="B423" s="15" t="s">
        <v>62</v>
      </c>
      <c r="C423" s="15" t="s">
        <v>611</v>
      </c>
      <c r="D423" s="15" t="s">
        <v>613</v>
      </c>
      <c r="E423" s="16" t="s">
        <v>40</v>
      </c>
      <c r="F423" s="15" t="s">
        <v>95</v>
      </c>
      <c r="G423" s="17" t="s">
        <v>85</v>
      </c>
      <c r="H423" s="16" t="s">
        <v>86</v>
      </c>
      <c r="I423" s="15"/>
      <c r="J423" s="15"/>
      <c r="K423" s="18"/>
      <c r="L423" s="15"/>
    </row>
    <row r="424" customFormat="false" ht="15" hidden="false" customHeight="false" outlineLevel="0" collapsed="false">
      <c r="A424" s="15" t="n">
        <v>423</v>
      </c>
      <c r="B424" s="15" t="s">
        <v>62</v>
      </c>
      <c r="C424" s="15" t="s">
        <v>611</v>
      </c>
      <c r="D424" s="15" t="s">
        <v>614</v>
      </c>
      <c r="E424" s="16" t="s">
        <v>40</v>
      </c>
      <c r="F424" s="15" t="s">
        <v>95</v>
      </c>
      <c r="G424" s="17" t="s">
        <v>85</v>
      </c>
      <c r="H424" s="16" t="s">
        <v>86</v>
      </c>
      <c r="I424" s="15"/>
      <c r="J424" s="15"/>
      <c r="K424" s="18"/>
      <c r="L424" s="15"/>
    </row>
    <row r="425" customFormat="false" ht="15" hidden="false" customHeight="false" outlineLevel="0" collapsed="false">
      <c r="A425" s="15" t="n">
        <v>424</v>
      </c>
      <c r="B425" s="15" t="s">
        <v>62</v>
      </c>
      <c r="C425" s="15" t="s">
        <v>611</v>
      </c>
      <c r="D425" s="15" t="s">
        <v>615</v>
      </c>
      <c r="E425" s="16" t="s">
        <v>40</v>
      </c>
      <c r="F425" s="15" t="s">
        <v>95</v>
      </c>
      <c r="G425" s="17" t="s">
        <v>85</v>
      </c>
      <c r="H425" s="16" t="s">
        <v>86</v>
      </c>
      <c r="I425" s="15"/>
      <c r="J425" s="15"/>
      <c r="K425" s="18"/>
      <c r="L425" s="15"/>
    </row>
    <row r="426" customFormat="false" ht="15" hidden="false" customHeight="false" outlineLevel="0" collapsed="false">
      <c r="A426" s="15" t="n">
        <v>425</v>
      </c>
      <c r="B426" s="15" t="s">
        <v>62</v>
      </c>
      <c r="C426" s="15" t="s">
        <v>611</v>
      </c>
      <c r="D426" s="15" t="s">
        <v>616</v>
      </c>
      <c r="E426" s="16" t="s">
        <v>40</v>
      </c>
      <c r="F426" s="15" t="s">
        <v>95</v>
      </c>
      <c r="G426" s="17" t="s">
        <v>85</v>
      </c>
      <c r="H426" s="16" t="s">
        <v>86</v>
      </c>
      <c r="I426" s="15"/>
      <c r="J426" s="15"/>
      <c r="K426" s="18"/>
      <c r="L426" s="15"/>
    </row>
    <row r="427" customFormat="false" ht="15" hidden="false" customHeight="false" outlineLevel="0" collapsed="false">
      <c r="A427" s="15" t="n">
        <v>426</v>
      </c>
      <c r="B427" s="15" t="s">
        <v>62</v>
      </c>
      <c r="C427" s="15" t="s">
        <v>611</v>
      </c>
      <c r="D427" s="15" t="s">
        <v>617</v>
      </c>
      <c r="E427" s="16" t="s">
        <v>40</v>
      </c>
      <c r="F427" s="15" t="s">
        <v>95</v>
      </c>
      <c r="G427" s="17" t="s">
        <v>85</v>
      </c>
      <c r="H427" s="16" t="s">
        <v>86</v>
      </c>
      <c r="I427" s="15"/>
      <c r="J427" s="15"/>
      <c r="K427" s="18"/>
      <c r="L427" s="15"/>
    </row>
    <row r="428" customFormat="false" ht="15" hidden="false" customHeight="false" outlineLevel="0" collapsed="false">
      <c r="A428" s="15" t="n">
        <v>427</v>
      </c>
      <c r="B428" s="15" t="s">
        <v>62</v>
      </c>
      <c r="C428" s="15" t="s">
        <v>611</v>
      </c>
      <c r="D428" s="15" t="s">
        <v>618</v>
      </c>
      <c r="E428" s="16" t="s">
        <v>41</v>
      </c>
      <c r="F428" s="15" t="s">
        <v>95</v>
      </c>
      <c r="G428" s="17" t="s">
        <v>85</v>
      </c>
      <c r="H428" s="16" t="s">
        <v>86</v>
      </c>
      <c r="I428" s="15"/>
      <c r="J428" s="15"/>
      <c r="K428" s="18"/>
      <c r="L428" s="15"/>
    </row>
    <row r="429" customFormat="false" ht="15" hidden="false" customHeight="false" outlineLevel="0" collapsed="false">
      <c r="A429" s="15" t="n">
        <v>428</v>
      </c>
      <c r="B429" s="15" t="s">
        <v>62</v>
      </c>
      <c r="C429" s="15" t="s">
        <v>611</v>
      </c>
      <c r="D429" s="15" t="s">
        <v>619</v>
      </c>
      <c r="E429" s="16" t="s">
        <v>41</v>
      </c>
      <c r="F429" s="15" t="s">
        <v>84</v>
      </c>
      <c r="G429" s="17" t="s">
        <v>85</v>
      </c>
      <c r="H429" s="16" t="s">
        <v>86</v>
      </c>
      <c r="I429" s="15"/>
      <c r="J429" s="15"/>
      <c r="K429" s="18"/>
      <c r="L429" s="15"/>
    </row>
    <row r="430" customFormat="false" ht="15" hidden="false" customHeight="false" outlineLevel="0" collapsed="false">
      <c r="A430" s="15" t="n">
        <v>429</v>
      </c>
      <c r="B430" s="15" t="s">
        <v>62</v>
      </c>
      <c r="C430" s="15" t="s">
        <v>620</v>
      </c>
      <c r="D430" s="15" t="s">
        <v>621</v>
      </c>
      <c r="E430" s="16" t="s">
        <v>41</v>
      </c>
      <c r="F430" s="15" t="s">
        <v>95</v>
      </c>
      <c r="G430" s="17" t="s">
        <v>85</v>
      </c>
      <c r="H430" s="16" t="s">
        <v>86</v>
      </c>
      <c r="I430" s="15"/>
      <c r="J430" s="15"/>
      <c r="K430" s="18"/>
      <c r="L430" s="15"/>
    </row>
    <row r="431" customFormat="false" ht="15" hidden="false" customHeight="false" outlineLevel="0" collapsed="false">
      <c r="A431" s="15" t="n">
        <v>430</v>
      </c>
      <c r="B431" s="15" t="s">
        <v>62</v>
      </c>
      <c r="C431" s="15" t="s">
        <v>620</v>
      </c>
      <c r="D431" s="15" t="s">
        <v>622</v>
      </c>
      <c r="E431" s="16" t="s">
        <v>41</v>
      </c>
      <c r="F431" s="15" t="s">
        <v>84</v>
      </c>
      <c r="G431" s="17" t="s">
        <v>85</v>
      </c>
      <c r="H431" s="16" t="s">
        <v>86</v>
      </c>
      <c r="I431" s="15"/>
      <c r="J431" s="15"/>
      <c r="K431" s="18"/>
      <c r="L431" s="15"/>
    </row>
    <row r="432" customFormat="false" ht="15" hidden="false" customHeight="false" outlineLevel="0" collapsed="false">
      <c r="A432" s="15" t="n">
        <v>431</v>
      </c>
      <c r="B432" s="15" t="s">
        <v>62</v>
      </c>
      <c r="C432" s="15" t="s">
        <v>623</v>
      </c>
      <c r="D432" s="15" t="s">
        <v>624</v>
      </c>
      <c r="E432" s="16" t="s">
        <v>41</v>
      </c>
      <c r="F432" s="15" t="s">
        <v>84</v>
      </c>
      <c r="G432" s="17" t="s">
        <v>85</v>
      </c>
      <c r="H432" s="16" t="s">
        <v>86</v>
      </c>
      <c r="I432" s="15"/>
      <c r="J432" s="15"/>
      <c r="K432" s="18"/>
      <c r="L432" s="15"/>
    </row>
    <row r="433" customFormat="false" ht="15" hidden="false" customHeight="false" outlineLevel="0" collapsed="false">
      <c r="A433" s="15" t="n">
        <v>432</v>
      </c>
      <c r="B433" s="15" t="s">
        <v>62</v>
      </c>
      <c r="C433" s="15" t="s">
        <v>625</v>
      </c>
      <c r="D433" s="15" t="s">
        <v>626</v>
      </c>
      <c r="E433" s="16" t="s">
        <v>41</v>
      </c>
      <c r="F433" s="15" t="s">
        <v>95</v>
      </c>
      <c r="G433" s="17" t="s">
        <v>85</v>
      </c>
      <c r="H433" s="16" t="s">
        <v>86</v>
      </c>
      <c r="I433" s="15"/>
      <c r="J433" s="15"/>
      <c r="K433" s="18"/>
      <c r="L433" s="15"/>
    </row>
    <row r="434" customFormat="false" ht="15" hidden="false" customHeight="false" outlineLevel="0" collapsed="false">
      <c r="A434" s="15" t="n">
        <v>433</v>
      </c>
      <c r="B434" s="15" t="s">
        <v>62</v>
      </c>
      <c r="C434" s="15" t="s">
        <v>627</v>
      </c>
      <c r="D434" s="15" t="s">
        <v>628</v>
      </c>
      <c r="E434" s="16" t="s">
        <v>40</v>
      </c>
      <c r="F434" s="15" t="s">
        <v>84</v>
      </c>
      <c r="G434" s="17" t="s">
        <v>85</v>
      </c>
      <c r="H434" s="16" t="s">
        <v>86</v>
      </c>
      <c r="I434" s="15"/>
      <c r="J434" s="15"/>
      <c r="K434" s="18"/>
      <c r="L434" s="15"/>
    </row>
    <row r="435" customFormat="false" ht="15" hidden="false" customHeight="false" outlineLevel="0" collapsed="false">
      <c r="A435" s="15" t="n">
        <v>434</v>
      </c>
      <c r="B435" s="15" t="s">
        <v>62</v>
      </c>
      <c r="C435" s="15" t="s">
        <v>627</v>
      </c>
      <c r="D435" s="15" t="s">
        <v>629</v>
      </c>
      <c r="E435" s="16" t="s">
        <v>40</v>
      </c>
      <c r="F435" s="15" t="s">
        <v>95</v>
      </c>
      <c r="G435" s="17" t="s">
        <v>85</v>
      </c>
      <c r="H435" s="16" t="s">
        <v>86</v>
      </c>
      <c r="I435" s="15"/>
      <c r="J435" s="15"/>
      <c r="K435" s="18"/>
      <c r="L435" s="15"/>
    </row>
    <row r="436" customFormat="false" ht="15" hidden="false" customHeight="false" outlineLevel="0" collapsed="false">
      <c r="A436" s="15" t="n">
        <v>435</v>
      </c>
      <c r="B436" s="15" t="s">
        <v>63</v>
      </c>
      <c r="C436" s="15" t="s">
        <v>630</v>
      </c>
      <c r="D436" s="15" t="s">
        <v>631</v>
      </c>
      <c r="E436" s="16" t="s">
        <v>39</v>
      </c>
      <c r="F436" s="15" t="s">
        <v>95</v>
      </c>
      <c r="G436" s="17" t="s">
        <v>85</v>
      </c>
      <c r="H436" s="16" t="s">
        <v>86</v>
      </c>
      <c r="I436" s="15"/>
      <c r="J436" s="15"/>
      <c r="K436" s="18"/>
      <c r="L436" s="15"/>
    </row>
    <row r="437" customFormat="false" ht="15" hidden="false" customHeight="false" outlineLevel="0" collapsed="false">
      <c r="A437" s="15" t="n">
        <v>436</v>
      </c>
      <c r="B437" s="15" t="s">
        <v>63</v>
      </c>
      <c r="C437" s="15" t="s">
        <v>630</v>
      </c>
      <c r="D437" s="15" t="s">
        <v>632</v>
      </c>
      <c r="E437" s="16" t="s">
        <v>39</v>
      </c>
      <c r="F437" s="15" t="s">
        <v>95</v>
      </c>
      <c r="G437" s="17" t="s">
        <v>85</v>
      </c>
      <c r="H437" s="16" t="s">
        <v>86</v>
      </c>
      <c r="I437" s="15"/>
      <c r="J437" s="15"/>
      <c r="K437" s="18"/>
      <c r="L437" s="15"/>
    </row>
    <row r="438" customFormat="false" ht="15" hidden="false" customHeight="false" outlineLevel="0" collapsed="false">
      <c r="A438" s="15" t="n">
        <v>437</v>
      </c>
      <c r="B438" s="15" t="s">
        <v>63</v>
      </c>
      <c r="C438" s="15" t="s">
        <v>630</v>
      </c>
      <c r="D438" s="15" t="s">
        <v>633</v>
      </c>
      <c r="E438" s="16" t="s">
        <v>40</v>
      </c>
      <c r="F438" s="15" t="s">
        <v>84</v>
      </c>
      <c r="G438" s="17" t="s">
        <v>85</v>
      </c>
      <c r="H438" s="16" t="s">
        <v>86</v>
      </c>
      <c r="I438" s="15"/>
      <c r="J438" s="15"/>
      <c r="K438" s="18"/>
      <c r="L438" s="15"/>
    </row>
    <row r="439" customFormat="false" ht="15" hidden="false" customHeight="false" outlineLevel="0" collapsed="false">
      <c r="A439" s="15" t="n">
        <v>438</v>
      </c>
      <c r="B439" s="15" t="s">
        <v>63</v>
      </c>
      <c r="C439" s="15" t="s">
        <v>630</v>
      </c>
      <c r="D439" s="15" t="s">
        <v>634</v>
      </c>
      <c r="E439" s="16" t="s">
        <v>40</v>
      </c>
      <c r="F439" s="15" t="s">
        <v>95</v>
      </c>
      <c r="G439" s="17" t="s">
        <v>85</v>
      </c>
      <c r="H439" s="16" t="s">
        <v>86</v>
      </c>
      <c r="I439" s="15"/>
      <c r="J439" s="15"/>
      <c r="K439" s="18"/>
      <c r="L439" s="15"/>
    </row>
    <row r="440" customFormat="false" ht="15" hidden="false" customHeight="false" outlineLevel="0" collapsed="false">
      <c r="A440" s="15" t="n">
        <v>439</v>
      </c>
      <c r="B440" s="15" t="s">
        <v>63</v>
      </c>
      <c r="C440" s="15" t="s">
        <v>630</v>
      </c>
      <c r="D440" s="15" t="s">
        <v>635</v>
      </c>
      <c r="E440" s="16" t="s">
        <v>40</v>
      </c>
      <c r="F440" s="15" t="s">
        <v>95</v>
      </c>
      <c r="G440" s="17" t="s">
        <v>85</v>
      </c>
      <c r="H440" s="16" t="s">
        <v>86</v>
      </c>
      <c r="I440" s="15"/>
      <c r="J440" s="15"/>
      <c r="K440" s="18"/>
      <c r="L440" s="15"/>
    </row>
    <row r="441" customFormat="false" ht="15" hidden="false" customHeight="false" outlineLevel="0" collapsed="false">
      <c r="A441" s="15" t="n">
        <v>440</v>
      </c>
      <c r="B441" s="15" t="s">
        <v>63</v>
      </c>
      <c r="C441" s="15" t="s">
        <v>630</v>
      </c>
      <c r="D441" s="15" t="s">
        <v>636</v>
      </c>
      <c r="E441" s="16" t="s">
        <v>40</v>
      </c>
      <c r="F441" s="15" t="s">
        <v>84</v>
      </c>
      <c r="G441" s="17" t="s">
        <v>85</v>
      </c>
      <c r="H441" s="16" t="s">
        <v>86</v>
      </c>
      <c r="I441" s="15"/>
      <c r="J441" s="15"/>
      <c r="K441" s="18"/>
      <c r="L441" s="15"/>
    </row>
    <row r="442" customFormat="false" ht="15" hidden="false" customHeight="false" outlineLevel="0" collapsed="false">
      <c r="A442" s="15" t="n">
        <v>441</v>
      </c>
      <c r="B442" s="15" t="s">
        <v>63</v>
      </c>
      <c r="C442" s="15" t="s">
        <v>630</v>
      </c>
      <c r="D442" s="15" t="s">
        <v>637</v>
      </c>
      <c r="E442" s="16" t="s">
        <v>40</v>
      </c>
      <c r="F442" s="15" t="s">
        <v>95</v>
      </c>
      <c r="G442" s="17" t="s">
        <v>85</v>
      </c>
      <c r="H442" s="16" t="s">
        <v>86</v>
      </c>
      <c r="I442" s="15"/>
      <c r="J442" s="15"/>
      <c r="K442" s="18"/>
      <c r="L442" s="15"/>
    </row>
    <row r="443" customFormat="false" ht="15" hidden="false" customHeight="false" outlineLevel="0" collapsed="false">
      <c r="A443" s="15" t="n">
        <v>442</v>
      </c>
      <c r="B443" s="15" t="s">
        <v>63</v>
      </c>
      <c r="C443" s="15" t="s">
        <v>630</v>
      </c>
      <c r="D443" s="15" t="s">
        <v>638</v>
      </c>
      <c r="E443" s="16" t="s">
        <v>40</v>
      </c>
      <c r="F443" s="15" t="s">
        <v>95</v>
      </c>
      <c r="G443" s="17" t="s">
        <v>85</v>
      </c>
      <c r="H443" s="16" t="s">
        <v>86</v>
      </c>
      <c r="I443" s="15"/>
      <c r="J443" s="15"/>
      <c r="K443" s="18"/>
      <c r="L443" s="15"/>
    </row>
    <row r="444" customFormat="false" ht="15" hidden="false" customHeight="false" outlineLevel="0" collapsed="false">
      <c r="A444" s="15" t="n">
        <v>443</v>
      </c>
      <c r="B444" s="15" t="s">
        <v>63</v>
      </c>
      <c r="C444" s="15" t="s">
        <v>630</v>
      </c>
      <c r="D444" s="15" t="s">
        <v>639</v>
      </c>
      <c r="E444" s="16" t="s">
        <v>40</v>
      </c>
      <c r="F444" s="15" t="s">
        <v>95</v>
      </c>
      <c r="G444" s="17" t="s">
        <v>85</v>
      </c>
      <c r="H444" s="16" t="s">
        <v>86</v>
      </c>
      <c r="I444" s="15"/>
      <c r="J444" s="15"/>
      <c r="K444" s="18"/>
      <c r="L444" s="15"/>
    </row>
    <row r="445" customFormat="false" ht="15" hidden="false" customHeight="false" outlineLevel="0" collapsed="false">
      <c r="A445" s="15" t="n">
        <v>444</v>
      </c>
      <c r="B445" s="15" t="s">
        <v>63</v>
      </c>
      <c r="C445" s="15" t="s">
        <v>640</v>
      </c>
      <c r="D445" s="15" t="s">
        <v>641</v>
      </c>
      <c r="E445" s="16" t="s">
        <v>40</v>
      </c>
      <c r="F445" s="15" t="s">
        <v>95</v>
      </c>
      <c r="G445" s="17" t="s">
        <v>85</v>
      </c>
      <c r="H445" s="16" t="s">
        <v>86</v>
      </c>
      <c r="I445" s="15"/>
      <c r="J445" s="15"/>
      <c r="K445" s="18"/>
      <c r="L445" s="15"/>
    </row>
    <row r="446" customFormat="false" ht="15" hidden="false" customHeight="false" outlineLevel="0" collapsed="false">
      <c r="A446" s="15" t="n">
        <v>445</v>
      </c>
      <c r="B446" s="15" t="s">
        <v>63</v>
      </c>
      <c r="C446" s="15" t="s">
        <v>640</v>
      </c>
      <c r="D446" s="15" t="s">
        <v>642</v>
      </c>
      <c r="E446" s="16" t="s">
        <v>40</v>
      </c>
      <c r="F446" s="15" t="s">
        <v>95</v>
      </c>
      <c r="G446" s="17" t="s">
        <v>85</v>
      </c>
      <c r="H446" s="16" t="s">
        <v>86</v>
      </c>
      <c r="I446" s="15"/>
      <c r="J446" s="15"/>
      <c r="K446" s="18"/>
      <c r="L446" s="15"/>
    </row>
    <row r="447" customFormat="false" ht="15" hidden="false" customHeight="false" outlineLevel="0" collapsed="false">
      <c r="A447" s="15" t="n">
        <v>446</v>
      </c>
      <c r="B447" s="15" t="s">
        <v>63</v>
      </c>
      <c r="C447" s="15" t="s">
        <v>640</v>
      </c>
      <c r="D447" s="15" t="s">
        <v>643</v>
      </c>
      <c r="E447" s="16" t="s">
        <v>40</v>
      </c>
      <c r="F447" s="15" t="s">
        <v>95</v>
      </c>
      <c r="G447" s="17" t="s">
        <v>85</v>
      </c>
      <c r="H447" s="16" t="s">
        <v>86</v>
      </c>
      <c r="I447" s="15"/>
      <c r="J447" s="15"/>
      <c r="K447" s="18"/>
      <c r="L447" s="15"/>
    </row>
    <row r="448" customFormat="false" ht="15" hidden="false" customHeight="false" outlineLevel="0" collapsed="false">
      <c r="A448" s="15" t="n">
        <v>447</v>
      </c>
      <c r="B448" s="15" t="s">
        <v>63</v>
      </c>
      <c r="C448" s="15" t="s">
        <v>640</v>
      </c>
      <c r="D448" s="15" t="s">
        <v>644</v>
      </c>
      <c r="E448" s="16" t="s">
        <v>40</v>
      </c>
      <c r="F448" s="15" t="s">
        <v>95</v>
      </c>
      <c r="G448" s="17" t="s">
        <v>85</v>
      </c>
      <c r="H448" s="16" t="s">
        <v>86</v>
      </c>
      <c r="I448" s="15"/>
      <c r="J448" s="15"/>
      <c r="K448" s="18"/>
      <c r="L448" s="15"/>
    </row>
    <row r="449" customFormat="false" ht="15" hidden="false" customHeight="false" outlineLevel="0" collapsed="false">
      <c r="A449" s="15" t="n">
        <v>448</v>
      </c>
      <c r="B449" s="15" t="s">
        <v>63</v>
      </c>
      <c r="C449" s="15" t="s">
        <v>640</v>
      </c>
      <c r="D449" s="15" t="s">
        <v>645</v>
      </c>
      <c r="E449" s="16" t="s">
        <v>40</v>
      </c>
      <c r="F449" s="15" t="s">
        <v>95</v>
      </c>
      <c r="G449" s="17" t="s">
        <v>85</v>
      </c>
      <c r="H449" s="16" t="s">
        <v>86</v>
      </c>
      <c r="I449" s="15"/>
      <c r="J449" s="15"/>
      <c r="K449" s="18"/>
      <c r="L449" s="15"/>
    </row>
    <row r="450" customFormat="false" ht="15" hidden="false" customHeight="false" outlineLevel="0" collapsed="false">
      <c r="A450" s="15" t="n">
        <v>449</v>
      </c>
      <c r="B450" s="15" t="s">
        <v>63</v>
      </c>
      <c r="C450" s="15" t="s">
        <v>640</v>
      </c>
      <c r="D450" s="15" t="s">
        <v>646</v>
      </c>
      <c r="E450" s="16" t="s">
        <v>41</v>
      </c>
      <c r="F450" s="15" t="s">
        <v>95</v>
      </c>
      <c r="G450" s="17" t="s">
        <v>85</v>
      </c>
      <c r="H450" s="16" t="s">
        <v>86</v>
      </c>
      <c r="I450" s="15"/>
      <c r="J450" s="15"/>
      <c r="K450" s="18"/>
      <c r="L450" s="15"/>
    </row>
    <row r="451" customFormat="false" ht="15" hidden="false" customHeight="false" outlineLevel="0" collapsed="false">
      <c r="A451" s="15" t="n">
        <v>450</v>
      </c>
      <c r="B451" s="15" t="s">
        <v>63</v>
      </c>
      <c r="C451" s="15" t="s">
        <v>640</v>
      </c>
      <c r="D451" s="15" t="s">
        <v>647</v>
      </c>
      <c r="E451" s="16" t="s">
        <v>41</v>
      </c>
      <c r="F451" s="15" t="s">
        <v>95</v>
      </c>
      <c r="G451" s="17" t="s">
        <v>85</v>
      </c>
      <c r="H451" s="16" t="s">
        <v>86</v>
      </c>
      <c r="I451" s="15"/>
      <c r="J451" s="15"/>
      <c r="K451" s="18"/>
      <c r="L451" s="15"/>
    </row>
    <row r="452" customFormat="false" ht="15" hidden="false" customHeight="false" outlineLevel="0" collapsed="false">
      <c r="A452" s="15" t="n">
        <v>451</v>
      </c>
      <c r="B452" s="15" t="s">
        <v>63</v>
      </c>
      <c r="C452" s="15" t="s">
        <v>640</v>
      </c>
      <c r="D452" s="15" t="s">
        <v>648</v>
      </c>
      <c r="E452" s="16" t="s">
        <v>41</v>
      </c>
      <c r="F452" s="15" t="s">
        <v>95</v>
      </c>
      <c r="G452" s="17" t="s">
        <v>85</v>
      </c>
      <c r="H452" s="16" t="s">
        <v>86</v>
      </c>
      <c r="I452" s="15"/>
      <c r="J452" s="15"/>
      <c r="K452" s="18"/>
      <c r="L452" s="15"/>
    </row>
    <row r="453" customFormat="false" ht="15" hidden="false" customHeight="false" outlineLevel="0" collapsed="false">
      <c r="A453" s="15" t="n">
        <v>452</v>
      </c>
      <c r="B453" s="15" t="s">
        <v>63</v>
      </c>
      <c r="C453" s="15" t="s">
        <v>649</v>
      </c>
      <c r="D453" s="15" t="s">
        <v>650</v>
      </c>
      <c r="E453" s="16" t="s">
        <v>40</v>
      </c>
      <c r="F453" s="15" t="s">
        <v>84</v>
      </c>
      <c r="G453" s="17" t="s">
        <v>85</v>
      </c>
      <c r="H453" s="16" t="s">
        <v>86</v>
      </c>
      <c r="I453" s="15"/>
      <c r="J453" s="15"/>
      <c r="K453" s="18"/>
      <c r="L453" s="15"/>
    </row>
    <row r="454" customFormat="false" ht="15" hidden="false" customHeight="false" outlineLevel="0" collapsed="false">
      <c r="A454" s="15" t="n">
        <v>453</v>
      </c>
      <c r="B454" s="15" t="s">
        <v>63</v>
      </c>
      <c r="C454" s="15" t="s">
        <v>649</v>
      </c>
      <c r="D454" s="15" t="s">
        <v>651</v>
      </c>
      <c r="E454" s="16" t="s">
        <v>40</v>
      </c>
      <c r="F454" s="15" t="s">
        <v>84</v>
      </c>
      <c r="G454" s="17" t="s">
        <v>85</v>
      </c>
      <c r="H454" s="16" t="s">
        <v>86</v>
      </c>
      <c r="I454" s="15"/>
      <c r="J454" s="15"/>
      <c r="K454" s="18"/>
      <c r="L454" s="15"/>
    </row>
    <row r="455" customFormat="false" ht="15" hidden="false" customHeight="false" outlineLevel="0" collapsed="false">
      <c r="A455" s="15" t="n">
        <v>454</v>
      </c>
      <c r="B455" s="15" t="s">
        <v>63</v>
      </c>
      <c r="C455" s="15" t="s">
        <v>649</v>
      </c>
      <c r="D455" s="15" t="s">
        <v>652</v>
      </c>
      <c r="E455" s="16" t="s">
        <v>40</v>
      </c>
      <c r="F455" s="15" t="s">
        <v>95</v>
      </c>
      <c r="G455" s="17" t="s">
        <v>85</v>
      </c>
      <c r="H455" s="16" t="s">
        <v>86</v>
      </c>
      <c r="I455" s="15"/>
      <c r="J455" s="15"/>
      <c r="K455" s="18"/>
      <c r="L455" s="15"/>
    </row>
    <row r="456" customFormat="false" ht="15" hidden="false" customHeight="false" outlineLevel="0" collapsed="false">
      <c r="A456" s="15" t="n">
        <v>455</v>
      </c>
      <c r="B456" s="15" t="s">
        <v>63</v>
      </c>
      <c r="C456" s="15" t="s">
        <v>649</v>
      </c>
      <c r="D456" s="15" t="s">
        <v>653</v>
      </c>
      <c r="E456" s="16" t="s">
        <v>40</v>
      </c>
      <c r="F456" s="15" t="s">
        <v>95</v>
      </c>
      <c r="G456" s="17" t="s">
        <v>85</v>
      </c>
      <c r="H456" s="16" t="s">
        <v>86</v>
      </c>
      <c r="I456" s="15"/>
      <c r="J456" s="15"/>
      <c r="K456" s="18"/>
      <c r="L456" s="15"/>
    </row>
    <row r="457" customFormat="false" ht="15" hidden="false" customHeight="false" outlineLevel="0" collapsed="false">
      <c r="A457" s="15" t="n">
        <v>456</v>
      </c>
      <c r="B457" s="15" t="s">
        <v>63</v>
      </c>
      <c r="C457" s="15" t="s">
        <v>649</v>
      </c>
      <c r="D457" s="15" t="s">
        <v>654</v>
      </c>
      <c r="E457" s="16" t="s">
        <v>40</v>
      </c>
      <c r="F457" s="15" t="s">
        <v>84</v>
      </c>
      <c r="G457" s="17" t="s">
        <v>85</v>
      </c>
      <c r="H457" s="16" t="s">
        <v>86</v>
      </c>
      <c r="I457" s="15"/>
      <c r="J457" s="15"/>
      <c r="K457" s="18"/>
      <c r="L457" s="15"/>
    </row>
    <row r="458" customFormat="false" ht="15" hidden="false" customHeight="false" outlineLevel="0" collapsed="false">
      <c r="A458" s="15" t="n">
        <v>457</v>
      </c>
      <c r="B458" s="15" t="s">
        <v>63</v>
      </c>
      <c r="C458" s="15" t="s">
        <v>649</v>
      </c>
      <c r="D458" s="15" t="s">
        <v>655</v>
      </c>
      <c r="E458" s="16" t="s">
        <v>41</v>
      </c>
      <c r="F458" s="15" t="s">
        <v>84</v>
      </c>
      <c r="G458" s="17" t="s">
        <v>85</v>
      </c>
      <c r="H458" s="16" t="s">
        <v>86</v>
      </c>
      <c r="I458" s="15"/>
      <c r="J458" s="15"/>
      <c r="K458" s="18"/>
      <c r="L458" s="15"/>
    </row>
    <row r="459" customFormat="false" ht="15" hidden="false" customHeight="false" outlineLevel="0" collapsed="false">
      <c r="A459" s="15" t="n">
        <v>458</v>
      </c>
      <c r="B459" s="15" t="s">
        <v>63</v>
      </c>
      <c r="C459" s="15" t="s">
        <v>649</v>
      </c>
      <c r="D459" s="15" t="s">
        <v>656</v>
      </c>
      <c r="E459" s="16" t="s">
        <v>40</v>
      </c>
      <c r="F459" s="15" t="s">
        <v>95</v>
      </c>
      <c r="G459" s="17" t="s">
        <v>85</v>
      </c>
      <c r="H459" s="16" t="s">
        <v>86</v>
      </c>
      <c r="I459" s="15"/>
      <c r="J459" s="15"/>
      <c r="K459" s="18"/>
      <c r="L459" s="15"/>
    </row>
    <row r="460" customFormat="false" ht="15" hidden="false" customHeight="false" outlineLevel="0" collapsed="false">
      <c r="A460" s="15" t="n">
        <v>459</v>
      </c>
      <c r="B460" s="15" t="s">
        <v>63</v>
      </c>
      <c r="C460" s="15" t="s">
        <v>657</v>
      </c>
      <c r="D460" s="15" t="s">
        <v>657</v>
      </c>
      <c r="E460" s="16" t="s">
        <v>40</v>
      </c>
      <c r="F460" s="15" t="s">
        <v>84</v>
      </c>
      <c r="G460" s="17" t="s">
        <v>85</v>
      </c>
      <c r="H460" s="16" t="s">
        <v>86</v>
      </c>
      <c r="I460" s="15"/>
      <c r="J460" s="15"/>
      <c r="K460" s="18"/>
      <c r="L460" s="15"/>
    </row>
    <row r="461" customFormat="false" ht="15" hidden="false" customHeight="false" outlineLevel="0" collapsed="false">
      <c r="A461" s="15" t="n">
        <v>460</v>
      </c>
      <c r="B461" s="15" t="s">
        <v>63</v>
      </c>
      <c r="C461" s="15" t="s">
        <v>657</v>
      </c>
      <c r="D461" s="15" t="s">
        <v>658</v>
      </c>
      <c r="E461" s="16" t="s">
        <v>40</v>
      </c>
      <c r="F461" s="15" t="s">
        <v>84</v>
      </c>
      <c r="G461" s="17" t="s">
        <v>85</v>
      </c>
      <c r="H461" s="16" t="s">
        <v>86</v>
      </c>
      <c r="I461" s="15"/>
      <c r="J461" s="15"/>
      <c r="K461" s="18"/>
      <c r="L461" s="15"/>
    </row>
    <row r="462" customFormat="false" ht="15" hidden="false" customHeight="false" outlineLevel="0" collapsed="false">
      <c r="A462" s="15" t="n">
        <v>461</v>
      </c>
      <c r="B462" s="15" t="s">
        <v>63</v>
      </c>
      <c r="C462" s="15" t="s">
        <v>657</v>
      </c>
      <c r="D462" s="15" t="s">
        <v>659</v>
      </c>
      <c r="E462" s="16" t="s">
        <v>40</v>
      </c>
      <c r="F462" s="15" t="s">
        <v>95</v>
      </c>
      <c r="G462" s="17" t="s">
        <v>85</v>
      </c>
      <c r="H462" s="16" t="s">
        <v>86</v>
      </c>
      <c r="I462" s="15"/>
      <c r="J462" s="15"/>
      <c r="K462" s="18"/>
      <c r="L462" s="15"/>
    </row>
    <row r="463" customFormat="false" ht="15" hidden="false" customHeight="false" outlineLevel="0" collapsed="false">
      <c r="A463" s="15" t="n">
        <v>462</v>
      </c>
      <c r="B463" s="15" t="s">
        <v>63</v>
      </c>
      <c r="C463" s="15" t="s">
        <v>657</v>
      </c>
      <c r="D463" s="15" t="s">
        <v>660</v>
      </c>
      <c r="E463" s="16" t="s">
        <v>40</v>
      </c>
      <c r="F463" s="15" t="s">
        <v>95</v>
      </c>
      <c r="G463" s="17" t="s">
        <v>85</v>
      </c>
      <c r="H463" s="16" t="s">
        <v>86</v>
      </c>
      <c r="I463" s="15"/>
      <c r="J463" s="15"/>
      <c r="K463" s="18"/>
      <c r="L463" s="15"/>
    </row>
    <row r="464" customFormat="false" ht="15" hidden="false" customHeight="false" outlineLevel="0" collapsed="false">
      <c r="A464" s="15" t="n">
        <v>463</v>
      </c>
      <c r="B464" s="15" t="s">
        <v>63</v>
      </c>
      <c r="C464" s="15" t="s">
        <v>657</v>
      </c>
      <c r="D464" s="15" t="s">
        <v>661</v>
      </c>
      <c r="E464" s="16" t="s">
        <v>40</v>
      </c>
      <c r="F464" s="15" t="s">
        <v>95</v>
      </c>
      <c r="G464" s="17" t="s">
        <v>85</v>
      </c>
      <c r="H464" s="16" t="s">
        <v>86</v>
      </c>
      <c r="I464" s="15"/>
      <c r="J464" s="15"/>
      <c r="K464" s="18"/>
      <c r="L464" s="15"/>
    </row>
    <row r="465" customFormat="false" ht="15" hidden="false" customHeight="false" outlineLevel="0" collapsed="false">
      <c r="A465" s="15" t="n">
        <v>464</v>
      </c>
      <c r="B465" s="15" t="s">
        <v>63</v>
      </c>
      <c r="C465" s="15" t="s">
        <v>657</v>
      </c>
      <c r="D465" s="15" t="s">
        <v>662</v>
      </c>
      <c r="E465" s="16" t="s">
        <v>40</v>
      </c>
      <c r="F465" s="15" t="s">
        <v>95</v>
      </c>
      <c r="G465" s="17" t="s">
        <v>85</v>
      </c>
      <c r="H465" s="16" t="s">
        <v>86</v>
      </c>
      <c r="I465" s="15"/>
      <c r="J465" s="15"/>
      <c r="K465" s="18"/>
      <c r="L465" s="15"/>
    </row>
    <row r="466" customFormat="false" ht="15" hidden="false" customHeight="false" outlineLevel="0" collapsed="false">
      <c r="A466" s="15" t="n">
        <v>465</v>
      </c>
      <c r="B466" s="15" t="s">
        <v>63</v>
      </c>
      <c r="C466" s="15" t="s">
        <v>663</v>
      </c>
      <c r="D466" s="15" t="s">
        <v>664</v>
      </c>
      <c r="E466" s="16" t="s">
        <v>40</v>
      </c>
      <c r="F466" s="15" t="s">
        <v>95</v>
      </c>
      <c r="G466" s="17" t="s">
        <v>85</v>
      </c>
      <c r="H466" s="16" t="s">
        <v>86</v>
      </c>
      <c r="I466" s="15"/>
      <c r="J466" s="15"/>
      <c r="K466" s="18"/>
      <c r="L466" s="15"/>
    </row>
    <row r="467" customFormat="false" ht="15" hidden="false" customHeight="false" outlineLevel="0" collapsed="false">
      <c r="A467" s="15" t="n">
        <v>466</v>
      </c>
      <c r="B467" s="15" t="s">
        <v>63</v>
      </c>
      <c r="C467" s="15" t="s">
        <v>663</v>
      </c>
      <c r="D467" s="15" t="s">
        <v>665</v>
      </c>
      <c r="E467" s="16" t="s">
        <v>40</v>
      </c>
      <c r="F467" s="15" t="s">
        <v>95</v>
      </c>
      <c r="G467" s="17" t="s">
        <v>85</v>
      </c>
      <c r="H467" s="16" t="s">
        <v>86</v>
      </c>
      <c r="I467" s="15"/>
      <c r="J467" s="15"/>
      <c r="K467" s="18"/>
      <c r="L467" s="15"/>
    </row>
    <row r="468" customFormat="false" ht="15" hidden="false" customHeight="false" outlineLevel="0" collapsed="false">
      <c r="A468" s="15" t="n">
        <v>467</v>
      </c>
      <c r="B468" s="15" t="s">
        <v>63</v>
      </c>
      <c r="C468" s="15" t="s">
        <v>663</v>
      </c>
      <c r="D468" s="15" t="s">
        <v>666</v>
      </c>
      <c r="E468" s="16" t="s">
        <v>40</v>
      </c>
      <c r="F468" s="15" t="s">
        <v>95</v>
      </c>
      <c r="G468" s="17" t="s">
        <v>85</v>
      </c>
      <c r="H468" s="16" t="s">
        <v>86</v>
      </c>
      <c r="I468" s="15"/>
      <c r="J468" s="15"/>
      <c r="K468" s="18"/>
      <c r="L468" s="15"/>
    </row>
    <row r="469" customFormat="false" ht="15" hidden="false" customHeight="false" outlineLevel="0" collapsed="false">
      <c r="A469" s="15" t="n">
        <v>468</v>
      </c>
      <c r="B469" s="15" t="s">
        <v>63</v>
      </c>
      <c r="C469" s="15" t="s">
        <v>663</v>
      </c>
      <c r="D469" s="15" t="s">
        <v>667</v>
      </c>
      <c r="E469" s="16" t="s">
        <v>40</v>
      </c>
      <c r="F469" s="15" t="s">
        <v>95</v>
      </c>
      <c r="G469" s="17" t="s">
        <v>85</v>
      </c>
      <c r="H469" s="16" t="s">
        <v>86</v>
      </c>
      <c r="I469" s="15"/>
      <c r="J469" s="15"/>
      <c r="K469" s="18"/>
      <c r="L469" s="15"/>
    </row>
    <row r="470" customFormat="false" ht="15" hidden="false" customHeight="false" outlineLevel="0" collapsed="false">
      <c r="A470" s="15" t="n">
        <v>469</v>
      </c>
      <c r="B470" s="15" t="s">
        <v>63</v>
      </c>
      <c r="C470" s="15" t="s">
        <v>663</v>
      </c>
      <c r="D470" s="15" t="s">
        <v>668</v>
      </c>
      <c r="E470" s="16" t="s">
        <v>41</v>
      </c>
      <c r="F470" s="15" t="s">
        <v>95</v>
      </c>
      <c r="G470" s="17" t="s">
        <v>85</v>
      </c>
      <c r="H470" s="16" t="s">
        <v>86</v>
      </c>
      <c r="I470" s="15"/>
      <c r="J470" s="15"/>
      <c r="K470" s="18"/>
      <c r="L470" s="15"/>
    </row>
    <row r="471" customFormat="false" ht="15" hidden="false" customHeight="false" outlineLevel="0" collapsed="false">
      <c r="A471" s="15" t="n">
        <v>470</v>
      </c>
      <c r="B471" s="15" t="s">
        <v>63</v>
      </c>
      <c r="C471" s="15" t="s">
        <v>663</v>
      </c>
      <c r="D471" s="15" t="s">
        <v>669</v>
      </c>
      <c r="E471" s="16" t="s">
        <v>40</v>
      </c>
      <c r="F471" s="15" t="s">
        <v>84</v>
      </c>
      <c r="G471" s="17" t="s">
        <v>85</v>
      </c>
      <c r="H471" s="16" t="s">
        <v>86</v>
      </c>
      <c r="I471" s="15"/>
      <c r="J471" s="15"/>
      <c r="K471" s="18"/>
      <c r="L471" s="15"/>
    </row>
    <row r="472" customFormat="false" ht="15" hidden="false" customHeight="false" outlineLevel="0" collapsed="false">
      <c r="A472" s="15" t="n">
        <v>471</v>
      </c>
      <c r="B472" s="15" t="s">
        <v>63</v>
      </c>
      <c r="C472" s="15" t="s">
        <v>663</v>
      </c>
      <c r="D472" s="15" t="s">
        <v>670</v>
      </c>
      <c r="E472" s="16" t="s">
        <v>40</v>
      </c>
      <c r="F472" s="15" t="s">
        <v>84</v>
      </c>
      <c r="G472" s="17" t="s">
        <v>85</v>
      </c>
      <c r="H472" s="16" t="s">
        <v>86</v>
      </c>
      <c r="I472" s="15"/>
      <c r="J472" s="15"/>
      <c r="K472" s="18"/>
      <c r="L472" s="15"/>
    </row>
    <row r="473" customFormat="false" ht="15" hidden="false" customHeight="false" outlineLevel="0" collapsed="false">
      <c r="A473" s="15" t="n">
        <v>472</v>
      </c>
      <c r="B473" s="15" t="s">
        <v>63</v>
      </c>
      <c r="C473" s="15" t="s">
        <v>671</v>
      </c>
      <c r="D473" s="15" t="s">
        <v>672</v>
      </c>
      <c r="E473" s="16" t="s">
        <v>40</v>
      </c>
      <c r="F473" s="15" t="s">
        <v>95</v>
      </c>
      <c r="G473" s="17" t="s">
        <v>85</v>
      </c>
      <c r="H473" s="16" t="s">
        <v>86</v>
      </c>
      <c r="I473" s="15"/>
      <c r="J473" s="15"/>
      <c r="K473" s="18"/>
      <c r="L473" s="15"/>
    </row>
    <row r="474" customFormat="false" ht="15" hidden="false" customHeight="false" outlineLevel="0" collapsed="false">
      <c r="A474" s="15" t="n">
        <v>473</v>
      </c>
      <c r="B474" s="15" t="s">
        <v>63</v>
      </c>
      <c r="C474" s="15" t="s">
        <v>671</v>
      </c>
      <c r="D474" s="15" t="s">
        <v>673</v>
      </c>
      <c r="E474" s="16" t="s">
        <v>40</v>
      </c>
      <c r="F474" s="15" t="s">
        <v>84</v>
      </c>
      <c r="G474" s="17" t="s">
        <v>85</v>
      </c>
      <c r="H474" s="16" t="s">
        <v>86</v>
      </c>
      <c r="I474" s="15"/>
      <c r="J474" s="15"/>
      <c r="K474" s="18"/>
      <c r="L474" s="15"/>
    </row>
    <row r="475" customFormat="false" ht="15" hidden="false" customHeight="false" outlineLevel="0" collapsed="false">
      <c r="A475" s="15" t="n">
        <v>474</v>
      </c>
      <c r="B475" s="15" t="s">
        <v>63</v>
      </c>
      <c r="C475" s="15" t="s">
        <v>671</v>
      </c>
      <c r="D475" s="15" t="s">
        <v>674</v>
      </c>
      <c r="E475" s="16" t="s">
        <v>41</v>
      </c>
      <c r="F475" s="15" t="s">
        <v>95</v>
      </c>
      <c r="G475" s="17" t="s">
        <v>85</v>
      </c>
      <c r="H475" s="16" t="s">
        <v>86</v>
      </c>
      <c r="I475" s="15"/>
      <c r="J475" s="15"/>
      <c r="K475" s="18"/>
      <c r="L475" s="15"/>
    </row>
    <row r="476" customFormat="false" ht="15" hidden="false" customHeight="false" outlineLevel="0" collapsed="false">
      <c r="A476" s="15" t="n">
        <v>475</v>
      </c>
      <c r="B476" s="15" t="s">
        <v>63</v>
      </c>
      <c r="C476" s="15" t="s">
        <v>671</v>
      </c>
      <c r="D476" s="15" t="s">
        <v>675</v>
      </c>
      <c r="E476" s="16" t="s">
        <v>40</v>
      </c>
      <c r="F476" s="15" t="s">
        <v>95</v>
      </c>
      <c r="G476" s="17" t="s">
        <v>85</v>
      </c>
      <c r="H476" s="16" t="s">
        <v>86</v>
      </c>
      <c r="I476" s="15"/>
      <c r="J476" s="15"/>
      <c r="K476" s="18"/>
      <c r="L476" s="15"/>
    </row>
    <row r="477" customFormat="false" ht="15" hidden="false" customHeight="false" outlineLevel="0" collapsed="false">
      <c r="A477" s="15" t="n">
        <v>476</v>
      </c>
      <c r="B477" s="15" t="s">
        <v>63</v>
      </c>
      <c r="C477" s="15" t="s">
        <v>671</v>
      </c>
      <c r="D477" s="15" t="s">
        <v>676</v>
      </c>
      <c r="E477" s="16" t="s">
        <v>40</v>
      </c>
      <c r="F477" s="15" t="s">
        <v>95</v>
      </c>
      <c r="G477" s="17" t="s">
        <v>85</v>
      </c>
      <c r="H477" s="16" t="s">
        <v>86</v>
      </c>
      <c r="I477" s="15"/>
      <c r="J477" s="15"/>
      <c r="K477" s="18"/>
      <c r="L477" s="15"/>
    </row>
    <row r="478" customFormat="false" ht="15" hidden="false" customHeight="false" outlineLevel="0" collapsed="false">
      <c r="A478" s="15" t="n">
        <v>477</v>
      </c>
      <c r="B478" s="15" t="s">
        <v>63</v>
      </c>
      <c r="C478" s="15" t="s">
        <v>671</v>
      </c>
      <c r="D478" s="15" t="s">
        <v>677</v>
      </c>
      <c r="E478" s="16" t="s">
        <v>41</v>
      </c>
      <c r="F478" s="15" t="s">
        <v>95</v>
      </c>
      <c r="G478" s="17" t="s">
        <v>85</v>
      </c>
      <c r="H478" s="16" t="s">
        <v>86</v>
      </c>
      <c r="I478" s="15"/>
      <c r="J478" s="15"/>
      <c r="K478" s="18"/>
      <c r="L478" s="15"/>
    </row>
    <row r="479" customFormat="false" ht="15" hidden="false" customHeight="false" outlineLevel="0" collapsed="false">
      <c r="A479" s="15" t="n">
        <v>478</v>
      </c>
      <c r="B479" s="15" t="s">
        <v>63</v>
      </c>
      <c r="C479" s="15" t="s">
        <v>671</v>
      </c>
      <c r="D479" s="15" t="s">
        <v>678</v>
      </c>
      <c r="E479" s="16" t="s">
        <v>41</v>
      </c>
      <c r="F479" s="15" t="s">
        <v>95</v>
      </c>
      <c r="G479" s="17" t="s">
        <v>85</v>
      </c>
      <c r="H479" s="16" t="s">
        <v>86</v>
      </c>
      <c r="I479" s="15"/>
      <c r="J479" s="15"/>
      <c r="K479" s="18"/>
      <c r="L479" s="15"/>
    </row>
    <row r="480" customFormat="false" ht="15" hidden="false" customHeight="false" outlineLevel="0" collapsed="false">
      <c r="A480" s="15" t="n">
        <v>479</v>
      </c>
      <c r="B480" s="15" t="s">
        <v>63</v>
      </c>
      <c r="C480" s="15" t="s">
        <v>671</v>
      </c>
      <c r="D480" s="15" t="s">
        <v>679</v>
      </c>
      <c r="E480" s="16" t="s">
        <v>41</v>
      </c>
      <c r="F480" s="15" t="s">
        <v>95</v>
      </c>
      <c r="G480" s="17" t="s">
        <v>85</v>
      </c>
      <c r="H480" s="16" t="s">
        <v>86</v>
      </c>
      <c r="I480" s="15"/>
      <c r="J480" s="15"/>
      <c r="K480" s="18"/>
      <c r="L480" s="15"/>
    </row>
    <row r="481" customFormat="false" ht="15" hidden="false" customHeight="false" outlineLevel="0" collapsed="false">
      <c r="A481" s="15" t="n">
        <v>480</v>
      </c>
      <c r="B481" s="15" t="s">
        <v>63</v>
      </c>
      <c r="C481" s="15" t="s">
        <v>671</v>
      </c>
      <c r="D481" s="15" t="s">
        <v>680</v>
      </c>
      <c r="E481" s="16" t="s">
        <v>40</v>
      </c>
      <c r="F481" s="15" t="s">
        <v>95</v>
      </c>
      <c r="G481" s="17" t="s">
        <v>85</v>
      </c>
      <c r="H481" s="16" t="s">
        <v>86</v>
      </c>
      <c r="I481" s="15"/>
      <c r="J481" s="15"/>
      <c r="K481" s="18"/>
      <c r="L481" s="15"/>
    </row>
    <row r="482" customFormat="false" ht="15" hidden="false" customHeight="false" outlineLevel="0" collapsed="false">
      <c r="A482" s="15" t="n">
        <v>481</v>
      </c>
      <c r="B482" s="15" t="s">
        <v>63</v>
      </c>
      <c r="C482" s="15" t="s">
        <v>671</v>
      </c>
      <c r="D482" s="15" t="s">
        <v>681</v>
      </c>
      <c r="E482" s="16" t="s">
        <v>40</v>
      </c>
      <c r="F482" s="15" t="s">
        <v>95</v>
      </c>
      <c r="G482" s="17" t="s">
        <v>85</v>
      </c>
      <c r="H482" s="16" t="s">
        <v>86</v>
      </c>
      <c r="I482" s="15"/>
      <c r="J482" s="15"/>
      <c r="K482" s="18"/>
      <c r="L482" s="15"/>
    </row>
    <row r="483" customFormat="false" ht="15" hidden="false" customHeight="false" outlineLevel="0" collapsed="false">
      <c r="A483" s="15" t="n">
        <v>482</v>
      </c>
      <c r="B483" s="15" t="s">
        <v>63</v>
      </c>
      <c r="C483" s="15" t="s">
        <v>671</v>
      </c>
      <c r="D483" s="15" t="s">
        <v>682</v>
      </c>
      <c r="E483" s="16" t="s">
        <v>41</v>
      </c>
      <c r="F483" s="15" t="s">
        <v>95</v>
      </c>
      <c r="G483" s="17" t="s">
        <v>85</v>
      </c>
      <c r="H483" s="16" t="s">
        <v>86</v>
      </c>
      <c r="I483" s="15"/>
      <c r="J483" s="15"/>
      <c r="K483" s="18"/>
      <c r="L483" s="15"/>
    </row>
    <row r="484" customFormat="false" ht="15" hidden="false" customHeight="false" outlineLevel="0" collapsed="false">
      <c r="A484" s="15" t="n">
        <v>483</v>
      </c>
      <c r="B484" s="15" t="s">
        <v>63</v>
      </c>
      <c r="C484" s="15" t="s">
        <v>683</v>
      </c>
      <c r="D484" s="15" t="s">
        <v>684</v>
      </c>
      <c r="E484" s="16" t="s">
        <v>40</v>
      </c>
      <c r="F484" s="15" t="s">
        <v>95</v>
      </c>
      <c r="G484" s="17" t="s">
        <v>85</v>
      </c>
      <c r="H484" s="16" t="s">
        <v>86</v>
      </c>
      <c r="I484" s="15"/>
      <c r="J484" s="15"/>
      <c r="K484" s="18"/>
      <c r="L484" s="15"/>
    </row>
    <row r="485" customFormat="false" ht="15" hidden="false" customHeight="false" outlineLevel="0" collapsed="false">
      <c r="A485" s="15" t="n">
        <v>484</v>
      </c>
      <c r="B485" s="15" t="s">
        <v>63</v>
      </c>
      <c r="C485" s="15" t="s">
        <v>683</v>
      </c>
      <c r="D485" s="15" t="s">
        <v>685</v>
      </c>
      <c r="E485" s="16" t="s">
        <v>41</v>
      </c>
      <c r="F485" s="15" t="s">
        <v>95</v>
      </c>
      <c r="G485" s="17" t="s">
        <v>85</v>
      </c>
      <c r="H485" s="16" t="s">
        <v>86</v>
      </c>
      <c r="I485" s="15"/>
      <c r="J485" s="15"/>
      <c r="K485" s="18"/>
      <c r="L485" s="15"/>
    </row>
    <row r="486" customFormat="false" ht="15" hidden="false" customHeight="false" outlineLevel="0" collapsed="false">
      <c r="A486" s="15" t="n">
        <v>485</v>
      </c>
      <c r="B486" s="15" t="s">
        <v>63</v>
      </c>
      <c r="C486" s="15" t="s">
        <v>683</v>
      </c>
      <c r="D486" s="15" t="s">
        <v>686</v>
      </c>
      <c r="E486" s="16" t="s">
        <v>41</v>
      </c>
      <c r="F486" s="15" t="s">
        <v>95</v>
      </c>
      <c r="G486" s="17" t="s">
        <v>85</v>
      </c>
      <c r="H486" s="16" t="s">
        <v>86</v>
      </c>
      <c r="I486" s="15"/>
      <c r="J486" s="15"/>
      <c r="K486" s="18"/>
      <c r="L486" s="15"/>
    </row>
    <row r="487" customFormat="false" ht="15" hidden="false" customHeight="false" outlineLevel="0" collapsed="false">
      <c r="A487" s="15" t="n">
        <v>486</v>
      </c>
      <c r="B487" s="15" t="s">
        <v>63</v>
      </c>
      <c r="C487" s="15" t="s">
        <v>683</v>
      </c>
      <c r="D487" s="15" t="s">
        <v>687</v>
      </c>
      <c r="E487" s="16" t="s">
        <v>40</v>
      </c>
      <c r="F487" s="15" t="s">
        <v>95</v>
      </c>
      <c r="G487" s="17" t="s">
        <v>85</v>
      </c>
      <c r="H487" s="16" t="s">
        <v>86</v>
      </c>
      <c r="I487" s="15"/>
      <c r="J487" s="15"/>
      <c r="K487" s="18"/>
      <c r="L487" s="15"/>
    </row>
    <row r="488" customFormat="false" ht="15" hidden="false" customHeight="false" outlineLevel="0" collapsed="false">
      <c r="A488" s="15" t="n">
        <v>487</v>
      </c>
      <c r="B488" s="15" t="s">
        <v>63</v>
      </c>
      <c r="C488" s="15" t="s">
        <v>683</v>
      </c>
      <c r="D488" s="15" t="s">
        <v>688</v>
      </c>
      <c r="E488" s="16" t="s">
        <v>40</v>
      </c>
      <c r="F488" s="15" t="s">
        <v>95</v>
      </c>
      <c r="G488" s="17" t="s">
        <v>85</v>
      </c>
      <c r="H488" s="16" t="s">
        <v>86</v>
      </c>
      <c r="I488" s="15"/>
      <c r="J488" s="15"/>
      <c r="K488" s="18"/>
      <c r="L488" s="15"/>
    </row>
    <row r="489" customFormat="false" ht="15" hidden="false" customHeight="false" outlineLevel="0" collapsed="false">
      <c r="A489" s="15" t="n">
        <v>488</v>
      </c>
      <c r="B489" s="15" t="s">
        <v>63</v>
      </c>
      <c r="C489" s="15" t="s">
        <v>689</v>
      </c>
      <c r="D489" s="15" t="s">
        <v>690</v>
      </c>
      <c r="E489" s="16" t="s">
        <v>41</v>
      </c>
      <c r="F489" s="15" t="s">
        <v>84</v>
      </c>
      <c r="G489" s="17" t="s">
        <v>85</v>
      </c>
      <c r="H489" s="16" t="s">
        <v>86</v>
      </c>
      <c r="I489" s="15"/>
      <c r="J489" s="15"/>
      <c r="K489" s="18"/>
      <c r="L489" s="15"/>
    </row>
    <row r="490" customFormat="false" ht="15" hidden="false" customHeight="false" outlineLevel="0" collapsed="false">
      <c r="A490" s="15" t="n">
        <v>489</v>
      </c>
      <c r="B490" s="15" t="s">
        <v>63</v>
      </c>
      <c r="C490" s="15" t="s">
        <v>689</v>
      </c>
      <c r="D490" s="15" t="s">
        <v>691</v>
      </c>
      <c r="E490" s="16" t="s">
        <v>41</v>
      </c>
      <c r="F490" s="15" t="s">
        <v>95</v>
      </c>
      <c r="G490" s="17" t="s">
        <v>85</v>
      </c>
      <c r="H490" s="16" t="s">
        <v>86</v>
      </c>
      <c r="I490" s="15"/>
      <c r="J490" s="15"/>
      <c r="K490" s="18"/>
      <c r="L490" s="15"/>
    </row>
    <row r="491" customFormat="false" ht="15" hidden="false" customHeight="false" outlineLevel="0" collapsed="false">
      <c r="A491" s="15" t="n">
        <v>490</v>
      </c>
      <c r="B491" s="15" t="s">
        <v>63</v>
      </c>
      <c r="C491" s="15" t="s">
        <v>689</v>
      </c>
      <c r="D491" s="15" t="s">
        <v>692</v>
      </c>
      <c r="E491" s="16" t="s">
        <v>41</v>
      </c>
      <c r="F491" s="15" t="s">
        <v>95</v>
      </c>
      <c r="G491" s="17" t="s">
        <v>85</v>
      </c>
      <c r="H491" s="16" t="s">
        <v>86</v>
      </c>
      <c r="I491" s="15"/>
      <c r="J491" s="15"/>
      <c r="K491" s="18"/>
      <c r="L491" s="15"/>
    </row>
    <row r="492" customFormat="false" ht="15" hidden="false" customHeight="false" outlineLevel="0" collapsed="false">
      <c r="A492" s="15" t="n">
        <v>491</v>
      </c>
      <c r="B492" s="15" t="s">
        <v>63</v>
      </c>
      <c r="C492" s="15" t="s">
        <v>689</v>
      </c>
      <c r="D492" s="15" t="s">
        <v>693</v>
      </c>
      <c r="E492" s="16" t="s">
        <v>41</v>
      </c>
      <c r="F492" s="15" t="s">
        <v>95</v>
      </c>
      <c r="G492" s="17" t="s">
        <v>85</v>
      </c>
      <c r="H492" s="16" t="s">
        <v>86</v>
      </c>
      <c r="I492" s="15"/>
      <c r="J492" s="15"/>
      <c r="K492" s="18"/>
      <c r="L492" s="15"/>
    </row>
    <row r="493" customFormat="false" ht="15" hidden="false" customHeight="false" outlineLevel="0" collapsed="false">
      <c r="A493" s="15" t="n">
        <v>492</v>
      </c>
      <c r="B493" s="15" t="s">
        <v>63</v>
      </c>
      <c r="C493" s="15" t="s">
        <v>689</v>
      </c>
      <c r="D493" s="15" t="s">
        <v>694</v>
      </c>
      <c r="E493" s="16" t="s">
        <v>40</v>
      </c>
      <c r="F493" s="15" t="s">
        <v>95</v>
      </c>
      <c r="G493" s="17" t="s">
        <v>85</v>
      </c>
      <c r="H493" s="16" t="s">
        <v>86</v>
      </c>
      <c r="I493" s="15"/>
      <c r="J493" s="15"/>
      <c r="K493" s="18"/>
      <c r="L493" s="15"/>
    </row>
    <row r="494" customFormat="false" ht="15" hidden="false" customHeight="false" outlineLevel="0" collapsed="false">
      <c r="A494" s="15" t="n">
        <v>493</v>
      </c>
      <c r="B494" s="15" t="s">
        <v>63</v>
      </c>
      <c r="C494" s="15" t="s">
        <v>689</v>
      </c>
      <c r="D494" s="15" t="s">
        <v>695</v>
      </c>
      <c r="E494" s="16" t="s">
        <v>41</v>
      </c>
      <c r="F494" s="15" t="s">
        <v>84</v>
      </c>
      <c r="G494" s="17" t="s">
        <v>85</v>
      </c>
      <c r="H494" s="16" t="s">
        <v>86</v>
      </c>
      <c r="I494" s="15"/>
      <c r="J494" s="15"/>
      <c r="K494" s="18"/>
      <c r="L494" s="15"/>
    </row>
    <row r="495" customFormat="false" ht="15" hidden="false" customHeight="false" outlineLevel="0" collapsed="false">
      <c r="A495" s="15" t="n">
        <v>494</v>
      </c>
      <c r="B495" s="15" t="s">
        <v>63</v>
      </c>
      <c r="C495" s="15" t="s">
        <v>696</v>
      </c>
      <c r="D495" s="15" t="s">
        <v>697</v>
      </c>
      <c r="E495" s="16" t="s">
        <v>40</v>
      </c>
      <c r="F495" s="15" t="s">
        <v>95</v>
      </c>
      <c r="G495" s="17" t="s">
        <v>85</v>
      </c>
      <c r="H495" s="16" t="s">
        <v>86</v>
      </c>
      <c r="I495" s="15"/>
      <c r="J495" s="15"/>
      <c r="K495" s="18"/>
      <c r="L495" s="15"/>
    </row>
    <row r="496" customFormat="false" ht="15" hidden="false" customHeight="false" outlineLevel="0" collapsed="false">
      <c r="A496" s="15" t="n">
        <v>495</v>
      </c>
      <c r="B496" s="15" t="s">
        <v>63</v>
      </c>
      <c r="C496" s="15" t="s">
        <v>696</v>
      </c>
      <c r="D496" s="15" t="s">
        <v>698</v>
      </c>
      <c r="E496" s="16" t="s">
        <v>40</v>
      </c>
      <c r="F496" s="15" t="s">
        <v>95</v>
      </c>
      <c r="G496" s="17" t="s">
        <v>85</v>
      </c>
      <c r="H496" s="16" t="s">
        <v>86</v>
      </c>
      <c r="I496" s="15"/>
      <c r="J496" s="15"/>
      <c r="K496" s="18"/>
      <c r="L496" s="15"/>
    </row>
    <row r="497" customFormat="false" ht="15" hidden="false" customHeight="false" outlineLevel="0" collapsed="false">
      <c r="A497" s="15" t="n">
        <v>496</v>
      </c>
      <c r="B497" s="15" t="s">
        <v>63</v>
      </c>
      <c r="C497" s="15" t="s">
        <v>699</v>
      </c>
      <c r="D497" s="15" t="s">
        <v>700</v>
      </c>
      <c r="E497" s="16" t="s">
        <v>40</v>
      </c>
      <c r="F497" s="15" t="s">
        <v>95</v>
      </c>
      <c r="G497" s="17" t="s">
        <v>85</v>
      </c>
      <c r="H497" s="16" t="s">
        <v>86</v>
      </c>
      <c r="I497" s="15"/>
      <c r="J497" s="15"/>
      <c r="K497" s="18"/>
      <c r="L497" s="15"/>
    </row>
    <row r="498" customFormat="false" ht="15" hidden="false" customHeight="false" outlineLevel="0" collapsed="false">
      <c r="A498" s="15" t="n">
        <v>497</v>
      </c>
      <c r="B498" s="15" t="s">
        <v>63</v>
      </c>
      <c r="C498" s="15" t="s">
        <v>699</v>
      </c>
      <c r="D498" s="15" t="s">
        <v>701</v>
      </c>
      <c r="E498" s="16" t="s">
        <v>41</v>
      </c>
      <c r="F498" s="15" t="s">
        <v>95</v>
      </c>
      <c r="G498" s="17" t="s">
        <v>85</v>
      </c>
      <c r="H498" s="16" t="s">
        <v>86</v>
      </c>
      <c r="I498" s="15"/>
      <c r="J498" s="15"/>
      <c r="K498" s="18"/>
      <c r="L498" s="15"/>
    </row>
    <row r="499" customFormat="false" ht="15" hidden="false" customHeight="false" outlineLevel="0" collapsed="false">
      <c r="A499" s="15" t="n">
        <v>498</v>
      </c>
      <c r="B499" s="15" t="s">
        <v>63</v>
      </c>
      <c r="C499" s="15" t="s">
        <v>702</v>
      </c>
      <c r="D499" s="15" t="s">
        <v>703</v>
      </c>
      <c r="E499" s="16" t="s">
        <v>40</v>
      </c>
      <c r="F499" s="15" t="s">
        <v>95</v>
      </c>
      <c r="G499" s="17" t="s">
        <v>85</v>
      </c>
      <c r="H499" s="16" t="s">
        <v>86</v>
      </c>
      <c r="I499" s="15"/>
      <c r="J499" s="15"/>
      <c r="K499" s="18"/>
      <c r="L499" s="15"/>
    </row>
    <row r="500" customFormat="false" ht="15" hidden="false" customHeight="false" outlineLevel="0" collapsed="false">
      <c r="A500" s="15" t="n">
        <v>499</v>
      </c>
      <c r="B500" s="15" t="s">
        <v>63</v>
      </c>
      <c r="C500" s="15" t="s">
        <v>702</v>
      </c>
      <c r="D500" s="15" t="s">
        <v>704</v>
      </c>
      <c r="E500" s="16" t="s">
        <v>40</v>
      </c>
      <c r="F500" s="15" t="s">
        <v>95</v>
      </c>
      <c r="G500" s="17" t="s">
        <v>85</v>
      </c>
      <c r="H500" s="16" t="s">
        <v>86</v>
      </c>
      <c r="I500" s="15"/>
      <c r="J500" s="15"/>
      <c r="K500" s="18"/>
      <c r="L500" s="15"/>
    </row>
    <row r="501" customFormat="false" ht="15" hidden="false" customHeight="false" outlineLevel="0" collapsed="false">
      <c r="A501" s="15" t="n">
        <v>500</v>
      </c>
      <c r="B501" s="15" t="s">
        <v>63</v>
      </c>
      <c r="C501" s="15" t="s">
        <v>705</v>
      </c>
      <c r="D501" s="15" t="s">
        <v>706</v>
      </c>
      <c r="E501" s="16" t="s">
        <v>40</v>
      </c>
      <c r="F501" s="15" t="s">
        <v>95</v>
      </c>
      <c r="G501" s="17" t="s">
        <v>85</v>
      </c>
      <c r="H501" s="16" t="s">
        <v>86</v>
      </c>
      <c r="I501" s="15"/>
      <c r="J501" s="15"/>
      <c r="K501" s="18"/>
      <c r="L501" s="15"/>
    </row>
    <row r="502" customFormat="false" ht="15" hidden="false" customHeight="false" outlineLevel="0" collapsed="false">
      <c r="A502" s="15" t="n">
        <v>501</v>
      </c>
      <c r="B502" s="15" t="s">
        <v>63</v>
      </c>
      <c r="C502" s="15" t="s">
        <v>705</v>
      </c>
      <c r="D502" s="15" t="s">
        <v>707</v>
      </c>
      <c r="E502" s="16" t="s">
        <v>40</v>
      </c>
      <c r="F502" s="15" t="s">
        <v>95</v>
      </c>
      <c r="G502" s="17" t="s">
        <v>85</v>
      </c>
      <c r="H502" s="16" t="s">
        <v>86</v>
      </c>
      <c r="I502" s="15"/>
      <c r="J502" s="15"/>
      <c r="K502" s="18"/>
      <c r="L502" s="15"/>
    </row>
    <row r="503" customFormat="false" ht="15" hidden="false" customHeight="false" outlineLevel="0" collapsed="false">
      <c r="A503" s="15" t="n">
        <v>502</v>
      </c>
      <c r="B503" s="15" t="s">
        <v>63</v>
      </c>
      <c r="C503" s="15" t="s">
        <v>708</v>
      </c>
      <c r="D503" s="15" t="s">
        <v>709</v>
      </c>
      <c r="E503" s="16" t="s">
        <v>41</v>
      </c>
      <c r="F503" s="15" t="s">
        <v>84</v>
      </c>
      <c r="G503" s="17" t="s">
        <v>85</v>
      </c>
      <c r="H503" s="16" t="s">
        <v>86</v>
      </c>
      <c r="I503" s="15"/>
      <c r="J503" s="15"/>
      <c r="K503" s="18"/>
      <c r="L503" s="15"/>
    </row>
    <row r="504" customFormat="false" ht="15" hidden="false" customHeight="false" outlineLevel="0" collapsed="false">
      <c r="A504" s="15" t="n">
        <v>503</v>
      </c>
      <c r="B504" s="15" t="s">
        <v>63</v>
      </c>
      <c r="C504" s="15" t="s">
        <v>708</v>
      </c>
      <c r="D504" s="15" t="s">
        <v>710</v>
      </c>
      <c r="E504" s="16" t="s">
        <v>41</v>
      </c>
      <c r="F504" s="15" t="s">
        <v>95</v>
      </c>
      <c r="G504" s="17" t="s">
        <v>85</v>
      </c>
      <c r="H504" s="16" t="s">
        <v>86</v>
      </c>
      <c r="I504" s="15"/>
      <c r="J504" s="15"/>
      <c r="K504" s="18"/>
      <c r="L504" s="15"/>
    </row>
    <row r="505" customFormat="false" ht="15" hidden="false" customHeight="false" outlineLevel="0" collapsed="false">
      <c r="A505" s="15" t="n">
        <v>504</v>
      </c>
      <c r="B505" s="15" t="s">
        <v>64</v>
      </c>
      <c r="C505" s="15" t="s">
        <v>103</v>
      </c>
      <c r="D505" s="15" t="s">
        <v>711</v>
      </c>
      <c r="E505" s="16" t="s">
        <v>39</v>
      </c>
      <c r="F505" s="15" t="s">
        <v>95</v>
      </c>
      <c r="G505" s="17" t="s">
        <v>85</v>
      </c>
      <c r="H505" s="16" t="s">
        <v>86</v>
      </c>
      <c r="I505" s="15"/>
      <c r="J505" s="15"/>
      <c r="K505" s="18"/>
      <c r="L505" s="15"/>
    </row>
    <row r="506" customFormat="false" ht="15" hidden="false" customHeight="false" outlineLevel="0" collapsed="false">
      <c r="A506" s="15" t="n">
        <v>505</v>
      </c>
      <c r="B506" s="15" t="s">
        <v>64</v>
      </c>
      <c r="C506" s="15" t="s">
        <v>103</v>
      </c>
      <c r="D506" s="15" t="s">
        <v>712</v>
      </c>
      <c r="E506" s="16" t="s">
        <v>39</v>
      </c>
      <c r="F506" s="15" t="s">
        <v>95</v>
      </c>
      <c r="G506" s="17" t="s">
        <v>85</v>
      </c>
      <c r="H506" s="16" t="s">
        <v>86</v>
      </c>
      <c r="I506" s="15"/>
      <c r="J506" s="15"/>
      <c r="K506" s="18"/>
      <c r="L506" s="15"/>
    </row>
    <row r="507" customFormat="false" ht="15" hidden="false" customHeight="false" outlineLevel="0" collapsed="false">
      <c r="A507" s="15" t="n">
        <v>506</v>
      </c>
      <c r="B507" s="15" t="s">
        <v>64</v>
      </c>
      <c r="C507" s="15" t="s">
        <v>103</v>
      </c>
      <c r="D507" s="15" t="s">
        <v>713</v>
      </c>
      <c r="E507" s="16" t="s">
        <v>39</v>
      </c>
      <c r="F507" s="15" t="s">
        <v>95</v>
      </c>
      <c r="G507" s="17" t="s">
        <v>85</v>
      </c>
      <c r="H507" s="16" t="s">
        <v>86</v>
      </c>
      <c r="I507" s="15"/>
      <c r="J507" s="15"/>
      <c r="K507" s="18"/>
      <c r="L507" s="15"/>
    </row>
    <row r="508" customFormat="false" ht="15" hidden="false" customHeight="false" outlineLevel="0" collapsed="false">
      <c r="A508" s="15" t="n">
        <v>507</v>
      </c>
      <c r="B508" s="15" t="s">
        <v>64</v>
      </c>
      <c r="C508" s="15" t="s">
        <v>103</v>
      </c>
      <c r="D508" s="15" t="s">
        <v>714</v>
      </c>
      <c r="E508" s="16" t="s">
        <v>39</v>
      </c>
      <c r="F508" s="15" t="s">
        <v>95</v>
      </c>
      <c r="G508" s="17" t="s">
        <v>85</v>
      </c>
      <c r="H508" s="16" t="s">
        <v>86</v>
      </c>
      <c r="I508" s="15"/>
      <c r="J508" s="15"/>
      <c r="K508" s="18"/>
      <c r="L508" s="15"/>
    </row>
    <row r="509" customFormat="false" ht="15" hidden="false" customHeight="false" outlineLevel="0" collapsed="false">
      <c r="A509" s="15" t="n">
        <v>508</v>
      </c>
      <c r="B509" s="15" t="s">
        <v>64</v>
      </c>
      <c r="C509" s="15" t="s">
        <v>103</v>
      </c>
      <c r="D509" s="15" t="s">
        <v>715</v>
      </c>
      <c r="E509" s="16" t="s">
        <v>39</v>
      </c>
      <c r="F509" s="15" t="s">
        <v>95</v>
      </c>
      <c r="G509" s="17" t="s">
        <v>85</v>
      </c>
      <c r="H509" s="16" t="s">
        <v>86</v>
      </c>
      <c r="I509" s="15"/>
      <c r="J509" s="15"/>
      <c r="K509" s="18"/>
      <c r="L509" s="15"/>
    </row>
    <row r="510" customFormat="false" ht="15" hidden="false" customHeight="false" outlineLevel="0" collapsed="false">
      <c r="A510" s="15" t="n">
        <v>509</v>
      </c>
      <c r="B510" s="15" t="s">
        <v>64</v>
      </c>
      <c r="C510" s="15" t="s">
        <v>103</v>
      </c>
      <c r="D510" s="15" t="s">
        <v>716</v>
      </c>
      <c r="E510" s="16" t="s">
        <v>39</v>
      </c>
      <c r="F510" s="15" t="s">
        <v>84</v>
      </c>
      <c r="G510" s="17" t="s">
        <v>85</v>
      </c>
      <c r="H510" s="16" t="s">
        <v>86</v>
      </c>
      <c r="I510" s="15"/>
      <c r="J510" s="15"/>
      <c r="K510" s="18"/>
      <c r="L510" s="15"/>
    </row>
    <row r="511" customFormat="false" ht="15" hidden="false" customHeight="false" outlineLevel="0" collapsed="false">
      <c r="A511" s="15" t="n">
        <v>510</v>
      </c>
      <c r="B511" s="15" t="s">
        <v>64</v>
      </c>
      <c r="C511" s="15" t="s">
        <v>103</v>
      </c>
      <c r="D511" s="15" t="s">
        <v>717</v>
      </c>
      <c r="E511" s="16" t="s">
        <v>39</v>
      </c>
      <c r="F511" s="15" t="s">
        <v>95</v>
      </c>
      <c r="G511" s="17" t="s">
        <v>85</v>
      </c>
      <c r="H511" s="16" t="s">
        <v>86</v>
      </c>
      <c r="I511" s="15"/>
      <c r="J511" s="15"/>
      <c r="K511" s="18"/>
      <c r="L511" s="15"/>
    </row>
    <row r="512" customFormat="false" ht="15" hidden="false" customHeight="false" outlineLevel="0" collapsed="false">
      <c r="A512" s="15" t="n">
        <v>511</v>
      </c>
      <c r="B512" s="15" t="s">
        <v>64</v>
      </c>
      <c r="C512" s="15" t="s">
        <v>718</v>
      </c>
      <c r="D512" s="15" t="s">
        <v>719</v>
      </c>
      <c r="E512" s="16" t="s">
        <v>39</v>
      </c>
      <c r="F512" s="15" t="s">
        <v>95</v>
      </c>
      <c r="G512" s="17" t="s">
        <v>85</v>
      </c>
      <c r="H512" s="16" t="s">
        <v>86</v>
      </c>
      <c r="I512" s="15"/>
      <c r="J512" s="15"/>
      <c r="K512" s="18"/>
      <c r="L512" s="15"/>
    </row>
    <row r="513" customFormat="false" ht="15" hidden="false" customHeight="false" outlineLevel="0" collapsed="false">
      <c r="A513" s="15" t="n">
        <v>512</v>
      </c>
      <c r="B513" s="15" t="s">
        <v>64</v>
      </c>
      <c r="C513" s="15" t="s">
        <v>718</v>
      </c>
      <c r="D513" s="15" t="s">
        <v>720</v>
      </c>
      <c r="E513" s="16" t="s">
        <v>40</v>
      </c>
      <c r="F513" s="15" t="s">
        <v>95</v>
      </c>
      <c r="G513" s="17" t="s">
        <v>85</v>
      </c>
      <c r="H513" s="16" t="s">
        <v>86</v>
      </c>
      <c r="I513" s="15"/>
      <c r="J513" s="15"/>
      <c r="K513" s="18"/>
      <c r="L513" s="15"/>
    </row>
    <row r="514" customFormat="false" ht="15" hidden="false" customHeight="false" outlineLevel="0" collapsed="false">
      <c r="A514" s="15" t="n">
        <v>513</v>
      </c>
      <c r="B514" s="15" t="s">
        <v>64</v>
      </c>
      <c r="C514" s="15" t="s">
        <v>718</v>
      </c>
      <c r="D514" s="15" t="s">
        <v>721</v>
      </c>
      <c r="E514" s="16" t="s">
        <v>40</v>
      </c>
      <c r="F514" s="15" t="s">
        <v>95</v>
      </c>
      <c r="G514" s="17" t="s">
        <v>85</v>
      </c>
      <c r="H514" s="16" t="s">
        <v>86</v>
      </c>
      <c r="I514" s="15"/>
      <c r="J514" s="15"/>
      <c r="K514" s="18"/>
      <c r="L514" s="15"/>
    </row>
    <row r="515" customFormat="false" ht="15" hidden="false" customHeight="false" outlineLevel="0" collapsed="false">
      <c r="A515" s="15" t="n">
        <v>514</v>
      </c>
      <c r="B515" s="15" t="s">
        <v>64</v>
      </c>
      <c r="C515" s="15" t="s">
        <v>718</v>
      </c>
      <c r="D515" s="15" t="s">
        <v>722</v>
      </c>
      <c r="E515" s="16" t="s">
        <v>39</v>
      </c>
      <c r="F515" s="15" t="s">
        <v>95</v>
      </c>
      <c r="G515" s="17" t="s">
        <v>85</v>
      </c>
      <c r="H515" s="16" t="s">
        <v>86</v>
      </c>
      <c r="I515" s="15"/>
      <c r="J515" s="15"/>
      <c r="K515" s="18"/>
      <c r="L515" s="15"/>
    </row>
    <row r="516" customFormat="false" ht="15" hidden="false" customHeight="false" outlineLevel="0" collapsed="false">
      <c r="A516" s="15" t="n">
        <v>515</v>
      </c>
      <c r="B516" s="15" t="s">
        <v>64</v>
      </c>
      <c r="C516" s="15" t="s">
        <v>718</v>
      </c>
      <c r="D516" s="15" t="s">
        <v>723</v>
      </c>
      <c r="E516" s="16" t="s">
        <v>40</v>
      </c>
      <c r="F516" s="15" t="s">
        <v>95</v>
      </c>
      <c r="G516" s="17" t="s">
        <v>85</v>
      </c>
      <c r="H516" s="16" t="s">
        <v>86</v>
      </c>
      <c r="I516" s="15"/>
      <c r="J516" s="15"/>
      <c r="K516" s="18"/>
      <c r="L516" s="15"/>
    </row>
    <row r="517" customFormat="false" ht="15" hidden="false" customHeight="false" outlineLevel="0" collapsed="false">
      <c r="A517" s="15" t="n">
        <v>516</v>
      </c>
      <c r="B517" s="15" t="s">
        <v>64</v>
      </c>
      <c r="C517" s="15" t="s">
        <v>718</v>
      </c>
      <c r="D517" s="15" t="s">
        <v>724</v>
      </c>
      <c r="E517" s="16" t="s">
        <v>40</v>
      </c>
      <c r="F517" s="15" t="s">
        <v>95</v>
      </c>
      <c r="G517" s="17" t="s">
        <v>85</v>
      </c>
      <c r="H517" s="16" t="s">
        <v>86</v>
      </c>
      <c r="I517" s="15"/>
      <c r="J517" s="15"/>
      <c r="K517" s="18"/>
      <c r="L517" s="15"/>
    </row>
    <row r="518" customFormat="false" ht="15" hidden="false" customHeight="false" outlineLevel="0" collapsed="false">
      <c r="A518" s="15" t="n">
        <v>517</v>
      </c>
      <c r="B518" s="15" t="s">
        <v>64</v>
      </c>
      <c r="C518" s="15" t="s">
        <v>718</v>
      </c>
      <c r="D518" s="15" t="s">
        <v>725</v>
      </c>
      <c r="E518" s="16" t="s">
        <v>39</v>
      </c>
      <c r="F518" s="15" t="s">
        <v>84</v>
      </c>
      <c r="G518" s="17" t="s">
        <v>85</v>
      </c>
      <c r="H518" s="16" t="s">
        <v>86</v>
      </c>
      <c r="I518" s="15"/>
      <c r="J518" s="15"/>
      <c r="K518" s="18"/>
      <c r="L518" s="15"/>
    </row>
    <row r="519" customFormat="false" ht="15" hidden="false" customHeight="false" outlineLevel="0" collapsed="false">
      <c r="A519" s="15" t="n">
        <v>518</v>
      </c>
      <c r="B519" s="15" t="s">
        <v>64</v>
      </c>
      <c r="C519" s="15" t="s">
        <v>726</v>
      </c>
      <c r="D519" s="15" t="s">
        <v>727</v>
      </c>
      <c r="E519" s="16" t="s">
        <v>40</v>
      </c>
      <c r="F519" s="15" t="s">
        <v>95</v>
      </c>
      <c r="G519" s="17" t="s">
        <v>85</v>
      </c>
      <c r="H519" s="16" t="s">
        <v>86</v>
      </c>
      <c r="I519" s="15"/>
      <c r="J519" s="15"/>
      <c r="K519" s="18"/>
      <c r="L519" s="15"/>
    </row>
    <row r="520" customFormat="false" ht="15" hidden="false" customHeight="false" outlineLevel="0" collapsed="false">
      <c r="A520" s="15" t="n">
        <v>519</v>
      </c>
      <c r="B520" s="15" t="s">
        <v>64</v>
      </c>
      <c r="C520" s="15" t="s">
        <v>726</v>
      </c>
      <c r="D520" s="15" t="s">
        <v>728</v>
      </c>
      <c r="E520" s="16" t="s">
        <v>40</v>
      </c>
      <c r="F520" s="15" t="s">
        <v>95</v>
      </c>
      <c r="G520" s="17" t="s">
        <v>85</v>
      </c>
      <c r="H520" s="16" t="s">
        <v>86</v>
      </c>
      <c r="I520" s="15"/>
      <c r="J520" s="15"/>
      <c r="K520" s="18"/>
      <c r="L520" s="15"/>
    </row>
    <row r="521" customFormat="false" ht="15" hidden="false" customHeight="false" outlineLevel="0" collapsed="false">
      <c r="A521" s="15" t="n">
        <v>520</v>
      </c>
      <c r="B521" s="15" t="s">
        <v>64</v>
      </c>
      <c r="C521" s="15" t="s">
        <v>726</v>
      </c>
      <c r="D521" s="15" t="s">
        <v>729</v>
      </c>
      <c r="E521" s="16" t="s">
        <v>40</v>
      </c>
      <c r="F521" s="15" t="s">
        <v>95</v>
      </c>
      <c r="G521" s="17" t="s">
        <v>85</v>
      </c>
      <c r="H521" s="16" t="s">
        <v>86</v>
      </c>
      <c r="I521" s="15"/>
      <c r="J521" s="15"/>
      <c r="K521" s="18"/>
      <c r="L521" s="15"/>
    </row>
    <row r="522" customFormat="false" ht="15" hidden="false" customHeight="false" outlineLevel="0" collapsed="false">
      <c r="A522" s="15" t="n">
        <v>521</v>
      </c>
      <c r="B522" s="15" t="s">
        <v>64</v>
      </c>
      <c r="C522" s="15" t="s">
        <v>730</v>
      </c>
      <c r="D522" s="15" t="s">
        <v>731</v>
      </c>
      <c r="E522" s="16" t="s">
        <v>40</v>
      </c>
      <c r="F522" s="15" t="s">
        <v>95</v>
      </c>
      <c r="G522" s="17" t="s">
        <v>85</v>
      </c>
      <c r="H522" s="16" t="s">
        <v>86</v>
      </c>
      <c r="I522" s="15"/>
      <c r="J522" s="15"/>
      <c r="K522" s="18"/>
      <c r="L522" s="15"/>
    </row>
    <row r="523" customFormat="false" ht="15" hidden="false" customHeight="false" outlineLevel="0" collapsed="false">
      <c r="A523" s="15" t="n">
        <v>522</v>
      </c>
      <c r="B523" s="15" t="s">
        <v>64</v>
      </c>
      <c r="C523" s="15" t="s">
        <v>730</v>
      </c>
      <c r="D523" s="15" t="s">
        <v>732</v>
      </c>
      <c r="E523" s="16" t="s">
        <v>40</v>
      </c>
      <c r="F523" s="15" t="s">
        <v>95</v>
      </c>
      <c r="G523" s="17" t="s">
        <v>85</v>
      </c>
      <c r="H523" s="16" t="s">
        <v>86</v>
      </c>
      <c r="I523" s="15"/>
      <c r="J523" s="15"/>
      <c r="K523" s="18"/>
      <c r="L523" s="15"/>
    </row>
    <row r="524" customFormat="false" ht="15" hidden="false" customHeight="false" outlineLevel="0" collapsed="false">
      <c r="A524" s="15" t="n">
        <v>523</v>
      </c>
      <c r="B524" s="15" t="s">
        <v>64</v>
      </c>
      <c r="C524" s="15" t="s">
        <v>481</v>
      </c>
      <c r="D524" s="15" t="s">
        <v>733</v>
      </c>
      <c r="E524" s="16" t="s">
        <v>40</v>
      </c>
      <c r="F524" s="15" t="s">
        <v>84</v>
      </c>
      <c r="G524" s="17" t="s">
        <v>85</v>
      </c>
      <c r="H524" s="16" t="s">
        <v>86</v>
      </c>
      <c r="I524" s="15"/>
      <c r="J524" s="15"/>
      <c r="K524" s="18"/>
      <c r="L524" s="15"/>
    </row>
    <row r="525" customFormat="false" ht="15" hidden="false" customHeight="false" outlineLevel="0" collapsed="false">
      <c r="A525" s="15" t="n">
        <v>524</v>
      </c>
      <c r="B525" s="15" t="s">
        <v>65</v>
      </c>
      <c r="C525" s="15" t="s">
        <v>734</v>
      </c>
      <c r="D525" s="15" t="s">
        <v>735</v>
      </c>
      <c r="E525" s="16" t="s">
        <v>40</v>
      </c>
      <c r="F525" s="15" t="s">
        <v>84</v>
      </c>
      <c r="G525" s="17" t="s">
        <v>85</v>
      </c>
      <c r="H525" s="16" t="s">
        <v>86</v>
      </c>
      <c r="I525" s="15"/>
      <c r="J525" s="15"/>
      <c r="K525" s="18"/>
      <c r="L525" s="15"/>
    </row>
    <row r="526" customFormat="false" ht="15" hidden="false" customHeight="false" outlineLevel="0" collapsed="false">
      <c r="A526" s="15" t="n">
        <v>525</v>
      </c>
      <c r="B526" s="15" t="s">
        <v>65</v>
      </c>
      <c r="C526" s="15" t="s">
        <v>734</v>
      </c>
      <c r="D526" s="15" t="s">
        <v>736</v>
      </c>
      <c r="E526" s="16" t="s">
        <v>40</v>
      </c>
      <c r="F526" s="15" t="s">
        <v>95</v>
      </c>
      <c r="G526" s="17" t="s">
        <v>85</v>
      </c>
      <c r="H526" s="16" t="s">
        <v>86</v>
      </c>
      <c r="I526" s="15"/>
      <c r="J526" s="15"/>
      <c r="K526" s="18"/>
      <c r="L526" s="15"/>
    </row>
    <row r="527" customFormat="false" ht="15" hidden="false" customHeight="false" outlineLevel="0" collapsed="false">
      <c r="A527" s="15" t="n">
        <v>526</v>
      </c>
      <c r="B527" s="15" t="s">
        <v>65</v>
      </c>
      <c r="C527" s="15" t="s">
        <v>734</v>
      </c>
      <c r="D527" s="15" t="s">
        <v>737</v>
      </c>
      <c r="E527" s="16" t="s">
        <v>40</v>
      </c>
      <c r="F527" s="15" t="s">
        <v>84</v>
      </c>
      <c r="G527" s="17" t="s">
        <v>85</v>
      </c>
      <c r="H527" s="16" t="s">
        <v>86</v>
      </c>
      <c r="I527" s="15"/>
      <c r="J527" s="15"/>
      <c r="K527" s="18"/>
      <c r="L527" s="15"/>
    </row>
    <row r="528" customFormat="false" ht="15" hidden="false" customHeight="false" outlineLevel="0" collapsed="false">
      <c r="A528" s="15" t="n">
        <v>527</v>
      </c>
      <c r="B528" s="15" t="s">
        <v>65</v>
      </c>
      <c r="C528" s="15" t="s">
        <v>738</v>
      </c>
      <c r="D528" s="15" t="s">
        <v>739</v>
      </c>
      <c r="E528" s="16" t="s">
        <v>39</v>
      </c>
      <c r="F528" s="15" t="s">
        <v>84</v>
      </c>
      <c r="G528" s="17" t="s">
        <v>85</v>
      </c>
      <c r="H528" s="16" t="s">
        <v>86</v>
      </c>
      <c r="I528" s="15"/>
      <c r="J528" s="15"/>
      <c r="K528" s="18"/>
      <c r="L528" s="15"/>
    </row>
    <row r="529" customFormat="false" ht="15" hidden="false" customHeight="false" outlineLevel="0" collapsed="false">
      <c r="A529" s="15" t="n">
        <v>528</v>
      </c>
      <c r="B529" s="15" t="s">
        <v>65</v>
      </c>
      <c r="C529" s="15" t="s">
        <v>738</v>
      </c>
      <c r="D529" s="15" t="s">
        <v>740</v>
      </c>
      <c r="E529" s="16" t="s">
        <v>39</v>
      </c>
      <c r="F529" s="15" t="s">
        <v>84</v>
      </c>
      <c r="G529" s="17" t="s">
        <v>85</v>
      </c>
      <c r="H529" s="16" t="s">
        <v>86</v>
      </c>
      <c r="I529" s="15"/>
      <c r="J529" s="15"/>
      <c r="K529" s="18"/>
      <c r="L529" s="15"/>
    </row>
    <row r="530" customFormat="false" ht="15" hidden="false" customHeight="false" outlineLevel="0" collapsed="false">
      <c r="A530" s="15" t="n">
        <v>529</v>
      </c>
      <c r="B530" s="15" t="s">
        <v>65</v>
      </c>
      <c r="C530" s="15" t="s">
        <v>741</v>
      </c>
      <c r="D530" s="15" t="s">
        <v>742</v>
      </c>
      <c r="E530" s="16" t="s">
        <v>40</v>
      </c>
      <c r="F530" s="15" t="s">
        <v>84</v>
      </c>
      <c r="G530" s="17" t="s">
        <v>85</v>
      </c>
      <c r="H530" s="16" t="s">
        <v>86</v>
      </c>
      <c r="I530" s="15"/>
      <c r="J530" s="15"/>
      <c r="K530" s="18"/>
      <c r="L530" s="15"/>
    </row>
    <row r="531" customFormat="false" ht="15" hidden="false" customHeight="false" outlineLevel="0" collapsed="false">
      <c r="A531" s="15" t="n">
        <v>530</v>
      </c>
      <c r="B531" s="15" t="s">
        <v>65</v>
      </c>
      <c r="C531" s="15" t="s">
        <v>741</v>
      </c>
      <c r="D531" s="15" t="s">
        <v>743</v>
      </c>
      <c r="E531" s="16" t="s">
        <v>41</v>
      </c>
      <c r="F531" s="15" t="s">
        <v>84</v>
      </c>
      <c r="G531" s="17" t="s">
        <v>85</v>
      </c>
      <c r="H531" s="16" t="s">
        <v>86</v>
      </c>
      <c r="I531" s="15"/>
      <c r="J531" s="15"/>
      <c r="K531" s="18"/>
      <c r="L531" s="15"/>
    </row>
    <row r="532" customFormat="false" ht="15" hidden="false" customHeight="false" outlineLevel="0" collapsed="false">
      <c r="A532" s="15" t="n">
        <v>531</v>
      </c>
      <c r="B532" s="15" t="s">
        <v>65</v>
      </c>
      <c r="C532" s="15" t="s">
        <v>744</v>
      </c>
      <c r="D532" s="15" t="s">
        <v>745</v>
      </c>
      <c r="E532" s="16" t="s">
        <v>39</v>
      </c>
      <c r="F532" s="15" t="s">
        <v>95</v>
      </c>
      <c r="G532" s="17" t="s">
        <v>85</v>
      </c>
      <c r="H532" s="16" t="s">
        <v>86</v>
      </c>
      <c r="I532" s="15"/>
      <c r="J532" s="15"/>
      <c r="K532" s="18"/>
      <c r="L532" s="15"/>
    </row>
    <row r="533" customFormat="false" ht="15" hidden="false" customHeight="false" outlineLevel="0" collapsed="false">
      <c r="A533" s="15" t="n">
        <v>532</v>
      </c>
      <c r="B533" s="15" t="s">
        <v>65</v>
      </c>
      <c r="C533" s="15" t="s">
        <v>744</v>
      </c>
      <c r="D533" s="15" t="s">
        <v>746</v>
      </c>
      <c r="E533" s="16" t="s">
        <v>40</v>
      </c>
      <c r="F533" s="15" t="s">
        <v>95</v>
      </c>
      <c r="G533" s="17" t="s">
        <v>85</v>
      </c>
      <c r="H533" s="16" t="s">
        <v>86</v>
      </c>
      <c r="I533" s="15"/>
      <c r="J533" s="15"/>
      <c r="K533" s="18"/>
      <c r="L533" s="15"/>
    </row>
    <row r="534" customFormat="false" ht="15" hidden="false" customHeight="false" outlineLevel="0" collapsed="false">
      <c r="A534" s="15" t="n">
        <v>533</v>
      </c>
      <c r="B534" s="15" t="s">
        <v>65</v>
      </c>
      <c r="C534" s="15" t="s">
        <v>744</v>
      </c>
      <c r="D534" s="15" t="s">
        <v>747</v>
      </c>
      <c r="E534" s="16" t="s">
        <v>39</v>
      </c>
      <c r="F534" s="15" t="s">
        <v>95</v>
      </c>
      <c r="G534" s="17" t="s">
        <v>85</v>
      </c>
      <c r="H534" s="16" t="s">
        <v>86</v>
      </c>
      <c r="I534" s="15"/>
      <c r="J534" s="15"/>
      <c r="K534" s="18"/>
      <c r="L534" s="15"/>
    </row>
    <row r="535" customFormat="false" ht="15" hidden="false" customHeight="false" outlineLevel="0" collapsed="false">
      <c r="A535" s="15" t="n">
        <v>534</v>
      </c>
      <c r="B535" s="15" t="s">
        <v>65</v>
      </c>
      <c r="C535" s="15" t="s">
        <v>744</v>
      </c>
      <c r="D535" s="15" t="s">
        <v>748</v>
      </c>
      <c r="E535" s="16" t="s">
        <v>41</v>
      </c>
      <c r="F535" s="15" t="s">
        <v>95</v>
      </c>
      <c r="G535" s="17" t="s">
        <v>85</v>
      </c>
      <c r="H535" s="16" t="s">
        <v>86</v>
      </c>
      <c r="I535" s="15"/>
      <c r="J535" s="15"/>
      <c r="K535" s="18"/>
      <c r="L535" s="15"/>
    </row>
    <row r="536" customFormat="false" ht="15" hidden="false" customHeight="false" outlineLevel="0" collapsed="false">
      <c r="A536" s="15" t="n">
        <v>535</v>
      </c>
      <c r="B536" s="15" t="s">
        <v>65</v>
      </c>
      <c r="C536" s="15" t="s">
        <v>749</v>
      </c>
      <c r="D536" s="15" t="s">
        <v>750</v>
      </c>
      <c r="E536" s="16" t="s">
        <v>40</v>
      </c>
      <c r="F536" s="15" t="s">
        <v>95</v>
      </c>
      <c r="G536" s="17" t="s">
        <v>85</v>
      </c>
      <c r="H536" s="16" t="s">
        <v>86</v>
      </c>
      <c r="I536" s="15"/>
      <c r="J536" s="15"/>
      <c r="K536" s="18"/>
      <c r="L536" s="15"/>
    </row>
    <row r="537" customFormat="false" ht="15" hidden="false" customHeight="false" outlineLevel="0" collapsed="false">
      <c r="A537" s="15" t="n">
        <v>536</v>
      </c>
      <c r="B537" s="15" t="s">
        <v>65</v>
      </c>
      <c r="C537" s="15" t="s">
        <v>751</v>
      </c>
      <c r="D537" s="15" t="s">
        <v>752</v>
      </c>
      <c r="E537" s="16" t="s">
        <v>39</v>
      </c>
      <c r="F537" s="15" t="s">
        <v>95</v>
      </c>
      <c r="G537" s="17" t="s">
        <v>85</v>
      </c>
      <c r="H537" s="16" t="s">
        <v>86</v>
      </c>
      <c r="I537" s="15"/>
      <c r="J537" s="15"/>
      <c r="K537" s="18"/>
      <c r="L537" s="15"/>
    </row>
    <row r="538" customFormat="false" ht="15" hidden="false" customHeight="false" outlineLevel="0" collapsed="false">
      <c r="A538" s="15" t="n">
        <v>537</v>
      </c>
      <c r="B538" s="15" t="s">
        <v>65</v>
      </c>
      <c r="C538" s="15" t="s">
        <v>751</v>
      </c>
      <c r="D538" s="15" t="s">
        <v>753</v>
      </c>
      <c r="E538" s="16" t="s">
        <v>39</v>
      </c>
      <c r="F538" s="15" t="s">
        <v>95</v>
      </c>
      <c r="G538" s="17" t="s">
        <v>85</v>
      </c>
      <c r="H538" s="16" t="s">
        <v>86</v>
      </c>
      <c r="I538" s="15"/>
      <c r="J538" s="15"/>
      <c r="K538" s="18"/>
      <c r="L538" s="15"/>
    </row>
    <row r="539" customFormat="false" ht="15" hidden="false" customHeight="false" outlineLevel="0" collapsed="false">
      <c r="A539" s="15" t="n">
        <v>538</v>
      </c>
      <c r="B539" s="15" t="s">
        <v>65</v>
      </c>
      <c r="C539" s="15" t="s">
        <v>754</v>
      </c>
      <c r="D539" s="15" t="s">
        <v>755</v>
      </c>
      <c r="E539" s="16" t="s">
        <v>39</v>
      </c>
      <c r="F539" s="15" t="s">
        <v>95</v>
      </c>
      <c r="G539" s="17" t="s">
        <v>85</v>
      </c>
      <c r="H539" s="16" t="s">
        <v>86</v>
      </c>
      <c r="I539" s="15"/>
      <c r="J539" s="15"/>
      <c r="K539" s="18"/>
      <c r="L539" s="15"/>
    </row>
    <row r="540" customFormat="false" ht="15" hidden="false" customHeight="false" outlineLevel="0" collapsed="false">
      <c r="A540" s="15" t="n">
        <v>539</v>
      </c>
      <c r="B540" s="15" t="s">
        <v>65</v>
      </c>
      <c r="C540" s="15" t="s">
        <v>754</v>
      </c>
      <c r="D540" s="15" t="s">
        <v>756</v>
      </c>
      <c r="E540" s="16" t="s">
        <v>40</v>
      </c>
      <c r="F540" s="15" t="s">
        <v>84</v>
      </c>
      <c r="G540" s="17" t="s">
        <v>85</v>
      </c>
      <c r="H540" s="16" t="s">
        <v>86</v>
      </c>
      <c r="I540" s="15"/>
      <c r="J540" s="15"/>
      <c r="K540" s="18"/>
      <c r="L540" s="15"/>
    </row>
    <row r="541" customFormat="false" ht="15" hidden="false" customHeight="false" outlineLevel="0" collapsed="false">
      <c r="A541" s="15" t="n">
        <v>540</v>
      </c>
      <c r="B541" s="15" t="s">
        <v>65</v>
      </c>
      <c r="C541" s="15" t="s">
        <v>757</v>
      </c>
      <c r="D541" s="15" t="s">
        <v>758</v>
      </c>
      <c r="E541" s="16" t="s">
        <v>40</v>
      </c>
      <c r="F541" s="15" t="s">
        <v>84</v>
      </c>
      <c r="G541" s="17" t="s">
        <v>85</v>
      </c>
      <c r="H541" s="16" t="s">
        <v>86</v>
      </c>
      <c r="I541" s="15"/>
      <c r="J541" s="15"/>
      <c r="K541" s="18"/>
      <c r="L541" s="15"/>
    </row>
    <row r="542" customFormat="false" ht="15" hidden="false" customHeight="false" outlineLevel="0" collapsed="false">
      <c r="A542" s="15" t="n">
        <v>541</v>
      </c>
      <c r="B542" s="15" t="s">
        <v>66</v>
      </c>
      <c r="C542" s="15" t="s">
        <v>345</v>
      </c>
      <c r="D542" s="15" t="s">
        <v>759</v>
      </c>
      <c r="E542" s="16" t="s">
        <v>40</v>
      </c>
      <c r="F542" s="15" t="s">
        <v>95</v>
      </c>
      <c r="G542" s="17" t="s">
        <v>85</v>
      </c>
      <c r="H542" s="16" t="s">
        <v>86</v>
      </c>
      <c r="I542" s="15"/>
      <c r="J542" s="15"/>
      <c r="K542" s="18"/>
      <c r="L542" s="15"/>
    </row>
    <row r="543" customFormat="false" ht="15" hidden="false" customHeight="false" outlineLevel="0" collapsed="false">
      <c r="A543" s="15" t="n">
        <v>542</v>
      </c>
      <c r="B543" s="15" t="s">
        <v>66</v>
      </c>
      <c r="C543" s="15" t="s">
        <v>345</v>
      </c>
      <c r="D543" s="15" t="s">
        <v>760</v>
      </c>
      <c r="E543" s="16" t="s">
        <v>40</v>
      </c>
      <c r="F543" s="15" t="s">
        <v>95</v>
      </c>
      <c r="G543" s="17" t="s">
        <v>85</v>
      </c>
      <c r="H543" s="16" t="s">
        <v>86</v>
      </c>
      <c r="I543" s="15"/>
      <c r="J543" s="15"/>
      <c r="K543" s="18"/>
      <c r="L543" s="15"/>
    </row>
    <row r="544" customFormat="false" ht="15" hidden="false" customHeight="false" outlineLevel="0" collapsed="false">
      <c r="A544" s="15" t="n">
        <v>543</v>
      </c>
      <c r="B544" s="15" t="s">
        <v>66</v>
      </c>
      <c r="C544" s="15" t="s">
        <v>345</v>
      </c>
      <c r="D544" s="15" t="s">
        <v>761</v>
      </c>
      <c r="E544" s="16" t="s">
        <v>40</v>
      </c>
      <c r="F544" s="15" t="s">
        <v>95</v>
      </c>
      <c r="G544" s="17" t="s">
        <v>85</v>
      </c>
      <c r="H544" s="16" t="s">
        <v>86</v>
      </c>
      <c r="I544" s="15"/>
      <c r="J544" s="15"/>
      <c r="K544" s="18"/>
      <c r="L544" s="15"/>
    </row>
    <row r="545" customFormat="false" ht="15" hidden="false" customHeight="false" outlineLevel="0" collapsed="false">
      <c r="A545" s="15" t="n">
        <v>544</v>
      </c>
      <c r="B545" s="15" t="s">
        <v>66</v>
      </c>
      <c r="C545" s="15" t="s">
        <v>345</v>
      </c>
      <c r="D545" s="15" t="s">
        <v>762</v>
      </c>
      <c r="E545" s="16" t="s">
        <v>40</v>
      </c>
      <c r="F545" s="15" t="s">
        <v>95</v>
      </c>
      <c r="G545" s="17" t="s">
        <v>85</v>
      </c>
      <c r="H545" s="16" t="s">
        <v>86</v>
      </c>
      <c r="I545" s="15"/>
      <c r="J545" s="15"/>
      <c r="K545" s="18"/>
      <c r="L545" s="15"/>
    </row>
    <row r="546" customFormat="false" ht="15" hidden="false" customHeight="false" outlineLevel="0" collapsed="false">
      <c r="A546" s="15" t="n">
        <v>545</v>
      </c>
      <c r="B546" s="15" t="s">
        <v>66</v>
      </c>
      <c r="C546" s="15" t="s">
        <v>763</v>
      </c>
      <c r="D546" s="15" t="s">
        <v>764</v>
      </c>
      <c r="E546" s="16" t="s">
        <v>39</v>
      </c>
      <c r="F546" s="15" t="s">
        <v>84</v>
      </c>
      <c r="G546" s="17" t="s">
        <v>85</v>
      </c>
      <c r="H546" s="16" t="s">
        <v>86</v>
      </c>
      <c r="I546" s="15"/>
      <c r="J546" s="15"/>
      <c r="K546" s="18"/>
      <c r="L546" s="15"/>
    </row>
    <row r="547" customFormat="false" ht="15" hidden="false" customHeight="false" outlineLevel="0" collapsed="false">
      <c r="A547" s="15" t="n">
        <v>546</v>
      </c>
      <c r="B547" s="15" t="s">
        <v>66</v>
      </c>
      <c r="C547" s="15" t="s">
        <v>763</v>
      </c>
      <c r="D547" s="15" t="s">
        <v>765</v>
      </c>
      <c r="E547" s="16" t="s">
        <v>40</v>
      </c>
      <c r="F547" s="15" t="s">
        <v>84</v>
      </c>
      <c r="G547" s="17" t="s">
        <v>85</v>
      </c>
      <c r="H547" s="16" t="s">
        <v>86</v>
      </c>
      <c r="I547" s="15"/>
      <c r="J547" s="15"/>
      <c r="K547" s="18"/>
      <c r="L547" s="15"/>
    </row>
    <row r="548" customFormat="false" ht="15" hidden="false" customHeight="false" outlineLevel="0" collapsed="false">
      <c r="A548" s="15" t="n">
        <v>547</v>
      </c>
      <c r="B548" s="15" t="s">
        <v>66</v>
      </c>
      <c r="C548" s="15" t="s">
        <v>763</v>
      </c>
      <c r="D548" s="15" t="s">
        <v>766</v>
      </c>
      <c r="E548" s="16" t="s">
        <v>41</v>
      </c>
      <c r="F548" s="15" t="s">
        <v>84</v>
      </c>
      <c r="G548" s="17" t="s">
        <v>85</v>
      </c>
      <c r="H548" s="16" t="s">
        <v>86</v>
      </c>
      <c r="I548" s="15"/>
      <c r="J548" s="15"/>
      <c r="K548" s="18"/>
      <c r="L548" s="15"/>
    </row>
    <row r="549" customFormat="false" ht="15" hidden="false" customHeight="false" outlineLevel="0" collapsed="false">
      <c r="A549" s="15" t="n">
        <v>548</v>
      </c>
      <c r="B549" s="15" t="s">
        <v>66</v>
      </c>
      <c r="C549" s="15" t="s">
        <v>763</v>
      </c>
      <c r="D549" s="15" t="s">
        <v>767</v>
      </c>
      <c r="E549" s="16" t="s">
        <v>41</v>
      </c>
      <c r="F549" s="15" t="s">
        <v>84</v>
      </c>
      <c r="G549" s="17" t="s">
        <v>85</v>
      </c>
      <c r="H549" s="16" t="s">
        <v>86</v>
      </c>
      <c r="I549" s="15"/>
      <c r="J549" s="15"/>
      <c r="K549" s="18"/>
      <c r="L549" s="15"/>
    </row>
    <row r="550" customFormat="false" ht="15" hidden="false" customHeight="false" outlineLevel="0" collapsed="false">
      <c r="A550" s="15" t="n">
        <v>549</v>
      </c>
      <c r="B550" s="15" t="s">
        <v>66</v>
      </c>
      <c r="C550" s="15" t="s">
        <v>768</v>
      </c>
      <c r="D550" s="15" t="s">
        <v>769</v>
      </c>
      <c r="E550" s="16" t="s">
        <v>40</v>
      </c>
      <c r="F550" s="15" t="s">
        <v>95</v>
      </c>
      <c r="G550" s="17" t="s">
        <v>85</v>
      </c>
      <c r="H550" s="16" t="s">
        <v>86</v>
      </c>
      <c r="I550" s="15"/>
      <c r="J550" s="15"/>
      <c r="K550" s="18"/>
      <c r="L550" s="15"/>
    </row>
    <row r="551" customFormat="false" ht="15" hidden="false" customHeight="false" outlineLevel="0" collapsed="false">
      <c r="A551" s="15" t="n">
        <v>550</v>
      </c>
      <c r="B551" s="15" t="s">
        <v>66</v>
      </c>
      <c r="C551" s="15" t="s">
        <v>768</v>
      </c>
      <c r="D551" s="15" t="s">
        <v>770</v>
      </c>
      <c r="E551" s="16" t="s">
        <v>40</v>
      </c>
      <c r="F551" s="15" t="s">
        <v>95</v>
      </c>
      <c r="G551" s="17" t="s">
        <v>85</v>
      </c>
      <c r="H551" s="16" t="s">
        <v>86</v>
      </c>
      <c r="I551" s="15"/>
      <c r="J551" s="15"/>
      <c r="K551" s="18"/>
      <c r="L551" s="15"/>
    </row>
    <row r="552" customFormat="false" ht="15" hidden="false" customHeight="false" outlineLevel="0" collapsed="false">
      <c r="A552" s="15" t="n">
        <v>551</v>
      </c>
      <c r="B552" s="15" t="s">
        <v>66</v>
      </c>
      <c r="C552" s="15" t="s">
        <v>771</v>
      </c>
      <c r="D552" s="15" t="s">
        <v>772</v>
      </c>
      <c r="E552" s="16" t="s">
        <v>41</v>
      </c>
      <c r="F552" s="15" t="s">
        <v>95</v>
      </c>
      <c r="G552" s="17" t="s">
        <v>85</v>
      </c>
      <c r="H552" s="16" t="s">
        <v>86</v>
      </c>
      <c r="I552" s="15"/>
      <c r="J552" s="15"/>
      <c r="K552" s="18"/>
      <c r="L552" s="15"/>
    </row>
    <row r="553" customFormat="false" ht="15" hidden="false" customHeight="false" outlineLevel="0" collapsed="false">
      <c r="A553" s="15" t="n">
        <v>552</v>
      </c>
      <c r="B553" s="15" t="s">
        <v>67</v>
      </c>
      <c r="C553" s="15" t="s">
        <v>773</v>
      </c>
      <c r="D553" s="15" t="s">
        <v>774</v>
      </c>
      <c r="E553" s="16" t="s">
        <v>40</v>
      </c>
      <c r="F553" s="15" t="s">
        <v>95</v>
      </c>
      <c r="G553" s="17" t="s">
        <v>85</v>
      </c>
      <c r="H553" s="16" t="s">
        <v>86</v>
      </c>
      <c r="I553" s="15"/>
      <c r="J553" s="15"/>
      <c r="K553" s="18"/>
      <c r="L553" s="15"/>
    </row>
    <row r="554" customFormat="false" ht="15" hidden="false" customHeight="false" outlineLevel="0" collapsed="false">
      <c r="A554" s="15" t="n">
        <v>553</v>
      </c>
      <c r="B554" s="15" t="s">
        <v>67</v>
      </c>
      <c r="C554" s="15" t="s">
        <v>773</v>
      </c>
      <c r="D554" s="15" t="s">
        <v>775</v>
      </c>
      <c r="E554" s="16" t="s">
        <v>41</v>
      </c>
      <c r="F554" s="15" t="s">
        <v>95</v>
      </c>
      <c r="G554" s="17" t="s">
        <v>85</v>
      </c>
      <c r="H554" s="16" t="s">
        <v>86</v>
      </c>
      <c r="I554" s="15"/>
      <c r="J554" s="15"/>
      <c r="K554" s="18"/>
      <c r="L554" s="15"/>
    </row>
    <row r="555" customFormat="false" ht="15" hidden="false" customHeight="false" outlineLevel="0" collapsed="false">
      <c r="A555" s="15" t="n">
        <v>554</v>
      </c>
      <c r="B555" s="15" t="s">
        <v>67</v>
      </c>
      <c r="C555" s="15" t="s">
        <v>776</v>
      </c>
      <c r="D555" s="15" t="s">
        <v>777</v>
      </c>
      <c r="E555" s="16" t="s">
        <v>39</v>
      </c>
      <c r="F555" s="15" t="s">
        <v>95</v>
      </c>
      <c r="G555" s="17" t="s">
        <v>85</v>
      </c>
      <c r="H555" s="16" t="s">
        <v>86</v>
      </c>
      <c r="I555" s="15"/>
      <c r="J555" s="15"/>
      <c r="K555" s="18"/>
      <c r="L555" s="15"/>
    </row>
    <row r="556" customFormat="false" ht="15" hidden="false" customHeight="false" outlineLevel="0" collapsed="false">
      <c r="A556" s="15" t="n">
        <v>555</v>
      </c>
      <c r="B556" s="15" t="s">
        <v>67</v>
      </c>
      <c r="C556" s="15" t="s">
        <v>776</v>
      </c>
      <c r="D556" s="15" t="s">
        <v>778</v>
      </c>
      <c r="E556" s="16" t="s">
        <v>39</v>
      </c>
      <c r="F556" s="15" t="s">
        <v>95</v>
      </c>
      <c r="G556" s="17" t="s">
        <v>85</v>
      </c>
      <c r="H556" s="16" t="s">
        <v>86</v>
      </c>
      <c r="I556" s="15"/>
      <c r="J556" s="15"/>
      <c r="K556" s="18"/>
      <c r="L556" s="15"/>
    </row>
    <row r="557" customFormat="false" ht="15" hidden="false" customHeight="false" outlineLevel="0" collapsed="false">
      <c r="A557" s="15" t="n">
        <v>556</v>
      </c>
      <c r="B557" s="15" t="s">
        <v>67</v>
      </c>
      <c r="C557" s="15" t="s">
        <v>776</v>
      </c>
      <c r="D557" s="15" t="s">
        <v>779</v>
      </c>
      <c r="E557" s="16" t="s">
        <v>40</v>
      </c>
      <c r="F557" s="15" t="s">
        <v>95</v>
      </c>
      <c r="G557" s="17" t="s">
        <v>85</v>
      </c>
      <c r="H557" s="16" t="s">
        <v>86</v>
      </c>
      <c r="I557" s="15"/>
      <c r="J557" s="15"/>
      <c r="K557" s="18"/>
      <c r="L557" s="15"/>
    </row>
    <row r="558" customFormat="false" ht="15" hidden="false" customHeight="false" outlineLevel="0" collapsed="false">
      <c r="A558" s="15" t="n">
        <v>557</v>
      </c>
      <c r="B558" s="15" t="s">
        <v>67</v>
      </c>
      <c r="C558" s="15" t="s">
        <v>776</v>
      </c>
      <c r="D558" s="15" t="s">
        <v>780</v>
      </c>
      <c r="E558" s="16" t="s">
        <v>41</v>
      </c>
      <c r="F558" s="15" t="s">
        <v>95</v>
      </c>
      <c r="G558" s="17" t="s">
        <v>85</v>
      </c>
      <c r="H558" s="16" t="s">
        <v>86</v>
      </c>
      <c r="I558" s="15"/>
      <c r="J558" s="15"/>
      <c r="K558" s="18"/>
      <c r="L558" s="15"/>
    </row>
    <row r="559" customFormat="false" ht="15" hidden="false" customHeight="false" outlineLevel="0" collapsed="false">
      <c r="A559" s="15" t="n">
        <v>558</v>
      </c>
      <c r="B559" s="15" t="s">
        <v>67</v>
      </c>
      <c r="C559" s="15" t="s">
        <v>781</v>
      </c>
      <c r="D559" s="15" t="s">
        <v>782</v>
      </c>
      <c r="E559" s="16" t="s">
        <v>40</v>
      </c>
      <c r="F559" s="15" t="s">
        <v>95</v>
      </c>
      <c r="G559" s="17" t="s">
        <v>85</v>
      </c>
      <c r="H559" s="16" t="s">
        <v>86</v>
      </c>
      <c r="I559" s="15"/>
      <c r="J559" s="15"/>
      <c r="K559" s="18"/>
      <c r="L559" s="15"/>
    </row>
    <row r="560" customFormat="false" ht="15" hidden="false" customHeight="false" outlineLevel="0" collapsed="false">
      <c r="A560" s="15" t="n">
        <v>559</v>
      </c>
      <c r="B560" s="15" t="s">
        <v>67</v>
      </c>
      <c r="C560" s="15" t="s">
        <v>781</v>
      </c>
      <c r="D560" s="15" t="s">
        <v>783</v>
      </c>
      <c r="E560" s="16" t="s">
        <v>40</v>
      </c>
      <c r="F560" s="15" t="s">
        <v>95</v>
      </c>
      <c r="G560" s="17" t="s">
        <v>85</v>
      </c>
      <c r="H560" s="16" t="s">
        <v>86</v>
      </c>
      <c r="I560" s="15"/>
      <c r="J560" s="15"/>
      <c r="K560" s="18"/>
      <c r="L560" s="15"/>
    </row>
    <row r="561" customFormat="false" ht="15" hidden="false" customHeight="false" outlineLevel="0" collapsed="false">
      <c r="A561" s="15" t="n">
        <v>560</v>
      </c>
      <c r="B561" s="15" t="s">
        <v>67</v>
      </c>
      <c r="C561" s="15" t="s">
        <v>781</v>
      </c>
      <c r="D561" s="15" t="s">
        <v>784</v>
      </c>
      <c r="E561" s="16" t="s">
        <v>40</v>
      </c>
      <c r="F561" s="15" t="s">
        <v>95</v>
      </c>
      <c r="G561" s="17" t="s">
        <v>85</v>
      </c>
      <c r="H561" s="16" t="s">
        <v>86</v>
      </c>
      <c r="I561" s="15"/>
      <c r="J561" s="15"/>
      <c r="K561" s="18"/>
      <c r="L561" s="15"/>
    </row>
    <row r="562" customFormat="false" ht="15" hidden="false" customHeight="false" outlineLevel="0" collapsed="false">
      <c r="A562" s="15" t="n">
        <v>561</v>
      </c>
      <c r="B562" s="15" t="s">
        <v>67</v>
      </c>
      <c r="C562" s="15" t="s">
        <v>785</v>
      </c>
      <c r="D562" s="15" t="s">
        <v>786</v>
      </c>
      <c r="E562" s="16" t="s">
        <v>40</v>
      </c>
      <c r="F562" s="15" t="s">
        <v>95</v>
      </c>
      <c r="G562" s="17" t="s">
        <v>85</v>
      </c>
      <c r="H562" s="16" t="s">
        <v>86</v>
      </c>
      <c r="I562" s="15"/>
      <c r="J562" s="15"/>
      <c r="K562" s="18"/>
      <c r="L562" s="15"/>
    </row>
    <row r="563" customFormat="false" ht="15" hidden="false" customHeight="false" outlineLevel="0" collapsed="false">
      <c r="A563" s="15" t="n">
        <v>562</v>
      </c>
      <c r="B563" s="15" t="s">
        <v>67</v>
      </c>
      <c r="C563" s="15" t="s">
        <v>785</v>
      </c>
      <c r="D563" s="15" t="s">
        <v>787</v>
      </c>
      <c r="E563" s="16" t="s">
        <v>40</v>
      </c>
      <c r="F563" s="15" t="s">
        <v>95</v>
      </c>
      <c r="G563" s="17" t="s">
        <v>85</v>
      </c>
      <c r="H563" s="16" t="s">
        <v>86</v>
      </c>
      <c r="I563" s="15"/>
      <c r="J563" s="15"/>
      <c r="K563" s="18"/>
      <c r="L563" s="15"/>
    </row>
    <row r="564" customFormat="false" ht="15" hidden="false" customHeight="false" outlineLevel="0" collapsed="false">
      <c r="A564" s="15" t="n">
        <v>563</v>
      </c>
      <c r="B564" s="15" t="s">
        <v>68</v>
      </c>
      <c r="C564" s="15" t="s">
        <v>788</v>
      </c>
      <c r="D564" s="15" t="s">
        <v>789</v>
      </c>
      <c r="E564" s="16" t="s">
        <v>40</v>
      </c>
      <c r="F564" s="15" t="s">
        <v>95</v>
      </c>
      <c r="G564" s="17" t="s">
        <v>85</v>
      </c>
      <c r="H564" s="16" t="s">
        <v>86</v>
      </c>
      <c r="I564" s="15"/>
      <c r="J564" s="15"/>
      <c r="K564" s="18"/>
      <c r="L564" s="15"/>
    </row>
    <row r="565" customFormat="false" ht="15" hidden="false" customHeight="false" outlineLevel="0" collapsed="false">
      <c r="A565" s="15" t="n">
        <v>564</v>
      </c>
      <c r="B565" s="15" t="s">
        <v>68</v>
      </c>
      <c r="C565" s="15" t="s">
        <v>788</v>
      </c>
      <c r="D565" s="15" t="s">
        <v>790</v>
      </c>
      <c r="E565" s="16" t="s">
        <v>40</v>
      </c>
      <c r="F565" s="15" t="s">
        <v>84</v>
      </c>
      <c r="G565" s="17" t="s">
        <v>85</v>
      </c>
      <c r="H565" s="16" t="s">
        <v>86</v>
      </c>
      <c r="I565" s="15"/>
      <c r="J565" s="15"/>
      <c r="K565" s="18"/>
      <c r="L565" s="15"/>
    </row>
    <row r="566" customFormat="false" ht="15" hidden="false" customHeight="false" outlineLevel="0" collapsed="false">
      <c r="A566" s="15" t="n">
        <v>565</v>
      </c>
      <c r="B566" s="15" t="s">
        <v>68</v>
      </c>
      <c r="C566" s="15" t="s">
        <v>788</v>
      </c>
      <c r="D566" s="15" t="s">
        <v>791</v>
      </c>
      <c r="E566" s="16" t="s">
        <v>41</v>
      </c>
      <c r="F566" s="15" t="s">
        <v>84</v>
      </c>
      <c r="G566" s="17" t="s">
        <v>85</v>
      </c>
      <c r="H566" s="16" t="s">
        <v>86</v>
      </c>
      <c r="I566" s="15"/>
      <c r="J566" s="15"/>
      <c r="K566" s="18"/>
      <c r="L566" s="15"/>
    </row>
    <row r="567" customFormat="false" ht="15" hidden="false" customHeight="false" outlineLevel="0" collapsed="false">
      <c r="A567" s="15" t="n">
        <v>566</v>
      </c>
      <c r="B567" s="15" t="s">
        <v>68</v>
      </c>
      <c r="C567" s="15" t="s">
        <v>792</v>
      </c>
      <c r="D567" s="15" t="s">
        <v>793</v>
      </c>
      <c r="E567" s="16" t="s">
        <v>40</v>
      </c>
      <c r="F567" s="15" t="s">
        <v>84</v>
      </c>
      <c r="G567" s="17" t="s">
        <v>85</v>
      </c>
      <c r="H567" s="16" t="s">
        <v>86</v>
      </c>
      <c r="I567" s="15"/>
      <c r="J567" s="15"/>
      <c r="K567" s="18"/>
      <c r="L567" s="15"/>
    </row>
    <row r="568" customFormat="false" ht="15" hidden="false" customHeight="false" outlineLevel="0" collapsed="false">
      <c r="A568" s="15" t="n">
        <v>567</v>
      </c>
      <c r="B568" s="15" t="s">
        <v>68</v>
      </c>
      <c r="C568" s="15" t="s">
        <v>792</v>
      </c>
      <c r="D568" s="15" t="s">
        <v>794</v>
      </c>
      <c r="E568" s="16" t="s">
        <v>41</v>
      </c>
      <c r="F568" s="15" t="s">
        <v>95</v>
      </c>
      <c r="G568" s="17" t="s">
        <v>85</v>
      </c>
      <c r="H568" s="16" t="s">
        <v>86</v>
      </c>
      <c r="I568" s="15"/>
      <c r="J568" s="15"/>
      <c r="K568" s="18"/>
      <c r="L568" s="15"/>
    </row>
    <row r="569" customFormat="false" ht="15" hidden="false" customHeight="false" outlineLevel="0" collapsed="false">
      <c r="A569" s="15" t="n">
        <v>568</v>
      </c>
      <c r="B569" s="15" t="s">
        <v>68</v>
      </c>
      <c r="C569" s="15" t="s">
        <v>795</v>
      </c>
      <c r="D569" s="15" t="s">
        <v>796</v>
      </c>
      <c r="E569" s="16" t="s">
        <v>41</v>
      </c>
      <c r="F569" s="15" t="s">
        <v>95</v>
      </c>
      <c r="G569" s="17" t="s">
        <v>85</v>
      </c>
      <c r="H569" s="16" t="s">
        <v>86</v>
      </c>
      <c r="I569" s="15"/>
      <c r="J569" s="15"/>
      <c r="K569" s="18"/>
      <c r="L569" s="15"/>
    </row>
    <row r="570" customFormat="false" ht="15" hidden="false" customHeight="false" outlineLevel="0" collapsed="false">
      <c r="A570" s="15" t="n">
        <v>569</v>
      </c>
      <c r="B570" s="15" t="s">
        <v>68</v>
      </c>
      <c r="C570" s="15" t="s">
        <v>797</v>
      </c>
      <c r="D570" s="15" t="s">
        <v>798</v>
      </c>
      <c r="E570" s="16" t="s">
        <v>41</v>
      </c>
      <c r="F570" s="15" t="s">
        <v>84</v>
      </c>
      <c r="G570" s="17" t="s">
        <v>85</v>
      </c>
      <c r="H570" s="16" t="s">
        <v>86</v>
      </c>
      <c r="I570" s="15"/>
      <c r="J570" s="15"/>
      <c r="K570" s="18"/>
      <c r="L570" s="15"/>
    </row>
    <row r="571" customFormat="false" ht="15" hidden="false" customHeight="false" outlineLevel="0" collapsed="false">
      <c r="A571" s="15" t="n">
        <v>570</v>
      </c>
      <c r="B571" s="15" t="s">
        <v>68</v>
      </c>
      <c r="C571" s="15" t="s">
        <v>799</v>
      </c>
      <c r="D571" s="15" t="s">
        <v>800</v>
      </c>
      <c r="E571" s="16" t="s">
        <v>41</v>
      </c>
      <c r="F571" s="15" t="s">
        <v>84</v>
      </c>
      <c r="G571" s="17" t="s">
        <v>85</v>
      </c>
      <c r="H571" s="16" t="s">
        <v>86</v>
      </c>
      <c r="I571" s="15"/>
      <c r="J571" s="15"/>
      <c r="K571" s="18"/>
      <c r="L571" s="15"/>
    </row>
  </sheetData>
  <autoFilter ref="A1:L571"/>
  <conditionalFormatting sqref="E2:E571">
    <cfRule type="cellIs" priority="2" operator="equal" aboveAverage="0" equalAverage="0" bottom="0" percent="0" rank="0" text="" dxfId="7">
      <formula>"Easy"</formula>
    </cfRule>
    <cfRule type="cellIs" priority="3" operator="equal" aboveAverage="0" equalAverage="0" bottom="0" percent="0" rank="0" text="" dxfId="8">
      <formula>"Medium"</formula>
    </cfRule>
    <cfRule type="cellIs" priority="4" operator="equal" aboveAverage="0" equalAverage="0" bottom="0" percent="0" rank="0" text="" dxfId="9">
      <formula>"Hard"</formula>
    </cfRule>
  </conditionalFormatting>
  <conditionalFormatting sqref="H2:H571">
    <cfRule type="cellIs" priority="5" operator="equal" aboveAverage="0" equalAverage="0" bottom="0" percent="0" rank="0" text="" dxfId="7">
      <formula>"Mastered"</formula>
    </cfRule>
    <cfRule type="cellIs" priority="6" operator="equal" aboveAverage="0" equalAverage="0" bottom="0" percent="0" rank="0" text="" dxfId="10">
      <formula>"Solved"</formula>
    </cfRule>
    <cfRule type="cellIs" priority="7" operator="equal" aboveAverage="0" equalAverage="0" bottom="0" percent="0" rank="0" text="" dxfId="8">
      <formula>"Attempted"</formula>
    </cfRule>
    <cfRule type="cellIs" priority="8" operator="equal" aboveAverage="0" equalAverage="0" bottom="0" percent="0" rank="0" text="" dxfId="9">
      <formula>"Revisit"</formula>
    </cfRule>
  </conditionalFormatting>
  <dataValidations count="2">
    <dataValidation allowBlank="true" errorStyle="stop" operator="between" showDropDown="false" showErrorMessage="false" showInputMessage="false" sqref="H2:H571" type="list">
      <formula1>"Not Started,Attempted,Solved,Mastered,Revisit"</formula1>
      <formula2>0</formula2>
    </dataValidation>
    <dataValidation allowBlank="true" errorStyle="stop" operator="between" showDropDown="false" showErrorMessage="false" showInputMessage="false" sqref="I2:I571" type="list">
      <formula1>"1,2,3,4,5"</formula1>
      <formula2>0</formula2>
    </dataValidation>
  </dataValidations>
  <hyperlinks>
    <hyperlink ref="G2" r:id="rId1" display="Open"/>
    <hyperlink ref="G3" r:id="rId2" display="Open"/>
    <hyperlink ref="G4" r:id="rId3" display="Open"/>
    <hyperlink ref="G5" r:id="rId4" display="Open"/>
    <hyperlink ref="G6" r:id="rId5" display="Open"/>
    <hyperlink ref="G7" r:id="rId6" display="Open"/>
    <hyperlink ref="G8" r:id="rId7" display="Open"/>
    <hyperlink ref="G9" r:id="rId8" display="Open"/>
    <hyperlink ref="G10" r:id="rId9" display="Open"/>
    <hyperlink ref="G11" r:id="rId10" display="Open"/>
    <hyperlink ref="G12" r:id="rId11" display="Open"/>
    <hyperlink ref="G13" r:id="rId12" display="Open"/>
    <hyperlink ref="G14" r:id="rId13" display="Open"/>
    <hyperlink ref="G15" r:id="rId14" display="Open"/>
    <hyperlink ref="G16" r:id="rId15" display="Open"/>
    <hyperlink ref="G17" r:id="rId16" display="Open"/>
    <hyperlink ref="G18" r:id="rId17" display="Open"/>
    <hyperlink ref="G19" r:id="rId18" display="Open"/>
    <hyperlink ref="G20" r:id="rId19" display="Open"/>
    <hyperlink ref="G21" r:id="rId20" display="Open"/>
    <hyperlink ref="G22" r:id="rId21" display="Open"/>
    <hyperlink ref="G23" r:id="rId22" display="Open"/>
    <hyperlink ref="G24" r:id="rId23" display="Open"/>
    <hyperlink ref="G25" r:id="rId24" display="Open"/>
    <hyperlink ref="G26" r:id="rId25" display="Open"/>
    <hyperlink ref="G27" r:id="rId26" display="Open"/>
    <hyperlink ref="G28" r:id="rId27" display="Open"/>
    <hyperlink ref="G29" r:id="rId28" display="Open"/>
    <hyperlink ref="G30" r:id="rId29" display="Open"/>
    <hyperlink ref="G31" r:id="rId30" display="Open"/>
    <hyperlink ref="G32" r:id="rId31" display="Open"/>
    <hyperlink ref="G33" r:id="rId32" display="Open"/>
    <hyperlink ref="G34" r:id="rId33" display="Open"/>
    <hyperlink ref="G35" r:id="rId34" display="Open"/>
    <hyperlink ref="G36" r:id="rId35" display="Open"/>
    <hyperlink ref="G37" r:id="rId36" display="Open"/>
    <hyperlink ref="G38" r:id="rId37" display="Open"/>
    <hyperlink ref="G39" r:id="rId38" display="Open"/>
    <hyperlink ref="G40" r:id="rId39" display="Open"/>
    <hyperlink ref="G41" r:id="rId40" display="Open"/>
    <hyperlink ref="G42" r:id="rId41" display="Open"/>
    <hyperlink ref="G43" r:id="rId42" display="Open"/>
    <hyperlink ref="G44" r:id="rId43" display="Open"/>
    <hyperlink ref="G45" r:id="rId44" display="Open"/>
    <hyperlink ref="G46" r:id="rId45" display="Open"/>
    <hyperlink ref="G47" r:id="rId46" display="Open"/>
    <hyperlink ref="G48" r:id="rId47" display="Open"/>
    <hyperlink ref="G49" r:id="rId48" display="Open"/>
    <hyperlink ref="G50" r:id="rId49" display="Open"/>
    <hyperlink ref="G51" r:id="rId50" display="Open"/>
    <hyperlink ref="G52" r:id="rId51" display="Open"/>
    <hyperlink ref="G53" r:id="rId52" display="Open"/>
    <hyperlink ref="G54" r:id="rId53" display="Open"/>
    <hyperlink ref="G55" r:id="rId54" display="Open"/>
    <hyperlink ref="G56" r:id="rId55" display="Open"/>
    <hyperlink ref="G57" r:id="rId56" display="Open"/>
    <hyperlink ref="G58" r:id="rId57" display="Open"/>
    <hyperlink ref="G59" r:id="rId58" display="Open"/>
    <hyperlink ref="G60" r:id="rId59" display="Open"/>
    <hyperlink ref="G61" r:id="rId60" display="Open"/>
    <hyperlink ref="G62" r:id="rId61" display="Open"/>
    <hyperlink ref="G63" r:id="rId62" display="Open"/>
    <hyperlink ref="G64" r:id="rId63" display="Open"/>
    <hyperlink ref="G65" r:id="rId64" display="Open"/>
    <hyperlink ref="G66" r:id="rId65" display="Open"/>
    <hyperlink ref="G67" r:id="rId66" display="Open"/>
    <hyperlink ref="G68" r:id="rId67" display="Open"/>
    <hyperlink ref="G69" r:id="rId68" display="Open"/>
    <hyperlink ref="G70" r:id="rId69" display="Open"/>
    <hyperlink ref="G71" r:id="rId70" display="Open"/>
    <hyperlink ref="G72" r:id="rId71" display="Open"/>
    <hyperlink ref="G73" r:id="rId72" display="Open"/>
    <hyperlink ref="G74" r:id="rId73" display="Open"/>
    <hyperlink ref="G75" r:id="rId74" display="Open"/>
    <hyperlink ref="G76" r:id="rId75" display="Open"/>
    <hyperlink ref="G77" r:id="rId76" display="Open"/>
    <hyperlink ref="G78" r:id="rId77" display="Open"/>
    <hyperlink ref="G79" r:id="rId78" display="Open"/>
    <hyperlink ref="G80" r:id="rId79" display="Open"/>
    <hyperlink ref="G81" r:id="rId80" display="Open"/>
    <hyperlink ref="G82" r:id="rId81" display="Open"/>
    <hyperlink ref="G83" r:id="rId82" display="Open"/>
    <hyperlink ref="G84" r:id="rId83" display="Open"/>
    <hyperlink ref="G85" r:id="rId84" display="Open"/>
    <hyperlink ref="G86" r:id="rId85" display="Open"/>
    <hyperlink ref="G87" r:id="rId86" display="Open"/>
    <hyperlink ref="G88" r:id="rId87" display="Open"/>
    <hyperlink ref="G89" r:id="rId88" display="Open"/>
    <hyperlink ref="G90" r:id="rId89" display="Open"/>
    <hyperlink ref="G91" r:id="rId90" display="Open"/>
    <hyperlink ref="G92" r:id="rId91" display="Open"/>
    <hyperlink ref="G93" r:id="rId92" display="Open"/>
    <hyperlink ref="G94" r:id="rId93" display="Open"/>
    <hyperlink ref="G95" r:id="rId94" display="Open"/>
    <hyperlink ref="G96" r:id="rId95" display="Open"/>
    <hyperlink ref="G97" r:id="rId96" display="Open"/>
    <hyperlink ref="G98" r:id="rId97" display="Open"/>
    <hyperlink ref="G99" r:id="rId98" display="Open"/>
    <hyperlink ref="G100" r:id="rId99" display="Open"/>
    <hyperlink ref="G101" r:id="rId100" display="Open"/>
    <hyperlink ref="G102" r:id="rId101" display="Open"/>
    <hyperlink ref="G103" r:id="rId102" display="Open"/>
    <hyperlink ref="G104" r:id="rId103" display="Open"/>
    <hyperlink ref="G105" r:id="rId104" display="Open"/>
    <hyperlink ref="G106" r:id="rId105" display="Open"/>
    <hyperlink ref="G107" r:id="rId106" display="Open"/>
    <hyperlink ref="G108" r:id="rId107" display="Open"/>
    <hyperlink ref="G109" r:id="rId108" display="Open"/>
    <hyperlink ref="G110" r:id="rId109" display="Open"/>
    <hyperlink ref="G111" r:id="rId110" display="Open"/>
    <hyperlink ref="G112" r:id="rId111" display="Open"/>
    <hyperlink ref="G113" r:id="rId112" display="Open"/>
    <hyperlink ref="G114" r:id="rId113" display="Open"/>
    <hyperlink ref="G115" r:id="rId114" display="Open"/>
    <hyperlink ref="G116" r:id="rId115" display="Open"/>
    <hyperlink ref="G117" r:id="rId116" display="Open"/>
    <hyperlink ref="G118" r:id="rId117" display="Open"/>
    <hyperlink ref="G119" r:id="rId118" display="Open"/>
    <hyperlink ref="G120" r:id="rId119" display="Open"/>
    <hyperlink ref="G121" r:id="rId120" display="Open"/>
    <hyperlink ref="G122" r:id="rId121" display="Open"/>
    <hyperlink ref="G123" r:id="rId122" display="Open"/>
    <hyperlink ref="G124" r:id="rId123" display="Open"/>
    <hyperlink ref="G125" r:id="rId124" display="Open"/>
    <hyperlink ref="G126" r:id="rId125" display="Open"/>
    <hyperlink ref="G127" r:id="rId126" display="Open"/>
    <hyperlink ref="G128" r:id="rId127" display="Open"/>
    <hyperlink ref="G129" r:id="rId128" display="Open"/>
    <hyperlink ref="G130" r:id="rId129" display="Open"/>
    <hyperlink ref="G131" r:id="rId130" display="Open"/>
    <hyperlink ref="G132" r:id="rId131" display="Open"/>
    <hyperlink ref="G133" r:id="rId132" display="Open"/>
    <hyperlink ref="G134" r:id="rId133" display="Open"/>
    <hyperlink ref="G135" r:id="rId134" display="Open"/>
    <hyperlink ref="G136" r:id="rId135" display="Open"/>
    <hyperlink ref="G137" r:id="rId136" display="Open"/>
    <hyperlink ref="G138" r:id="rId137" display="Open"/>
    <hyperlink ref="G139" r:id="rId138" display="Open"/>
    <hyperlink ref="G140" r:id="rId139" display="Open"/>
    <hyperlink ref="G141" r:id="rId140" display="Open"/>
    <hyperlink ref="G142" r:id="rId141" display="Open"/>
    <hyperlink ref="G143" r:id="rId142" display="Open"/>
    <hyperlink ref="G144" r:id="rId143" display="Open"/>
    <hyperlink ref="G145" r:id="rId144" display="Open"/>
    <hyperlink ref="G146" r:id="rId145" display="Open"/>
    <hyperlink ref="G147" r:id="rId146" display="Open"/>
    <hyperlink ref="G148" r:id="rId147" display="Open"/>
    <hyperlink ref="G149" r:id="rId148" display="Open"/>
    <hyperlink ref="G150" r:id="rId149" display="Open"/>
    <hyperlink ref="G151" r:id="rId150" display="Open"/>
    <hyperlink ref="G152" r:id="rId151" display="Open"/>
    <hyperlink ref="G153" r:id="rId152" display="Open"/>
    <hyperlink ref="G154" r:id="rId153" display="Open"/>
    <hyperlink ref="G155" r:id="rId154" display="Open"/>
    <hyperlink ref="G156" r:id="rId155" display="Open"/>
    <hyperlink ref="G157" r:id="rId156" display="Open"/>
    <hyperlink ref="G158" r:id="rId157" display="Open"/>
    <hyperlink ref="G159" r:id="rId158" display="Open"/>
    <hyperlink ref="G160" r:id="rId159" display="Open"/>
    <hyperlink ref="G161" r:id="rId160" display="Open"/>
    <hyperlink ref="G162" r:id="rId161" display="Open"/>
    <hyperlink ref="G163" r:id="rId162" display="Open"/>
    <hyperlink ref="G164" r:id="rId163" display="Open"/>
    <hyperlink ref="G165" r:id="rId164" display="Open"/>
    <hyperlink ref="G166" r:id="rId165" display="Open"/>
    <hyperlink ref="G167" r:id="rId166" display="Open"/>
    <hyperlink ref="G168" r:id="rId167" display="Open"/>
    <hyperlink ref="G169" r:id="rId168" display="Open"/>
    <hyperlink ref="G170" r:id="rId169" display="Open"/>
    <hyperlink ref="G171" r:id="rId170" display="Open"/>
    <hyperlink ref="G172" r:id="rId171" display="Open"/>
    <hyperlink ref="G173" r:id="rId172" display="Open"/>
    <hyperlink ref="G174" r:id="rId173" display="Open"/>
    <hyperlink ref="G175" r:id="rId174" display="Open"/>
    <hyperlink ref="G176" r:id="rId175" display="Open"/>
    <hyperlink ref="G177" r:id="rId176" display="Open"/>
    <hyperlink ref="G178" r:id="rId177" display="Open"/>
    <hyperlink ref="G179" r:id="rId178" display="Open"/>
    <hyperlink ref="G180" r:id="rId179" display="Open"/>
    <hyperlink ref="G181" r:id="rId180" display="Open"/>
    <hyperlink ref="G182" r:id="rId181" display="Open"/>
    <hyperlink ref="G183" r:id="rId182" display="Open"/>
    <hyperlink ref="G184" r:id="rId183" display="Open"/>
    <hyperlink ref="G185" r:id="rId184" display="Open"/>
    <hyperlink ref="G186" r:id="rId185" display="Open"/>
    <hyperlink ref="G187" r:id="rId186" display="Open"/>
    <hyperlink ref="G188" r:id="rId187" display="Open"/>
    <hyperlink ref="G189" r:id="rId188" display="Open"/>
    <hyperlink ref="G190" r:id="rId189" display="Open"/>
    <hyperlink ref="G191" r:id="rId190" display="Open"/>
    <hyperlink ref="G192" r:id="rId191" display="Open"/>
    <hyperlink ref="G193" r:id="rId192" display="Open"/>
    <hyperlink ref="G194" r:id="rId193" display="Open"/>
    <hyperlink ref="G195" r:id="rId194" display="Open"/>
    <hyperlink ref="G196" r:id="rId195" display="Open"/>
    <hyperlink ref="G197" r:id="rId196" display="Open"/>
    <hyperlink ref="G198" r:id="rId197" display="Open"/>
    <hyperlink ref="G199" r:id="rId198" display="Open"/>
    <hyperlink ref="G200" r:id="rId199" display="Open"/>
    <hyperlink ref="G201" r:id="rId200" display="Open"/>
    <hyperlink ref="G202" r:id="rId201" display="Open"/>
    <hyperlink ref="G203" r:id="rId202" display="Open"/>
    <hyperlink ref="G204" r:id="rId203" display="Open"/>
    <hyperlink ref="G205" r:id="rId204" display="Open"/>
    <hyperlink ref="G206" r:id="rId205" display="Open"/>
    <hyperlink ref="G207" r:id="rId206" display="Open"/>
    <hyperlink ref="G208" r:id="rId207" display="Open"/>
    <hyperlink ref="G209" r:id="rId208" display="Open"/>
    <hyperlink ref="G210" r:id="rId209" display="Open"/>
    <hyperlink ref="G211" r:id="rId210" display="Open"/>
    <hyperlink ref="G212" r:id="rId211" display="Open"/>
    <hyperlink ref="G213" r:id="rId212" display="Open"/>
    <hyperlink ref="G214" r:id="rId213" display="Open"/>
    <hyperlink ref="G215" r:id="rId214" display="Open"/>
    <hyperlink ref="G216" r:id="rId215" display="Open"/>
    <hyperlink ref="G217" r:id="rId216" display="Open"/>
    <hyperlink ref="G218" r:id="rId217" display="Open"/>
    <hyperlink ref="G219" r:id="rId218" display="Open"/>
    <hyperlink ref="G220" r:id="rId219" display="Open"/>
    <hyperlink ref="G221" r:id="rId220" display="Open"/>
    <hyperlink ref="G222" r:id="rId221" display="Open"/>
    <hyperlink ref="G223" r:id="rId222" display="Open"/>
    <hyperlink ref="G224" r:id="rId223" display="Open"/>
    <hyperlink ref="G225" r:id="rId224" display="Open"/>
    <hyperlink ref="G226" r:id="rId225" display="Open"/>
    <hyperlink ref="G227" r:id="rId226" display="Open"/>
    <hyperlink ref="G228" r:id="rId227" display="Open"/>
    <hyperlink ref="G229" r:id="rId228" display="Open"/>
    <hyperlink ref="G230" r:id="rId229" display="Open"/>
    <hyperlink ref="G231" r:id="rId230" display="Open"/>
    <hyperlink ref="G232" r:id="rId231" display="Open"/>
    <hyperlink ref="G233" r:id="rId232" display="Open"/>
    <hyperlink ref="G234" r:id="rId233" display="Open"/>
    <hyperlink ref="G235" r:id="rId234" display="Open"/>
    <hyperlink ref="G236" r:id="rId235" display="Open"/>
    <hyperlink ref="G237" r:id="rId236" display="Open"/>
    <hyperlink ref="G238" r:id="rId237" display="Open"/>
    <hyperlink ref="G239" r:id="rId238" display="Open"/>
    <hyperlink ref="G240" r:id="rId239" display="Open"/>
    <hyperlink ref="G241" r:id="rId240" display="Open"/>
    <hyperlink ref="G242" r:id="rId241" display="Open"/>
    <hyperlink ref="G243" r:id="rId242" display="Open"/>
    <hyperlink ref="G244" r:id="rId243" display="Open"/>
    <hyperlink ref="G245" r:id="rId244" display="Open"/>
    <hyperlink ref="G246" r:id="rId245" display="Open"/>
    <hyperlink ref="G247" r:id="rId246" display="Open"/>
    <hyperlink ref="G248" r:id="rId247" display="Open"/>
    <hyperlink ref="G249" r:id="rId248" display="Open"/>
    <hyperlink ref="G250" r:id="rId249" display="Open"/>
    <hyperlink ref="G251" r:id="rId250" display="Open"/>
    <hyperlink ref="G252" r:id="rId251" display="Open"/>
    <hyperlink ref="G253" r:id="rId252" display="Open"/>
    <hyperlink ref="G254" r:id="rId253" display="Open"/>
    <hyperlink ref="G255" r:id="rId254" display="Open"/>
    <hyperlink ref="G256" r:id="rId255" display="Open"/>
    <hyperlink ref="G257" r:id="rId256" display="Open"/>
    <hyperlink ref="G258" r:id="rId257" display="Open"/>
    <hyperlink ref="G259" r:id="rId258" display="Open"/>
    <hyperlink ref="G260" r:id="rId259" display="Open"/>
    <hyperlink ref="G261" r:id="rId260" display="Open"/>
    <hyperlink ref="G262" r:id="rId261" display="Open"/>
    <hyperlink ref="G263" r:id="rId262" display="Open"/>
    <hyperlink ref="G264" r:id="rId263" display="Open"/>
    <hyperlink ref="G265" r:id="rId264" display="Open"/>
    <hyperlink ref="G266" r:id="rId265" display="Open"/>
    <hyperlink ref="G267" r:id="rId266" display="Open"/>
    <hyperlink ref="G268" r:id="rId267" display="Open"/>
    <hyperlink ref="G269" r:id="rId268" display="Open"/>
    <hyperlink ref="G270" r:id="rId269" display="Open"/>
    <hyperlink ref="G271" r:id="rId270" display="Open"/>
    <hyperlink ref="G272" r:id="rId271" display="Open"/>
    <hyperlink ref="G273" r:id="rId272" display="Open"/>
    <hyperlink ref="G274" r:id="rId273" display="Open"/>
    <hyperlink ref="G275" r:id="rId274" display="Open"/>
    <hyperlink ref="G276" r:id="rId275" display="Open"/>
    <hyperlink ref="G277" r:id="rId276" display="Open"/>
    <hyperlink ref="G278" r:id="rId277" display="Open"/>
    <hyperlink ref="G279" r:id="rId278" display="Open"/>
    <hyperlink ref="G280" r:id="rId279" display="Open"/>
    <hyperlink ref="G281" r:id="rId280" display="Open"/>
    <hyperlink ref="G282" r:id="rId281" display="Open"/>
    <hyperlink ref="G283" r:id="rId282" display="Open"/>
    <hyperlink ref="G284" r:id="rId283" display="Open"/>
    <hyperlink ref="G285" r:id="rId284" display="Open"/>
    <hyperlink ref="G286" r:id="rId285" display="Open"/>
    <hyperlink ref="G287" r:id="rId286" display="Open"/>
    <hyperlink ref="G288" r:id="rId287" display="Open"/>
    <hyperlink ref="G289" r:id="rId288" display="Open"/>
    <hyperlink ref="G290" r:id="rId289" display="Open"/>
    <hyperlink ref="G291" r:id="rId290" display="Open"/>
    <hyperlink ref="G292" r:id="rId291" display="Open"/>
    <hyperlink ref="G293" r:id="rId292" display="Open"/>
    <hyperlink ref="G294" r:id="rId293" display="Open"/>
    <hyperlink ref="G295" r:id="rId294" display="Open"/>
    <hyperlink ref="G296" r:id="rId295" display="Open"/>
    <hyperlink ref="G297" r:id="rId296" display="Open"/>
    <hyperlink ref="G298" r:id="rId297" display="Open"/>
    <hyperlink ref="G299" r:id="rId298" display="Open"/>
    <hyperlink ref="G300" r:id="rId299" display="Open"/>
    <hyperlink ref="G301" r:id="rId300" display="Open"/>
    <hyperlink ref="G302" r:id="rId301" display="Open"/>
    <hyperlink ref="G303" r:id="rId302" display="Open"/>
    <hyperlink ref="G304" r:id="rId303" display="Open"/>
    <hyperlink ref="G305" r:id="rId304" display="Open"/>
    <hyperlink ref="G306" r:id="rId305" display="Open"/>
    <hyperlink ref="G307" r:id="rId306" display="Open"/>
    <hyperlink ref="G308" r:id="rId307" display="Open"/>
    <hyperlink ref="G309" r:id="rId308" display="Open"/>
    <hyperlink ref="G310" r:id="rId309" display="Open"/>
    <hyperlink ref="G311" r:id="rId310" display="Open"/>
    <hyperlink ref="G312" r:id="rId311" display="Open"/>
    <hyperlink ref="G313" r:id="rId312" display="Open"/>
    <hyperlink ref="G314" r:id="rId313" display="Open"/>
    <hyperlink ref="G315" r:id="rId314" display="Open"/>
    <hyperlink ref="G316" r:id="rId315" display="Open"/>
    <hyperlink ref="G317" r:id="rId316" display="Open"/>
    <hyperlink ref="G318" r:id="rId317" display="Open"/>
    <hyperlink ref="G319" r:id="rId318" display="Open"/>
    <hyperlink ref="G320" r:id="rId319" display="Open"/>
    <hyperlink ref="G321" r:id="rId320" display="Open"/>
    <hyperlink ref="G322" r:id="rId321" display="Open"/>
    <hyperlink ref="G323" r:id="rId322" display="Open"/>
    <hyperlink ref="G324" r:id="rId323" display="Open"/>
    <hyperlink ref="G325" r:id="rId324" display="Open"/>
    <hyperlink ref="G326" r:id="rId325" display="Open"/>
    <hyperlink ref="G327" r:id="rId326" display="Open"/>
    <hyperlink ref="G328" r:id="rId327" display="Open"/>
    <hyperlink ref="G329" r:id="rId328" display="Open"/>
    <hyperlink ref="G330" r:id="rId329" display="Open"/>
    <hyperlink ref="G331" r:id="rId330" display="Open"/>
    <hyperlink ref="G332" r:id="rId331" display="Open"/>
    <hyperlink ref="G333" r:id="rId332" display="Open"/>
    <hyperlink ref="G334" r:id="rId333" display="Open"/>
    <hyperlink ref="G335" r:id="rId334" display="Open"/>
    <hyperlink ref="G336" r:id="rId335" display="Open"/>
    <hyperlink ref="G337" r:id="rId336" display="Open"/>
    <hyperlink ref="G338" r:id="rId337" display="Open"/>
    <hyperlink ref="G339" r:id="rId338" display="Open"/>
    <hyperlink ref="G340" r:id="rId339" display="Open"/>
    <hyperlink ref="G341" r:id="rId340" display="Open"/>
    <hyperlink ref="G342" r:id="rId341" display="Open"/>
    <hyperlink ref="G343" r:id="rId342" display="Open"/>
    <hyperlink ref="G344" r:id="rId343" display="Open"/>
    <hyperlink ref="G345" r:id="rId344" display="Open"/>
    <hyperlink ref="G346" r:id="rId345" display="Open"/>
    <hyperlink ref="G347" r:id="rId346" display="Open"/>
    <hyperlink ref="G348" r:id="rId347" display="Open"/>
    <hyperlink ref="G349" r:id="rId348" display="Open"/>
    <hyperlink ref="G350" r:id="rId349" display="Open"/>
    <hyperlink ref="G351" r:id="rId350" display="Open"/>
    <hyperlink ref="G352" r:id="rId351" display="Open"/>
    <hyperlink ref="G353" r:id="rId352" display="Open"/>
    <hyperlink ref="G354" r:id="rId353" display="Open"/>
    <hyperlink ref="G355" r:id="rId354" display="Open"/>
    <hyperlink ref="G356" r:id="rId355" display="Open"/>
    <hyperlink ref="G357" r:id="rId356" display="Open"/>
    <hyperlink ref="G358" r:id="rId357" display="Open"/>
    <hyperlink ref="G359" r:id="rId358" display="Open"/>
    <hyperlink ref="G360" r:id="rId359" display="Open"/>
    <hyperlink ref="G361" r:id="rId360" display="Open"/>
    <hyperlink ref="G362" r:id="rId361" display="Open"/>
    <hyperlink ref="G363" r:id="rId362" display="Open"/>
    <hyperlink ref="G364" r:id="rId363" display="Open"/>
    <hyperlink ref="G365" r:id="rId364" display="Open"/>
    <hyperlink ref="G366" r:id="rId365" display="Open"/>
    <hyperlink ref="G367" r:id="rId366" display="Open"/>
    <hyperlink ref="G368" r:id="rId367" display="Open"/>
    <hyperlink ref="G369" r:id="rId368" display="Open"/>
    <hyperlink ref="G370" r:id="rId369" display="Open"/>
    <hyperlink ref="G371" r:id="rId370" display="Open"/>
    <hyperlink ref="G372" r:id="rId371" display="Open"/>
    <hyperlink ref="G373" r:id="rId372" display="Open"/>
    <hyperlink ref="G374" r:id="rId373" display="Open"/>
    <hyperlink ref="G375" r:id="rId374" display="Open"/>
    <hyperlink ref="G376" r:id="rId375" display="Open"/>
    <hyperlink ref="G377" r:id="rId376" display="Open"/>
    <hyperlink ref="G378" r:id="rId377" display="Open"/>
    <hyperlink ref="G379" r:id="rId378" display="Open"/>
    <hyperlink ref="G380" r:id="rId379" display="Open"/>
    <hyperlink ref="G381" r:id="rId380" display="Open"/>
    <hyperlink ref="G382" r:id="rId381" display="Open"/>
    <hyperlink ref="G383" r:id="rId382" display="Open"/>
    <hyperlink ref="G384" r:id="rId383" display="Open"/>
    <hyperlink ref="G385" r:id="rId384" display="Open"/>
    <hyperlink ref="G386" r:id="rId385" display="Open"/>
    <hyperlink ref="G387" r:id="rId386" display="Open"/>
    <hyperlink ref="G388" r:id="rId387" display="Open"/>
    <hyperlink ref="G389" r:id="rId388" display="Open"/>
    <hyperlink ref="G390" r:id="rId389" display="Open"/>
    <hyperlink ref="G391" r:id="rId390" display="Open"/>
    <hyperlink ref="G392" r:id="rId391" display="Open"/>
    <hyperlink ref="G393" r:id="rId392" display="Open"/>
    <hyperlink ref="G394" r:id="rId393" display="Open"/>
    <hyperlink ref="G395" r:id="rId394" display="Open"/>
    <hyperlink ref="G396" r:id="rId395" display="Open"/>
    <hyperlink ref="G397" r:id="rId396" display="Open"/>
    <hyperlink ref="G398" r:id="rId397" display="Open"/>
    <hyperlink ref="G399" r:id="rId398" display="Open"/>
    <hyperlink ref="G400" r:id="rId399" display="Open"/>
    <hyperlink ref="G401" r:id="rId400" display="Open"/>
    <hyperlink ref="G402" r:id="rId401" display="Open"/>
    <hyperlink ref="G403" r:id="rId402" display="Open"/>
    <hyperlink ref="G404" r:id="rId403" display="Open"/>
    <hyperlink ref="G405" r:id="rId404" display="Open"/>
    <hyperlink ref="G406" r:id="rId405" display="Open"/>
    <hyperlink ref="G407" r:id="rId406" display="Open"/>
    <hyperlink ref="G408" r:id="rId407" display="Open"/>
    <hyperlink ref="G409" r:id="rId408" display="Open"/>
    <hyperlink ref="G410" r:id="rId409" display="Open"/>
    <hyperlink ref="G411" r:id="rId410" display="Open"/>
    <hyperlink ref="G412" r:id="rId411" display="Open"/>
    <hyperlink ref="G413" r:id="rId412" display="Open"/>
    <hyperlink ref="G414" r:id="rId413" display="Open"/>
    <hyperlink ref="G415" r:id="rId414" display="Open"/>
    <hyperlink ref="G416" r:id="rId415" display="Open"/>
    <hyperlink ref="G417" r:id="rId416" display="Open"/>
    <hyperlink ref="G418" r:id="rId417" display="Open"/>
    <hyperlink ref="G419" r:id="rId418" display="Open"/>
    <hyperlink ref="G420" r:id="rId419" display="Open"/>
    <hyperlink ref="G421" r:id="rId420" display="Open"/>
    <hyperlink ref="G422" r:id="rId421" display="Open"/>
    <hyperlink ref="G423" r:id="rId422" display="Open"/>
    <hyperlink ref="G424" r:id="rId423" display="Open"/>
    <hyperlink ref="G425" r:id="rId424" display="Open"/>
    <hyperlink ref="G426" r:id="rId425" display="Open"/>
    <hyperlink ref="G427" r:id="rId426" display="Open"/>
    <hyperlink ref="G428" r:id="rId427" display="Open"/>
    <hyperlink ref="G429" r:id="rId428" display="Open"/>
    <hyperlink ref="G430" r:id="rId429" display="Open"/>
    <hyperlink ref="G431" r:id="rId430" display="Open"/>
    <hyperlink ref="G432" r:id="rId431" display="Open"/>
    <hyperlink ref="G433" r:id="rId432" display="Open"/>
    <hyperlink ref="G434" r:id="rId433" display="Open"/>
    <hyperlink ref="G435" r:id="rId434" display="Open"/>
    <hyperlink ref="G436" r:id="rId435" display="Open"/>
    <hyperlink ref="G437" r:id="rId436" display="Open"/>
    <hyperlink ref="G438" r:id="rId437" display="Open"/>
    <hyperlink ref="G439" r:id="rId438" display="Open"/>
    <hyperlink ref="G440" r:id="rId439" display="Open"/>
    <hyperlink ref="G441" r:id="rId440" display="Open"/>
    <hyperlink ref="G442" r:id="rId441" display="Open"/>
    <hyperlink ref="G443" r:id="rId442" display="Open"/>
    <hyperlink ref="G444" r:id="rId443" display="Open"/>
    <hyperlink ref="G445" r:id="rId444" display="Open"/>
    <hyperlink ref="G446" r:id="rId445" display="Open"/>
    <hyperlink ref="G447" r:id="rId446" display="Open"/>
    <hyperlink ref="G448" r:id="rId447" display="Open"/>
    <hyperlink ref="G449" r:id="rId448" display="Open"/>
    <hyperlink ref="G450" r:id="rId449" display="Open"/>
    <hyperlink ref="G451" r:id="rId450" display="Open"/>
    <hyperlink ref="G452" r:id="rId451" display="Open"/>
    <hyperlink ref="G453" r:id="rId452" display="Open"/>
    <hyperlink ref="G454" r:id="rId453" display="Open"/>
    <hyperlink ref="G455" r:id="rId454" display="Open"/>
    <hyperlink ref="G456" r:id="rId455" display="Open"/>
    <hyperlink ref="G457" r:id="rId456" display="Open"/>
    <hyperlink ref="G458" r:id="rId457" display="Open"/>
    <hyperlink ref="G459" r:id="rId458" display="Open"/>
    <hyperlink ref="G460" r:id="rId459" display="Open"/>
    <hyperlink ref="G461" r:id="rId460" display="Open"/>
    <hyperlink ref="G462" r:id="rId461" display="Open"/>
    <hyperlink ref="G463" r:id="rId462" display="Open"/>
    <hyperlink ref="G464" r:id="rId463" display="Open"/>
    <hyperlink ref="G465" r:id="rId464" display="Open"/>
    <hyperlink ref="G466" r:id="rId465" display="Open"/>
    <hyperlink ref="G467" r:id="rId466" display="Open"/>
    <hyperlink ref="G468" r:id="rId467" display="Open"/>
    <hyperlink ref="G469" r:id="rId468" display="Open"/>
    <hyperlink ref="G470" r:id="rId469" display="Open"/>
    <hyperlink ref="G471" r:id="rId470" display="Open"/>
    <hyperlink ref="G472" r:id="rId471" display="Open"/>
    <hyperlink ref="G473" r:id="rId472" display="Open"/>
    <hyperlink ref="G474" r:id="rId473" display="Open"/>
    <hyperlink ref="G475" r:id="rId474" display="Open"/>
    <hyperlink ref="G476" r:id="rId475" display="Open"/>
    <hyperlink ref="G477" r:id="rId476" display="Open"/>
    <hyperlink ref="G478" r:id="rId477" display="Open"/>
    <hyperlink ref="G479" r:id="rId478" display="Open"/>
    <hyperlink ref="G480" r:id="rId479" display="Open"/>
    <hyperlink ref="G481" r:id="rId480" display="Open"/>
    <hyperlink ref="G482" r:id="rId481" display="Open"/>
    <hyperlink ref="G483" r:id="rId482" display="Open"/>
    <hyperlink ref="G484" r:id="rId483" display="Open"/>
    <hyperlink ref="G485" r:id="rId484" display="Open"/>
    <hyperlink ref="G486" r:id="rId485" display="Open"/>
    <hyperlink ref="G487" r:id="rId486" display="Open"/>
    <hyperlink ref="G488" r:id="rId487" display="Open"/>
    <hyperlink ref="G489" r:id="rId488" display="Open"/>
    <hyperlink ref="G490" r:id="rId489" display="Open"/>
    <hyperlink ref="G491" r:id="rId490" display="Open"/>
    <hyperlink ref="G492" r:id="rId491" display="Open"/>
    <hyperlink ref="G493" r:id="rId492" display="Open"/>
    <hyperlink ref="G494" r:id="rId493" display="Open"/>
    <hyperlink ref="G495" r:id="rId494" display="Open"/>
    <hyperlink ref="G496" r:id="rId495" display="Open"/>
    <hyperlink ref="G497" r:id="rId496" display="Open"/>
    <hyperlink ref="G498" r:id="rId497" display="Open"/>
    <hyperlink ref="G499" r:id="rId498" display="Open"/>
    <hyperlink ref="G500" r:id="rId499" display="Open"/>
    <hyperlink ref="G501" r:id="rId500" display="Open"/>
    <hyperlink ref="G502" r:id="rId501" display="Open"/>
    <hyperlink ref="G503" r:id="rId502" display="Open"/>
    <hyperlink ref="G504" r:id="rId503" display="Open"/>
    <hyperlink ref="G505" r:id="rId504" display="Open"/>
    <hyperlink ref="G506" r:id="rId505" display="Open"/>
    <hyperlink ref="G507" r:id="rId506" display="Open"/>
    <hyperlink ref="G508" r:id="rId507" display="Open"/>
    <hyperlink ref="G509" r:id="rId508" display="Open"/>
    <hyperlink ref="G510" r:id="rId509" display="Open"/>
    <hyperlink ref="G511" r:id="rId510" display="Open"/>
    <hyperlink ref="G512" r:id="rId511" display="Open"/>
    <hyperlink ref="G513" r:id="rId512" display="Open"/>
    <hyperlink ref="G514" r:id="rId513" display="Open"/>
    <hyperlink ref="G515" r:id="rId514" display="Open"/>
    <hyperlink ref="G516" r:id="rId515" display="Open"/>
    <hyperlink ref="G517" r:id="rId516" display="Open"/>
    <hyperlink ref="G518" r:id="rId517" display="Open"/>
    <hyperlink ref="G519" r:id="rId518" display="Open"/>
    <hyperlink ref="G520" r:id="rId519" display="Open"/>
    <hyperlink ref="G521" r:id="rId520" display="Open"/>
    <hyperlink ref="G522" r:id="rId521" display="Open"/>
    <hyperlink ref="G523" r:id="rId522" display="Open"/>
    <hyperlink ref="G524" r:id="rId523" display="Open"/>
    <hyperlink ref="G525" r:id="rId524" display="Open"/>
    <hyperlink ref="G526" r:id="rId525" display="Open"/>
    <hyperlink ref="G527" r:id="rId526" display="Open"/>
    <hyperlink ref="G528" r:id="rId527" display="Open"/>
    <hyperlink ref="G529" r:id="rId528" display="Open"/>
    <hyperlink ref="G530" r:id="rId529" display="Open"/>
    <hyperlink ref="G531" r:id="rId530" display="Open"/>
    <hyperlink ref="G532" r:id="rId531" display="Open"/>
    <hyperlink ref="G533" r:id="rId532" display="Open"/>
    <hyperlink ref="G534" r:id="rId533" display="Open"/>
    <hyperlink ref="G535" r:id="rId534" display="Open"/>
    <hyperlink ref="G536" r:id="rId535" display="Open"/>
    <hyperlink ref="G537" r:id="rId536" display="Open"/>
    <hyperlink ref="G538" r:id="rId537" display="Open"/>
    <hyperlink ref="G539" r:id="rId538" display="Open"/>
    <hyperlink ref="G540" r:id="rId539" display="Open"/>
    <hyperlink ref="G541" r:id="rId540" display="Open"/>
    <hyperlink ref="G542" r:id="rId541" display="Open"/>
    <hyperlink ref="G543" r:id="rId542" display="Open"/>
    <hyperlink ref="G544" r:id="rId543" display="Open"/>
    <hyperlink ref="G545" r:id="rId544" display="Open"/>
    <hyperlink ref="G546" r:id="rId545" display="Open"/>
    <hyperlink ref="G547" r:id="rId546" display="Open"/>
    <hyperlink ref="G548" r:id="rId547" display="Open"/>
    <hyperlink ref="G549" r:id="rId548" display="Open"/>
    <hyperlink ref="G550" r:id="rId549" display="Open"/>
    <hyperlink ref="G551" r:id="rId550" display="Open"/>
    <hyperlink ref="G552" r:id="rId551" display="Open"/>
    <hyperlink ref="G553" r:id="rId552" display="Open"/>
    <hyperlink ref="G554" r:id="rId553" display="Open"/>
    <hyperlink ref="G555" r:id="rId554" display="Open"/>
    <hyperlink ref="G556" r:id="rId555" display="Open"/>
    <hyperlink ref="G557" r:id="rId556" display="Open"/>
    <hyperlink ref="G558" r:id="rId557" display="Open"/>
    <hyperlink ref="G559" r:id="rId558" display="Open"/>
    <hyperlink ref="G560" r:id="rId559" display="Open"/>
    <hyperlink ref="G561" r:id="rId560" display="Open"/>
    <hyperlink ref="G562" r:id="rId561" display="Open"/>
    <hyperlink ref="G563" r:id="rId562" display="Open"/>
    <hyperlink ref="G564" r:id="rId563" display="Open"/>
    <hyperlink ref="G565" r:id="rId564" display="Open"/>
    <hyperlink ref="G566" r:id="rId565" display="Open"/>
    <hyperlink ref="G567" r:id="rId566" display="Open"/>
    <hyperlink ref="G568" r:id="rId567" display="Open"/>
    <hyperlink ref="G569" r:id="rId568" display="Open"/>
    <hyperlink ref="G570" r:id="rId569" display="Open"/>
    <hyperlink ref="G571" r:id="rId570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7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2026-09-13T12:53:10Z</dcterms:created>
  <dc:creator>openpyxl</dc:creator>
  <dc:description/>
  <dc:language>en-US</dc:language>
  <cp:lastModifiedBy/>
  <dcterms:modified xsi:type="dcterms:W3CDTF">2026-09-13T12:53:10Z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