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rt Here" sheetId="1" state="visible" r:id="rId3"/>
    <sheet name="Plan" sheetId="2" state="visible" r:id="rId4"/>
    <sheet name="Master" sheetId="3" state="visible" r:id="rId5"/>
    <sheet name="Dashboard" sheetId="4" state="visible" r:id="rId6"/>
    <sheet name="Pattern Radar" sheetId="5" state="visible" r:id="rId7"/>
  </sheets>
  <definedNames>
    <definedName function="false" hidden="true" localSheetId="2" name="_xlnm._FilterDatabase" vbProcedure="false">Master!$A$1:$O$571</definedName>
    <definedName function="false" hidden="true" localSheetId="4" name="_xlnm._FilterDatabase" vbProcedure="false">'Pattern Radar'!$B$5:$H$170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<sst xmlns="http://schemas.openxmlformats.org/spreadsheetml/2006/main" count="5045" uniqueCount="860">
  <si>
    <t xml:space="preserve">DSA Master Revision Sheet - v2</t>
  </si>
  <si>
    <t xml:space="preserve">Built for Kartik  |  C++ / STL  |  placement + internship prep</t>
  </si>
  <si>
    <t xml:space="preserve">The one rule</t>
  </si>
  <si>
    <t xml:space="preserve">Only the Master tab is editable (plus the yellow cells on Plan and Dashboard). Everything else calculates itself.</t>
  </si>
  <si>
    <t xml:space="preserve">You fill in: Status, Confidence, Attempts, Last Revised, Notes. Nothing else.</t>
  </si>
  <si>
    <t xml:space="preserve">Tier - read this first</t>
  </si>
  <si>
    <t xml:space="preserve">570 questions is not a plan, it is a wall. The Tier column splits them into three tracks.</t>
  </si>
  <si>
    <t xml:space="preserve">Core (295) - two problems per pattern, every pattern in the sheet. Finish this and you have touched every idea an interview can ask. This is your actual target.</t>
  </si>
  <si>
    <t xml:space="preserve">Depth - extra reps on patterns you are still shaky on. Do these per topic, only where Pattern Radar says Weak.</t>
  </si>
  <si>
    <t xml:space="preserve">Stretch - Hard problems and Advanced DS (segment tree, Fenwick, sweep line, sparse table). Not placement-critical. Leave them until Core is above 80%.</t>
  </si>
  <si>
    <t xml:space="preserve">Tier is a dropdown, so you can promote or demote anything. If a Depth problem turns out to be the one that taught you the pattern, mark it Core.</t>
  </si>
  <si>
    <t xml:space="preserve">Status values (dropdown)</t>
  </si>
  <si>
    <t xml:space="preserve">Not Started - haven't opened it yet.</t>
  </si>
  <si>
    <t xml:space="preserve">Attempted - tried, could not finish. Auto-flagged DUE until you clear it.</t>
  </si>
  <si>
    <t xml:space="preserve">Solved - solved it, but needed a hint or the editorial.</t>
  </si>
  <si>
    <t xml:space="preserve">Mastered - solved clean, from scratch, and can re-derive the approach out loud.</t>
  </si>
  <si>
    <t xml:space="preserve">Revisit - solved once, but it faded. Also auto-flagged DUE.</t>
  </si>
  <si>
    <t xml:space="preserve">Done = Solved + Mastered everywhere in this workbook.</t>
  </si>
  <si>
    <t xml:space="preserve">Confidence (1-5 dropdown) - now it actually does something</t>
  </si>
  <si>
    <t xml:space="preserve">1 = no idea why it works.  3 = can code it with effort.  5 = can explain the invariant and the complexity without thinking.</t>
  </si>
  <si>
    <t xml:space="preserve">Confidence drives the revision gap: 1 -&gt; 2 days, 2 -&gt; 4, 3 -&gt; 7, 4 -&gt; 21, 5 -&gt; 45. Change those gaps on the Dashboard if they don't suit you.</t>
  </si>
  <si>
    <t xml:space="preserve">Be harsh. Inflated confidence just means the sheet stops showing you the thing you can't do.</t>
  </si>
  <si>
    <t xml:space="preserve">How revision works now</t>
  </si>
  <si>
    <t xml:space="preserve">Set Last Revised when you solve or re-solve something. Next Revision fills in by itself from your Confidence.</t>
  </si>
  <si>
    <t xml:space="preserve">The Due? column says DUE when that date arrives, or immediately if the status is Attempted or Revisit.</t>
  </si>
  <si>
    <t xml:space="preserve">Your daily routine: filter Due? = DUE on the Master tab. That is the whole revision decision. No judgement calls.</t>
  </si>
  <si>
    <t xml:space="preserve">Dashboard shows the live due count. If it climbs past about 15, stop taking new problems for a day and clear it.</t>
  </si>
  <si>
    <t xml:space="preserve">Pattern Radar - the honest tab</t>
  </si>
  <si>
    <t xml:space="preserve">Per-pattern totals, done count and average confidence across all 165 patterns.</t>
  </si>
  <si>
    <t xml:space="preserve">Verdict: Untouched (nothing solved), Weak (avg confidence 3 or below), Solid (above 3).</t>
  </si>
  <si>
    <t xml:space="preserve">Filter Verdict = Weak before an interview. That list is exactly what you will get caught on.</t>
  </si>
  <si>
    <t xml:space="preserve">Topic-level progress lies - 80% of Graphs done still means you have never written Dijkstra. Pattern level does not lie.</t>
  </si>
  <si>
    <t xml:space="preserve">Plan tab</t>
  </si>
  <si>
    <t xml:space="preserve">Enter a start date and a realistic problems-per-day number. It gives you six phase deadlines off the Core count.</t>
  </si>
  <si>
    <t xml:space="preserve">Order is not negotiable: Recursion and Backtracking come before DP, because DP is memoised recursion. Skipping that is why DP feels impossible.</t>
  </si>
  <si>
    <t xml:space="preserve">Weekly ritual (15 minutes, Sunday)</t>
  </si>
  <si>
    <t xml:space="preserve">1. Pick 4 random Mastered problems, re-solve them timed. Anything that breaks drops to Revisit.</t>
  </si>
  <si>
    <t xml:space="preserve">2. Open Pattern Radar, filter Weak, pick one pattern for the coming week.</t>
  </si>
  <si>
    <t xml:space="preserve">3. Check Plan tab - are you ahead or behind? Adjust the pace cell, not the ambition.</t>
  </si>
  <si>
    <t xml:space="preserve">A note on the links</t>
  </si>
  <si>
    <t xml:space="preserve">LeetCode entries link straight to the problem. Non-LeetCode entries use a search link, because GFG problem IDs change over time and a hardcoded ID goes dead.</t>
  </si>
  <si>
    <t xml:space="preserve">When you open a search link and land on the right problem, paste the real URL over it. The sheet gets more accurate as you use it.</t>
  </si>
  <si>
    <t xml:space="preserve">Example row (delete once you start)</t>
  </si>
  <si>
    <t xml:space="preserve">Two Sum  |  Tier: Core  |  Status: Mastered  |  Confidence: 5  |  Attempts: 2  |  Last Revised: 2026-09-13  |  Notes: hashmap of complement, one pass, O(n)</t>
  </si>
  <si>
    <t xml:space="preserve">Phase Plan</t>
  </si>
  <si>
    <t xml:space="preserve">Fill the two yellow cells. Dates recalculate themselves. Core-track only - Depth and Stretch sit outside this timeline.</t>
  </si>
  <si>
    <t xml:space="preserve">Start date</t>
  </si>
  <si>
    <t xml:space="preserve">2026-09-15</t>
  </si>
  <si>
    <t xml:space="preserve">&lt;- your realistic pace, not your ambitious one</t>
  </si>
  <si>
    <t xml:space="preserve">Core problems per day</t>
  </si>
  <si>
    <t xml:space="preserve">Phase</t>
  </si>
  <si>
    <t xml:space="preserve">Topics covered</t>
  </si>
  <si>
    <t xml:space="preserve">Core Qs</t>
  </si>
  <si>
    <t xml:space="preserve">Cumulative</t>
  </si>
  <si>
    <t xml:space="preserve">Days</t>
  </si>
  <si>
    <t xml:space="preserve">Target finish</t>
  </si>
  <si>
    <t xml:space="preserve">Done</t>
  </si>
  <si>
    <t xml:space="preserve">%</t>
  </si>
  <si>
    <t xml:space="preserve">Phase 1 - Foundations</t>
  </si>
  <si>
    <t xml:space="preserve">01 - 05: Basics &amp; Recursion, Arrays &amp; Two Pointers, Sliding Window, Prefix Sum &amp; Kadane, Sorting &amp; Cyclic Sort</t>
  </si>
  <si>
    <t xml:space="preserve">Phase 2 - Search &amp; Strings</t>
  </si>
  <si>
    <t xml:space="preserve">06 - 09: Binary Search, Strings, Hashing, Matrix / 2D</t>
  </si>
  <si>
    <t xml:space="preserve">Phase 3 - Linear DS</t>
  </si>
  <si>
    <t xml:space="preserve">10 - 12: Linked List, Stack &amp; Queue, Heap &amp; Priority Queue</t>
  </si>
  <si>
    <t xml:space="preserve">Phase 4 - Greedy &amp; Backtracking</t>
  </si>
  <si>
    <t xml:space="preserve">13 - 14: Greedy, Backtracking</t>
  </si>
  <si>
    <t xml:space="preserve">Phase 5 - Trees &amp; Graphs</t>
  </si>
  <si>
    <t xml:space="preserve">15 - 17: Trees &amp; BST, Tries, Graphs</t>
  </si>
  <si>
    <t xml:space="preserve">Phase 6 - DP &amp; Closers</t>
  </si>
  <si>
    <t xml:space="preserve">18 - 23: Dynamic Programming, Bit Manipulation, Math &amp; Number Theory, Intervals, Design, Advanced DS</t>
  </si>
  <si>
    <t xml:space="preserve">TOTAL</t>
  </si>
  <si>
    <t xml:space="preserve">Reality check</t>
  </si>
  <si>
    <t xml:space="preserve">- Days assume you solve every single day. You will not. Multiply the total by about 1.4 for a number you can trust.</t>
  </si>
  <si>
    <t xml:space="preserve">- Depth problems are for after the Core track is done, or for a topic you are actively interviewing on.</t>
  </si>
  <si>
    <t xml:space="preserve">- Stretch problems (Hard + Advanced DS) are not placement-critical. Ignore them until the Core track is above 80%.</t>
  </si>
  <si>
    <t xml:space="preserve">- If a phase slips by more than two weeks, cut Depth entirely rather than moving the target date again.</t>
  </si>
  <si>
    <t xml:space="preserve">#</t>
  </si>
  <si>
    <t xml:space="preserve">Topic</t>
  </si>
  <si>
    <t xml:space="preserve">Pattern</t>
  </si>
  <si>
    <t xml:space="preserve">Problem</t>
  </si>
  <si>
    <t xml:space="preserve">Difficulty</t>
  </si>
  <si>
    <t xml:space="preserve">Tier</t>
  </si>
  <si>
    <t xml:space="preserve">Platform</t>
  </si>
  <si>
    <t xml:space="preserve">Link</t>
  </si>
  <si>
    <t xml:space="preserve">Status</t>
  </si>
  <si>
    <t xml:space="preserve">Confidence</t>
  </si>
  <si>
    <t xml:space="preserve">Attempts</t>
  </si>
  <si>
    <t xml:space="preserve">Last Revised</t>
  </si>
  <si>
    <t xml:space="preserve">Next Revision</t>
  </si>
  <si>
    <t xml:space="preserve">Due?</t>
  </si>
  <si>
    <t xml:space="preserve">Notes</t>
  </si>
  <si>
    <t xml:space="preserve">01. Basics &amp; Recursion</t>
  </si>
  <si>
    <t xml:space="preserve">Recursion warm-up</t>
  </si>
  <si>
    <t xml:space="preserve">Print 1 to N using Recursion</t>
  </si>
  <si>
    <t xml:space="preserve">Easy</t>
  </si>
  <si>
    <t xml:space="preserve">Core</t>
  </si>
  <si>
    <t xml:space="preserve">GeeksforGeeks</t>
  </si>
  <si>
    <t xml:space="preserve">Open</t>
  </si>
  <si>
    <t xml:space="preserve">Not Started</t>
  </si>
  <si>
    <t xml:space="preserve">Sum of First N Natural Numbers</t>
  </si>
  <si>
    <t xml:space="preserve">Factorial of a Number</t>
  </si>
  <si>
    <t xml:space="preserve">Sum of Digits</t>
  </si>
  <si>
    <t xml:space="preserve">Reverse an Array using Recursion</t>
  </si>
  <si>
    <t xml:space="preserve">Palindrome String (recursive)</t>
  </si>
  <si>
    <t xml:space="preserve">Check if an Array is Sorted</t>
  </si>
  <si>
    <t xml:space="preserve">Remove All Occurrences of a Character</t>
  </si>
  <si>
    <t xml:space="preserve">Fibonacci Number</t>
  </si>
  <si>
    <t xml:space="preserve">LeetCode</t>
  </si>
  <si>
    <t xml:space="preserve">Pow(x, n)</t>
  </si>
  <si>
    <t xml:space="preserve">Medium</t>
  </si>
  <si>
    <t xml:space="preserve">Divide &amp; Conquer</t>
  </si>
  <si>
    <t xml:space="preserve">Merge Sort</t>
  </si>
  <si>
    <t xml:space="preserve">Quick Sort</t>
  </si>
  <si>
    <t xml:space="preserve">Count Inversions</t>
  </si>
  <si>
    <t xml:space="preserve">Sort an Array</t>
  </si>
  <si>
    <t xml:space="preserve">Majority Element</t>
  </si>
  <si>
    <t xml:space="preserve">02. Arrays &amp; Two Pointers</t>
  </si>
  <si>
    <t xml:space="preserve">Basics</t>
  </si>
  <si>
    <t xml:space="preserve">Two Sum</t>
  </si>
  <si>
    <t xml:space="preserve">Two pointers</t>
  </si>
  <si>
    <t xml:space="preserve">Two Sum II - Input Array Is Sorted</t>
  </si>
  <si>
    <t xml:space="preserve">Depth</t>
  </si>
  <si>
    <t xml:space="preserve">Remove Duplicates from Sorted Array</t>
  </si>
  <si>
    <t xml:space="preserve">Remove Duplicates from Sorted Array II</t>
  </si>
  <si>
    <t xml:space="preserve">Move Zeroes</t>
  </si>
  <si>
    <t xml:space="preserve">Squares of a Sorted Array</t>
  </si>
  <si>
    <t xml:space="preserve">Merge Sorted Array</t>
  </si>
  <si>
    <t xml:space="preserve">Valid Palindrome</t>
  </si>
  <si>
    <t xml:space="preserve">Valid Palindrome II</t>
  </si>
  <si>
    <t xml:space="preserve">Backspace String Compare</t>
  </si>
  <si>
    <t xml:space="preserve">Dutch National Flag</t>
  </si>
  <si>
    <t xml:space="preserve">Sort Colors</t>
  </si>
  <si>
    <t xml:space="preserve">Segregate 0s and 1s</t>
  </si>
  <si>
    <t xml:space="preserve">Container With Most Water</t>
  </si>
  <si>
    <t xml:space="preserve">Trapping Rain Water</t>
  </si>
  <si>
    <t xml:space="preserve">Hard</t>
  </si>
  <si>
    <t xml:space="preserve">Stretch</t>
  </si>
  <si>
    <t xml:space="preserve">K-Sum</t>
  </si>
  <si>
    <t xml:space="preserve">3Sum</t>
  </si>
  <si>
    <t xml:space="preserve">3Sum Closest</t>
  </si>
  <si>
    <t xml:space="preserve">4Sum</t>
  </si>
  <si>
    <t xml:space="preserve">Count Triplets with Sum Smaller than X</t>
  </si>
  <si>
    <t xml:space="preserve">Subarray Product Less Than K</t>
  </si>
  <si>
    <t xml:space="preserve">Boats to Save People</t>
  </si>
  <si>
    <t xml:space="preserve">Rearrangement</t>
  </si>
  <si>
    <t xml:space="preserve">Rotate Array</t>
  </si>
  <si>
    <t xml:space="preserve">Next Permutation</t>
  </si>
  <si>
    <t xml:space="preserve">Rearrange Array Elements by Sign</t>
  </si>
  <si>
    <t xml:space="preserve">Shortest Unsorted Continuous Subarray</t>
  </si>
  <si>
    <t xml:space="preserve">Voting / counting</t>
  </si>
  <si>
    <t xml:space="preserve">Majority Element II</t>
  </si>
  <si>
    <t xml:space="preserve">Longest Mountain in Array</t>
  </si>
  <si>
    <t xml:space="preserve">Sort Array By Parity</t>
  </si>
  <si>
    <t xml:space="preserve">Best Time to Buy and Sell Stock</t>
  </si>
  <si>
    <t xml:space="preserve">03. Sliding Window</t>
  </si>
  <si>
    <t xml:space="preserve">Fixed window</t>
  </si>
  <si>
    <t xml:space="preserve">Maximum Average Subarray I</t>
  </si>
  <si>
    <t xml:space="preserve">Max Sum Subarray of Size K</t>
  </si>
  <si>
    <t xml:space="preserve">Maximum Points You Can Obtain from Cards</t>
  </si>
  <si>
    <t xml:space="preserve">Variable window</t>
  </si>
  <si>
    <t xml:space="preserve">Minimum Size Subarray Sum</t>
  </si>
  <si>
    <t xml:space="preserve">Longest Substring Without Repeating Characters</t>
  </si>
  <si>
    <t xml:space="preserve">Longest Repeating Character Replacement</t>
  </si>
  <si>
    <t xml:space="preserve">Max Consecutive Ones III</t>
  </si>
  <si>
    <t xml:space="preserve">Fruit Into Baskets</t>
  </si>
  <si>
    <t xml:space="preserve">Longest K Unique Characters Substring</t>
  </si>
  <si>
    <t xml:space="preserve">Maximum Erasure Value</t>
  </si>
  <si>
    <t xml:space="preserve">Frequency of the Most Frequent Element</t>
  </si>
  <si>
    <t xml:space="preserve">Anagram window</t>
  </si>
  <si>
    <t xml:space="preserve">Permutation in String</t>
  </si>
  <si>
    <t xml:space="preserve">Find All Anagrams in a String</t>
  </si>
  <si>
    <t xml:space="preserve">Count exactly-K trick</t>
  </si>
  <si>
    <t xml:space="preserve">Binary Subarrays With Sum</t>
  </si>
  <si>
    <t xml:space="preserve">Count Number of Nice Subarrays</t>
  </si>
  <si>
    <t xml:space="preserve">Subarrays with K Different Integers</t>
  </si>
  <si>
    <t xml:space="preserve">Number of Substrings Containing All Three Characters</t>
  </si>
  <si>
    <t xml:space="preserve">Hard window</t>
  </si>
  <si>
    <t xml:space="preserve">Minimum Window Substring</t>
  </si>
  <si>
    <t xml:space="preserve">Substring with Concatenation of All Words</t>
  </si>
  <si>
    <t xml:space="preserve">Deque window</t>
  </si>
  <si>
    <t xml:space="preserve">Sliding Window Maximum</t>
  </si>
  <si>
    <t xml:space="preserve">04. Prefix Sum &amp; Kadane</t>
  </si>
  <si>
    <t xml:space="preserve">Prefix basics</t>
  </si>
  <si>
    <t xml:space="preserve">Running Sum of 1d Array</t>
  </si>
  <si>
    <t xml:space="preserve">Find Pivot Index</t>
  </si>
  <si>
    <t xml:space="preserve">Product of Array Except Self</t>
  </si>
  <si>
    <t xml:space="preserve">Range Sum Query - Immutable</t>
  </si>
  <si>
    <t xml:space="preserve">Range Sum Query 2D - Immutable</t>
  </si>
  <si>
    <t xml:space="preserve">Prefix + HashMap</t>
  </si>
  <si>
    <t xml:space="preserve">Subarray Sum Equals K</t>
  </si>
  <si>
    <t xml:space="preserve">Subarray Sums Divisible by K</t>
  </si>
  <si>
    <t xml:space="preserve">Contiguous Array</t>
  </si>
  <si>
    <t xml:space="preserve">Continuous Subarray Sum</t>
  </si>
  <si>
    <t xml:space="preserve">Longest Sub-Array with Sum K</t>
  </si>
  <si>
    <t xml:space="preserve">Difference array</t>
  </si>
  <si>
    <t xml:space="preserve">Corporate Flight Bookings</t>
  </si>
  <si>
    <t xml:space="preserve">Car Pooling</t>
  </si>
  <si>
    <t xml:space="preserve">Kadane</t>
  </si>
  <si>
    <t xml:space="preserve">Maximum Subarray</t>
  </si>
  <si>
    <t xml:space="preserve">Smallest Sum Contiguous Subarray</t>
  </si>
  <si>
    <t xml:space="preserve">Maximum Product Subarray</t>
  </si>
  <si>
    <t xml:space="preserve">Maximum Sum Circular Subarray</t>
  </si>
  <si>
    <t xml:space="preserve">Maximum Absolute Sum of Any Subarray</t>
  </si>
  <si>
    <t xml:space="preserve">Maximum Subarray Sum with One Deletion</t>
  </si>
  <si>
    <t xml:space="preserve">Prefix + Heap/Deque</t>
  </si>
  <si>
    <t xml:space="preserve">Shortest Subarray with Sum at Least K</t>
  </si>
  <si>
    <t xml:space="preserve">Prefix + BIT</t>
  </si>
  <si>
    <t xml:space="preserve">Count of Range Sum</t>
  </si>
  <si>
    <t xml:space="preserve">05. Sorting &amp; Cyclic Sort</t>
  </si>
  <si>
    <t xml:space="preserve">Cyclic sort</t>
  </si>
  <si>
    <t xml:space="preserve">Missing Number</t>
  </si>
  <si>
    <t xml:space="preserve">Find All Numbers Disappeared in an Array</t>
  </si>
  <si>
    <t xml:space="preserve">Find All Duplicates in an Array</t>
  </si>
  <si>
    <t xml:space="preserve">Set Mismatch</t>
  </si>
  <si>
    <t xml:space="preserve">First Missing Positive</t>
  </si>
  <si>
    <t xml:space="preserve">Find the Duplicate Number</t>
  </si>
  <si>
    <t xml:space="preserve">Custom comparator</t>
  </si>
  <si>
    <t xml:space="preserve">Largest Number</t>
  </si>
  <si>
    <t xml:space="preserve">Sort Characters By Frequency</t>
  </si>
  <si>
    <t xml:space="preserve">Relative Sort Array</t>
  </si>
  <si>
    <t xml:space="preserve">Custom Sort String</t>
  </si>
  <si>
    <t xml:space="preserve">Counting sort</t>
  </si>
  <si>
    <t xml:space="preserve">Sort Array by Increasing Frequency</t>
  </si>
  <si>
    <t xml:space="preserve">Sorting application</t>
  </si>
  <si>
    <t xml:space="preserve">H-Index</t>
  </si>
  <si>
    <t xml:space="preserve">Wiggle Sort II</t>
  </si>
  <si>
    <t xml:space="preserve">Maximum Gap</t>
  </si>
  <si>
    <t xml:space="preserve">06. Binary Search</t>
  </si>
  <si>
    <t xml:space="preserve">Vanilla BS</t>
  </si>
  <si>
    <t xml:space="preserve">Binary Search</t>
  </si>
  <si>
    <t xml:space="preserve">Search Insert Position</t>
  </si>
  <si>
    <t xml:space="preserve">Lower/Upper bound</t>
  </si>
  <si>
    <t xml:space="preserve">Find First and Last Position of Element in Sorted Array</t>
  </si>
  <si>
    <t xml:space="preserve">Number of Occurrences</t>
  </si>
  <si>
    <t xml:space="preserve">Ceil in a Sorted Array</t>
  </si>
  <si>
    <t xml:space="preserve">Floor in a Sorted Array</t>
  </si>
  <si>
    <t xml:space="preserve">BS on answer</t>
  </si>
  <si>
    <t xml:space="preserve">Sqrt(x)</t>
  </si>
  <si>
    <t xml:space="preserve">Valid Perfect Square</t>
  </si>
  <si>
    <t xml:space="preserve">Interactive</t>
  </si>
  <si>
    <t xml:space="preserve">Guess Number Higher or Lower</t>
  </si>
  <si>
    <t xml:space="preserve">Rotated array</t>
  </si>
  <si>
    <t xml:space="preserve">Search in Rotated Sorted Array</t>
  </si>
  <si>
    <t xml:space="preserve">Search in Rotated Sorted Array II</t>
  </si>
  <si>
    <t xml:space="preserve">Find Minimum in Rotated Sorted Array</t>
  </si>
  <si>
    <t xml:space="preserve">Find Minimum in Rotated Sorted Array II</t>
  </si>
  <si>
    <t xml:space="preserve">Rotation Count in Sorted Array</t>
  </si>
  <si>
    <t xml:space="preserve">Peak finding</t>
  </si>
  <si>
    <t xml:space="preserve">Peak Index in a Mountain Array</t>
  </si>
  <si>
    <t xml:space="preserve">Find Peak Element</t>
  </si>
  <si>
    <t xml:space="preserve">Parity trick</t>
  </si>
  <si>
    <t xml:space="preserve">Single Element in a Sorted Array</t>
  </si>
  <si>
    <t xml:space="preserve">Unbounded BS</t>
  </si>
  <si>
    <t xml:space="preserve">Search in Infinite Sorted Array</t>
  </si>
  <si>
    <t xml:space="preserve">BS on matrix</t>
  </si>
  <si>
    <t xml:space="preserve">Search a 2D Matrix</t>
  </si>
  <si>
    <t xml:space="preserve">Search a 2D Matrix II</t>
  </si>
  <si>
    <t xml:space="preserve">Kth Smallest Element in a Sorted Matrix</t>
  </si>
  <si>
    <t xml:space="preserve">Kth Smallest Number in Multiplication Table</t>
  </si>
  <si>
    <t xml:space="preserve">Median in a Row-wise Sorted Matrix</t>
  </si>
  <si>
    <t xml:space="preserve">Partition BS</t>
  </si>
  <si>
    <t xml:space="preserve">Median of Two Sorted Arrays</t>
  </si>
  <si>
    <t xml:space="preserve">K-th Element of Two Sorted Arrays</t>
  </si>
  <si>
    <t xml:space="preserve">Find K Closest Elements</t>
  </si>
  <si>
    <t xml:space="preserve">Koko Eating Bananas</t>
  </si>
  <si>
    <t xml:space="preserve">Capacity To Ship Packages Within D Days</t>
  </si>
  <si>
    <t xml:space="preserve">Minimum Number of Days to Make m Bouquets</t>
  </si>
  <si>
    <t xml:space="preserve">Find the Smallest Divisor Given a Threshold</t>
  </si>
  <si>
    <t xml:space="preserve">Minimum Speed to Arrive on Time</t>
  </si>
  <si>
    <t xml:space="preserve">Split Array Largest Sum</t>
  </si>
  <si>
    <t xml:space="preserve">Allocate Minimum Number of Pages</t>
  </si>
  <si>
    <t xml:space="preserve">Aggressive Cows</t>
  </si>
  <si>
    <t xml:space="preserve">Magnetic Force Between Two Balls</t>
  </si>
  <si>
    <t xml:space="preserve">Maximum Candies Allocated to K Children</t>
  </si>
  <si>
    <t xml:space="preserve">Minimize Max Distance to Gas Station</t>
  </si>
  <si>
    <t xml:space="preserve">H-Index II</t>
  </si>
  <si>
    <t xml:space="preserve">07. Strings</t>
  </si>
  <si>
    <t xml:space="preserve">Reverse String</t>
  </si>
  <si>
    <t xml:space="preserve">Reverse Words in a String</t>
  </si>
  <si>
    <t xml:space="preserve">String Compression</t>
  </si>
  <si>
    <t xml:space="preserve">Longest Common Prefix</t>
  </si>
  <si>
    <t xml:space="preserve">Anagram</t>
  </si>
  <si>
    <t xml:space="preserve">Valid Anagram</t>
  </si>
  <si>
    <t xml:space="preserve">Group Anagrams</t>
  </si>
  <si>
    <t xml:space="preserve">Parsing</t>
  </si>
  <si>
    <t xml:space="preserve">Roman to Integer</t>
  </si>
  <si>
    <t xml:space="preserve">Integer to Roman</t>
  </si>
  <si>
    <t xml:space="preserve">String to Integer (atoi)</t>
  </si>
  <si>
    <t xml:space="preserve">Add Binary</t>
  </si>
  <si>
    <t xml:space="preserve">Multiply Strings</t>
  </si>
  <si>
    <t xml:space="preserve">Compare Version Numbers</t>
  </si>
  <si>
    <t xml:space="preserve">Count and Say</t>
  </si>
  <si>
    <t xml:space="preserve">Palindrome</t>
  </si>
  <si>
    <t xml:space="preserve">Longest Palindromic Substring</t>
  </si>
  <si>
    <t xml:space="preserve">Palindromic Substrings</t>
  </si>
  <si>
    <t xml:space="preserve">Shortest Palindrome</t>
  </si>
  <si>
    <t xml:space="preserve">Mapping</t>
  </si>
  <si>
    <t xml:space="preserve">Isomorphic Strings</t>
  </si>
  <si>
    <t xml:space="preserve">Word Pattern</t>
  </si>
  <si>
    <t xml:space="preserve">Pattern matching</t>
  </si>
  <si>
    <t xml:space="preserve">Find the Index of the First Occurrence in a String</t>
  </si>
  <si>
    <t xml:space="preserve">Repeated Substring Pattern</t>
  </si>
  <si>
    <t xml:space="preserve">Rotate String</t>
  </si>
  <si>
    <t xml:space="preserve">Longest Prefix Suffix (KMP)</t>
  </si>
  <si>
    <t xml:space="preserve">Z Algorithm for Pattern Searching</t>
  </si>
  <si>
    <t xml:space="preserve">Rabin-Karp Algorithm</t>
  </si>
  <si>
    <t xml:space="preserve">Simulation</t>
  </si>
  <si>
    <t xml:space="preserve">Zigzag Conversion</t>
  </si>
  <si>
    <t xml:space="preserve">Text Justification</t>
  </si>
  <si>
    <t xml:space="preserve">Minimum Add to Make Parentheses Valid</t>
  </si>
  <si>
    <t xml:space="preserve">08. Hashing</t>
  </si>
  <si>
    <t xml:space="preserve">Set basics</t>
  </si>
  <si>
    <t xml:space="preserve">Contains Duplicate</t>
  </si>
  <si>
    <t xml:space="preserve">Contains Duplicate II</t>
  </si>
  <si>
    <t xml:space="preserve">Intersection of Two Arrays</t>
  </si>
  <si>
    <t xml:space="preserve">Intersection of Two Arrays II</t>
  </si>
  <si>
    <t xml:space="preserve">Frequency map</t>
  </si>
  <si>
    <t xml:space="preserve">First Unique Character in a String</t>
  </si>
  <si>
    <t xml:space="preserve">Ransom Note</t>
  </si>
  <si>
    <t xml:space="preserve">Maximum Number of Balloons</t>
  </si>
  <si>
    <t xml:space="preserve">Longest Palindrome</t>
  </si>
  <si>
    <t xml:space="preserve">Number of Good Pairs</t>
  </si>
  <si>
    <t xml:space="preserve">Minimum Index Sum of Two Lists</t>
  </si>
  <si>
    <t xml:space="preserve">Cycle detection</t>
  </si>
  <si>
    <t xml:space="preserve">Happy Number</t>
  </si>
  <si>
    <t xml:space="preserve">Set + scan</t>
  </si>
  <si>
    <t xml:space="preserve">Longest Consecutive Sequence</t>
  </si>
  <si>
    <t xml:space="preserve">Meet in the middle</t>
  </si>
  <si>
    <t xml:space="preserve">4Sum II</t>
  </si>
  <si>
    <t xml:space="preserve">Grid hashing</t>
  </si>
  <si>
    <t xml:space="preserve">Valid Sudoku</t>
  </si>
  <si>
    <t xml:space="preserve">Line hashing</t>
  </si>
  <si>
    <t xml:space="preserve">Brick Wall</t>
  </si>
  <si>
    <t xml:space="preserve">Max Points on a Line</t>
  </si>
  <si>
    <t xml:space="preserve">09. Matrix / 2D</t>
  </si>
  <si>
    <t xml:space="preserve">Traversal</t>
  </si>
  <si>
    <t xml:space="preserve">Spiral Matrix</t>
  </si>
  <si>
    <t xml:space="preserve">Spiral Matrix II</t>
  </si>
  <si>
    <t xml:space="preserve">Diagonal Traverse</t>
  </si>
  <si>
    <t xml:space="preserve">Matrix Diagonal Sum</t>
  </si>
  <si>
    <t xml:space="preserve">In-place ops</t>
  </si>
  <si>
    <t xml:space="preserve">Rotate Image</t>
  </si>
  <si>
    <t xml:space="preserve">Set Matrix Zeroes</t>
  </si>
  <si>
    <t xml:space="preserve">Transpose Matrix</t>
  </si>
  <si>
    <t xml:space="preserve">Game of Life</t>
  </si>
  <si>
    <t xml:space="preserve">Properties</t>
  </si>
  <si>
    <t xml:space="preserve">Toeplitz Matrix</t>
  </si>
  <si>
    <t xml:space="preserve">Construction</t>
  </si>
  <si>
    <t xml:space="preserve">Pascal's Triangle</t>
  </si>
  <si>
    <t xml:space="preserve">Pascal's Triangle II</t>
  </si>
  <si>
    <t xml:space="preserve">10. Linked List</t>
  </si>
  <si>
    <t xml:space="preserve">Reversal</t>
  </si>
  <si>
    <t xml:space="preserve">Reverse Linked List</t>
  </si>
  <si>
    <t xml:space="preserve">Reverse Linked List II</t>
  </si>
  <si>
    <t xml:space="preserve">Swap Nodes in Pairs</t>
  </si>
  <si>
    <t xml:space="preserve">Reverse Nodes in k-Group</t>
  </si>
  <si>
    <t xml:space="preserve">Reverse Nodes in Even Length Groups</t>
  </si>
  <si>
    <t xml:space="preserve">Fast &amp; slow</t>
  </si>
  <si>
    <t xml:space="preserve">Middle of the Linked List</t>
  </si>
  <si>
    <t xml:space="preserve">Linked List Cycle</t>
  </si>
  <si>
    <t xml:space="preserve">Linked List Cycle II</t>
  </si>
  <si>
    <t xml:space="preserve">Palindrome Linked List</t>
  </si>
  <si>
    <t xml:space="preserve">Remove Nth Node From End of List</t>
  </si>
  <si>
    <t xml:space="preserve">Reorder List</t>
  </si>
  <si>
    <t xml:space="preserve">Deletion</t>
  </si>
  <si>
    <t xml:space="preserve">Remove Duplicates from Sorted List</t>
  </si>
  <si>
    <t xml:space="preserve">Remove Duplicates from Sorted List II</t>
  </si>
  <si>
    <t xml:space="preserve">Remove Linked List Elements</t>
  </si>
  <si>
    <t xml:space="preserve">Delete Node in a Linked List</t>
  </si>
  <si>
    <t xml:space="preserve">Remove Nodes From Linked List</t>
  </si>
  <si>
    <t xml:space="preserve">Merging</t>
  </si>
  <si>
    <t xml:space="preserve">Merge Two Sorted Lists</t>
  </si>
  <si>
    <t xml:space="preserve">Merge k Sorted Lists</t>
  </si>
  <si>
    <t xml:space="preserve">Sort List</t>
  </si>
  <si>
    <t xml:space="preserve">Arithmetic</t>
  </si>
  <si>
    <t xml:space="preserve">Add Two Numbers</t>
  </si>
  <si>
    <t xml:space="preserve">Add Two Numbers II</t>
  </si>
  <si>
    <t xml:space="preserve">Odd Even Linked List</t>
  </si>
  <si>
    <t xml:space="preserve">Partition List</t>
  </si>
  <si>
    <t xml:space="preserve">Rotate List</t>
  </si>
  <si>
    <t xml:space="preserve">Split Linked List in Parts</t>
  </si>
  <si>
    <t xml:space="preserve">Pointers</t>
  </si>
  <si>
    <t xml:space="preserve">Intersection of Two Linked Lists</t>
  </si>
  <si>
    <t xml:space="preserve">Copy List with Random Pointer</t>
  </si>
  <si>
    <t xml:space="preserve">Flatten a Multilevel Doubly Linked List</t>
  </si>
  <si>
    <t xml:space="preserve">Flattening a Linked List</t>
  </si>
  <si>
    <t xml:space="preserve">Design</t>
  </si>
  <si>
    <t xml:space="preserve">Design Linked List</t>
  </si>
  <si>
    <t xml:space="preserve">11. Stack &amp; Queue</t>
  </si>
  <si>
    <t xml:space="preserve">Parentheses</t>
  </si>
  <si>
    <t xml:space="preserve">Valid Parentheses</t>
  </si>
  <si>
    <t xml:space="preserve">Longest Valid Parentheses</t>
  </si>
  <si>
    <t xml:space="preserve">Score of Parentheses</t>
  </si>
  <si>
    <t xml:space="preserve">Min Stack</t>
  </si>
  <si>
    <t xml:space="preserve">Implement Stack using Queues</t>
  </si>
  <si>
    <t xml:space="preserve">Implement Queue using Stacks</t>
  </si>
  <si>
    <t xml:space="preserve">Design Circular Queue</t>
  </si>
  <si>
    <t xml:space="preserve">Maximum Frequency Stack</t>
  </si>
  <si>
    <t xml:space="preserve">Expression</t>
  </si>
  <si>
    <t xml:space="preserve">Evaluate Reverse Polish Notation</t>
  </si>
  <si>
    <t xml:space="preserve">Basic Calculator</t>
  </si>
  <si>
    <t xml:space="preserve">Basic Calculator II</t>
  </si>
  <si>
    <t xml:space="preserve">Infix to Postfix Conversion</t>
  </si>
  <si>
    <t xml:space="preserve">Decode String</t>
  </si>
  <si>
    <t xml:space="preserve">Remove All Adjacent Duplicates In String</t>
  </si>
  <si>
    <t xml:space="preserve">Remove All Adjacent Duplicates in String II</t>
  </si>
  <si>
    <t xml:space="preserve">Simplify Path</t>
  </si>
  <si>
    <t xml:space="preserve">Asteroid Collision</t>
  </si>
  <si>
    <t xml:space="preserve">The Celebrity Problem</t>
  </si>
  <si>
    <t xml:space="preserve">Monotonic stack</t>
  </si>
  <si>
    <t xml:space="preserve">Next Greater Element I</t>
  </si>
  <si>
    <t xml:space="preserve">Next Greater Element II</t>
  </si>
  <si>
    <t xml:space="preserve">Daily Temperatures</t>
  </si>
  <si>
    <t xml:space="preserve">Online Stock Span</t>
  </si>
  <si>
    <t xml:space="preserve">Number of Visible People in a Queue</t>
  </si>
  <si>
    <t xml:space="preserve">132 Pattern</t>
  </si>
  <si>
    <t xml:space="preserve">Car Fleet</t>
  </si>
  <si>
    <t xml:space="preserve">Remove K Digits</t>
  </si>
  <si>
    <t xml:space="preserve">Sum of Subarray Minimums</t>
  </si>
  <si>
    <t xml:space="preserve">Largest Rectangle in Histogram</t>
  </si>
  <si>
    <t xml:space="preserve">Maximal Rectangle</t>
  </si>
  <si>
    <t xml:space="preserve">12. Heap &amp; Priority Queue</t>
  </si>
  <si>
    <t xml:space="preserve">Kth element</t>
  </si>
  <si>
    <t xml:space="preserve">Kth Largest Element in an Array</t>
  </si>
  <si>
    <t xml:space="preserve">Kth Smallest Element</t>
  </si>
  <si>
    <t xml:space="preserve">Kth Largest Element in a Stream</t>
  </si>
  <si>
    <t xml:space="preserve">Ugly Number II</t>
  </si>
  <si>
    <t xml:space="preserve">Top K</t>
  </si>
  <si>
    <t xml:space="preserve">Top K Frequent Elements</t>
  </si>
  <si>
    <t xml:space="preserve">Top K Frequent Words</t>
  </si>
  <si>
    <t xml:space="preserve">K Closest Points to Origin</t>
  </si>
  <si>
    <t xml:space="preserve">The K Weakest Rows in a Matrix</t>
  </si>
  <si>
    <t xml:space="preserve">Find K Pairs with Smallest Sums</t>
  </si>
  <si>
    <t xml:space="preserve">K-way merge</t>
  </si>
  <si>
    <t xml:space="preserve">Merge K Sorted Arrays</t>
  </si>
  <si>
    <t xml:space="preserve">Smallest Range Covering Elements from K Lists</t>
  </si>
  <si>
    <t xml:space="preserve">Greedy + heap</t>
  </si>
  <si>
    <t xml:space="preserve">Last Stone Weight</t>
  </si>
  <si>
    <t xml:space="preserve">Minimum Cost of Ropes</t>
  </si>
  <si>
    <t xml:space="preserve">Task Scheduler</t>
  </si>
  <si>
    <t xml:space="preserve">Reorganize String</t>
  </si>
  <si>
    <t xml:space="preserve">Hand of Straights</t>
  </si>
  <si>
    <t xml:space="preserve">IPO</t>
  </si>
  <si>
    <t xml:space="preserve">Minimum Number of Refueling Stops</t>
  </si>
  <si>
    <t xml:space="preserve">Course Schedule III</t>
  </si>
  <si>
    <t xml:space="preserve">Maximum Subsequence Score</t>
  </si>
  <si>
    <t xml:space="preserve">Total Cost to Hire K Workers</t>
  </si>
  <si>
    <t xml:space="preserve">Two heaps</t>
  </si>
  <si>
    <t xml:space="preserve">Find Median from Data Stream</t>
  </si>
  <si>
    <t xml:space="preserve">Sliding Window Median</t>
  </si>
  <si>
    <t xml:space="preserve">Smallest Number in Infinite Set</t>
  </si>
  <si>
    <t xml:space="preserve">Seat Reservation Manager</t>
  </si>
  <si>
    <t xml:space="preserve">13. Greedy</t>
  </si>
  <si>
    <t xml:space="preserve">Sort + pick</t>
  </si>
  <si>
    <t xml:space="preserve">Assign Cookies</t>
  </si>
  <si>
    <t xml:space="preserve">Lemonade Change</t>
  </si>
  <si>
    <t xml:space="preserve">Reachability</t>
  </si>
  <si>
    <t xml:space="preserve">Jump Game</t>
  </si>
  <si>
    <t xml:space="preserve">Jump Game II</t>
  </si>
  <si>
    <t xml:space="preserve">Prefix scan</t>
  </si>
  <si>
    <t xml:space="preserve">Gas Station</t>
  </si>
  <si>
    <t xml:space="preserve">Two pass</t>
  </si>
  <si>
    <t xml:space="preserve">Candy</t>
  </si>
  <si>
    <t xml:space="preserve">Wiggle Subsequence</t>
  </si>
  <si>
    <t xml:space="preserve">Partitioning</t>
  </si>
  <si>
    <t xml:space="preserve">Partition Labels</t>
  </si>
  <si>
    <t xml:space="preserve">Interval greedy</t>
  </si>
  <si>
    <t xml:space="preserve">Non-overlapping Intervals</t>
  </si>
  <si>
    <t xml:space="preserve">Minimum Number of Arrows to Burst Balloons</t>
  </si>
  <si>
    <t xml:space="preserve">N Meetings in One Room</t>
  </si>
  <si>
    <t xml:space="preserve">Minimum Platforms</t>
  </si>
  <si>
    <t xml:space="preserve">Job Sequencing Problem</t>
  </si>
  <si>
    <t xml:space="preserve">Classic greedy</t>
  </si>
  <si>
    <t xml:space="preserve">Fractional Knapsack</t>
  </si>
  <si>
    <t xml:space="preserve">Shortest Job First</t>
  </si>
  <si>
    <t xml:space="preserve">Maximum Units on a Truck</t>
  </si>
  <si>
    <t xml:space="preserve">Validation</t>
  </si>
  <si>
    <t xml:space="preserve">Valid Parenthesis String</t>
  </si>
  <si>
    <t xml:space="preserve">Reconstruction</t>
  </si>
  <si>
    <t xml:space="preserve">Queue Reconstruction by Height</t>
  </si>
  <si>
    <t xml:space="preserve">14. Backtracking</t>
  </si>
  <si>
    <t xml:space="preserve">Subsets</t>
  </si>
  <si>
    <t xml:space="preserve">Subsets II</t>
  </si>
  <si>
    <t xml:space="preserve">Subset Sum</t>
  </si>
  <si>
    <t xml:space="preserve">Permutations</t>
  </si>
  <si>
    <t xml:space="preserve">Permutations II</t>
  </si>
  <si>
    <t xml:space="preserve">Permutation Sequence</t>
  </si>
  <si>
    <t xml:space="preserve">Combinations</t>
  </si>
  <si>
    <t xml:space="preserve">Combination Sum</t>
  </si>
  <si>
    <t xml:space="preserve">Combination Sum II</t>
  </si>
  <si>
    <t xml:space="preserve">Combination Sum III</t>
  </si>
  <si>
    <t xml:space="preserve">Letter Combinations of a Phone Number</t>
  </si>
  <si>
    <t xml:space="preserve">String building</t>
  </si>
  <si>
    <t xml:space="preserve">Generate Parentheses</t>
  </si>
  <si>
    <t xml:space="preserve">Restore IP Addresses</t>
  </si>
  <si>
    <t xml:space="preserve">String partition</t>
  </si>
  <si>
    <t xml:space="preserve">Palindrome Partitioning</t>
  </si>
  <si>
    <t xml:space="preserve">Word Break II</t>
  </si>
  <si>
    <t xml:space="preserve">Grid backtracking</t>
  </si>
  <si>
    <t xml:space="preserve">Word Search</t>
  </si>
  <si>
    <t xml:space="preserve">Rat in a Maze Problem</t>
  </si>
  <si>
    <t xml:space="preserve">N-Queens</t>
  </si>
  <si>
    <t xml:space="preserve">N-Queens II</t>
  </si>
  <si>
    <t xml:space="preserve">Sudoku Solver</t>
  </si>
  <si>
    <t xml:space="preserve">Partition into K</t>
  </si>
  <si>
    <t xml:space="preserve">Partition to K Equal Sum Subsets</t>
  </si>
  <si>
    <t xml:space="preserve">Matchsticks to Square</t>
  </si>
  <si>
    <t xml:space="preserve">Graph coloring</t>
  </si>
  <si>
    <t xml:space="preserve">M-Coloring Problem</t>
  </si>
  <si>
    <t xml:space="preserve">Expression Add Operators</t>
  </si>
  <si>
    <t xml:space="preserve">Counting</t>
  </si>
  <si>
    <t xml:space="preserve">Beautiful Arrangement</t>
  </si>
  <si>
    <t xml:space="preserve">15. Trees &amp; BST</t>
  </si>
  <si>
    <t xml:space="preserve">Binary Tree Inorder Traversal</t>
  </si>
  <si>
    <t xml:space="preserve">Binary Tree Preorder Traversal</t>
  </si>
  <si>
    <t xml:space="preserve">Binary Tree Postorder Traversal</t>
  </si>
  <si>
    <t xml:space="preserve">Morris Inorder Traversal</t>
  </si>
  <si>
    <t xml:space="preserve">BFS</t>
  </si>
  <si>
    <t xml:space="preserve">Binary Tree Level Order Traversal</t>
  </si>
  <si>
    <t xml:space="preserve">Binary Tree Level Order Traversal II</t>
  </si>
  <si>
    <t xml:space="preserve">Binary Tree Zigzag Level Order Traversal</t>
  </si>
  <si>
    <t xml:space="preserve">Average of Levels in Binary Tree</t>
  </si>
  <si>
    <t xml:space="preserve">N-ary Tree Level Order Traversal</t>
  </si>
  <si>
    <t xml:space="preserve">Views</t>
  </si>
  <si>
    <t xml:space="preserve">Binary Tree Right Side View</t>
  </si>
  <si>
    <t xml:space="preserve">Vertical Order Traversal of a Binary Tree</t>
  </si>
  <si>
    <t xml:space="preserve">Top View of Binary Tree</t>
  </si>
  <si>
    <t xml:space="preserve">Bottom View of Binary Tree</t>
  </si>
  <si>
    <t xml:space="preserve">Boundary Traversal of Binary Tree</t>
  </si>
  <si>
    <t xml:space="preserve">Depth &amp; balance</t>
  </si>
  <si>
    <t xml:space="preserve">Maximum Depth of Binary Tree</t>
  </si>
  <si>
    <t xml:space="preserve">Minimum Depth of Binary Tree</t>
  </si>
  <si>
    <t xml:space="preserve">Balanced Binary Tree</t>
  </si>
  <si>
    <t xml:space="preserve">Diameter of Binary Tree</t>
  </si>
  <si>
    <t xml:space="preserve">Structure</t>
  </si>
  <si>
    <t xml:space="preserve">Same Tree</t>
  </si>
  <si>
    <t xml:space="preserve">Symmetric Tree</t>
  </si>
  <si>
    <t xml:space="preserve">Invert Binary Tree</t>
  </si>
  <si>
    <t xml:space="preserve">Subtree of Another Tree</t>
  </si>
  <si>
    <t xml:space="preserve">Flip Equivalent Binary Trees</t>
  </si>
  <si>
    <t xml:space="preserve">Check Completeness of a Binary Tree</t>
  </si>
  <si>
    <t xml:space="preserve">Count Complete Tree Nodes</t>
  </si>
  <si>
    <t xml:space="preserve">Path sum</t>
  </si>
  <si>
    <t xml:space="preserve">Path Sum</t>
  </si>
  <si>
    <t xml:space="preserve">Path Sum II</t>
  </si>
  <si>
    <t xml:space="preserve">Path Sum III</t>
  </si>
  <si>
    <t xml:space="preserve">Sum Root to Leaf Numbers</t>
  </si>
  <si>
    <t xml:space="preserve">Binary Tree Paths</t>
  </si>
  <si>
    <t xml:space="preserve">Binary Tree Maximum Path Sum</t>
  </si>
  <si>
    <t xml:space="preserve">Distance</t>
  </si>
  <si>
    <t xml:space="preserve">All Nodes Distance K in Binary Tree</t>
  </si>
  <si>
    <t xml:space="preserve">Amount of Time for Binary Tree to Be Infected</t>
  </si>
  <si>
    <t xml:space="preserve">LCA</t>
  </si>
  <si>
    <t xml:space="preserve">Lowest Common Ancestor of a Binary Tree</t>
  </si>
  <si>
    <t xml:space="preserve">Lowest Common Ancestor of a Binary Search Tree</t>
  </si>
  <si>
    <t xml:space="preserve">Lowest Common Ancestor of Deepest Leaves</t>
  </si>
  <si>
    <t xml:space="preserve">Construct Binary Tree from Preorder and Inorder Traversal</t>
  </si>
  <si>
    <t xml:space="preserve">Construct Binary Tree from Inorder and Postorder Traversal</t>
  </si>
  <si>
    <t xml:space="preserve">Convert Sorted Array to Binary Search Tree</t>
  </si>
  <si>
    <t xml:space="preserve">Flatten Binary Tree to Linked List</t>
  </si>
  <si>
    <t xml:space="preserve">Serialization</t>
  </si>
  <si>
    <t xml:space="preserve">Serialize and Deserialize Binary Tree</t>
  </si>
  <si>
    <t xml:space="preserve">BST basics</t>
  </si>
  <si>
    <t xml:space="preserve">Search in a Binary Search Tree</t>
  </si>
  <si>
    <t xml:space="preserve">Insert into a Binary Search Tree</t>
  </si>
  <si>
    <t xml:space="preserve">Delete Node in a BST</t>
  </si>
  <si>
    <t xml:space="preserve">Range Sum of BST</t>
  </si>
  <si>
    <t xml:space="preserve">BST properties</t>
  </si>
  <si>
    <t xml:space="preserve">Validate Binary Search Tree</t>
  </si>
  <si>
    <t xml:space="preserve">Kth Smallest Element in a BST</t>
  </si>
  <si>
    <t xml:space="preserve">Two Sum IV - Input is a BST</t>
  </si>
  <si>
    <t xml:space="preserve">Recover Binary Search Tree</t>
  </si>
  <si>
    <t xml:space="preserve">Binary Search Tree Iterator</t>
  </si>
  <si>
    <t xml:space="preserve">Inorder Successor in BST</t>
  </si>
  <si>
    <t xml:space="preserve">Largest BST in a Binary Tree</t>
  </si>
  <si>
    <t xml:space="preserve">16. Tries</t>
  </si>
  <si>
    <t xml:space="preserve">Implement Trie (Prefix Tree)</t>
  </si>
  <si>
    <t xml:space="preserve">Design Add and Search Words Data Structure</t>
  </si>
  <si>
    <t xml:space="preserve">Map Sum Pairs</t>
  </si>
  <si>
    <t xml:space="preserve">Implement Trie II (count prefixes)</t>
  </si>
  <si>
    <t xml:space="preserve">Prefix search</t>
  </si>
  <si>
    <t xml:space="preserve">Replace Words</t>
  </si>
  <si>
    <t xml:space="preserve">Longest Word in Dictionary</t>
  </si>
  <si>
    <t xml:space="preserve">Search Suggestions System</t>
  </si>
  <si>
    <t xml:space="preserve">Trie + grid</t>
  </si>
  <si>
    <t xml:space="preserve">Word Search II</t>
  </si>
  <si>
    <t xml:space="preserve">Bit trie</t>
  </si>
  <si>
    <t xml:space="preserve">Maximum XOR of Two Numbers in an Array</t>
  </si>
  <si>
    <t xml:space="preserve">Count Distinct Substrings using Trie</t>
  </si>
  <si>
    <t xml:space="preserve">17. Graphs</t>
  </si>
  <si>
    <t xml:space="preserve">Representation</t>
  </si>
  <si>
    <t xml:space="preserve">Print Adjacency List</t>
  </si>
  <si>
    <t xml:space="preserve">DFS of Graph</t>
  </si>
  <si>
    <t xml:space="preserve">BFS of Graph</t>
  </si>
  <si>
    <t xml:space="preserve">Clone Graph</t>
  </si>
  <si>
    <t xml:space="preserve">Grid DFS/BFS</t>
  </si>
  <si>
    <t xml:space="preserve">Number of Islands</t>
  </si>
  <si>
    <t xml:space="preserve">Max Area of Island</t>
  </si>
  <si>
    <t xml:space="preserve">Flood Fill</t>
  </si>
  <si>
    <t xml:space="preserve">Surrounded Regions</t>
  </si>
  <si>
    <t xml:space="preserve">Number of Enclaves</t>
  </si>
  <si>
    <t xml:space="preserve">Number of Distinct Islands</t>
  </si>
  <si>
    <t xml:space="preserve">Pacific Atlantic Water Flow</t>
  </si>
  <si>
    <t xml:space="preserve">Multi-source BFS</t>
  </si>
  <si>
    <t xml:space="preserve">Rotting Oranges</t>
  </si>
  <si>
    <t xml:space="preserve">01 Matrix</t>
  </si>
  <si>
    <t xml:space="preserve">BFS shortest path</t>
  </si>
  <si>
    <t xml:space="preserve">Shortest Path in Binary Matrix</t>
  </si>
  <si>
    <t xml:space="preserve">Shortest Path in Undirected Graph (unit weights)</t>
  </si>
  <si>
    <t xml:space="preserve">Word Ladder</t>
  </si>
  <si>
    <t xml:space="preserve">Word Ladder II</t>
  </si>
  <si>
    <t xml:space="preserve">Minimum Multiplications to Reach End</t>
  </si>
  <si>
    <t xml:space="preserve">Connected components</t>
  </si>
  <si>
    <t xml:space="preserve">Number of Provinces</t>
  </si>
  <si>
    <t xml:space="preserve">Detect Cycle in an Undirected Graph</t>
  </si>
  <si>
    <t xml:space="preserve">Detect Cycle in a Directed Graph</t>
  </si>
  <si>
    <t xml:space="preserve">Find Eventual Safe States</t>
  </si>
  <si>
    <t xml:space="preserve">Coloring</t>
  </si>
  <si>
    <t xml:space="preserve">Is Graph Bipartite?</t>
  </si>
  <si>
    <t xml:space="preserve">Topological sort</t>
  </si>
  <si>
    <t xml:space="preserve">Topological Sort</t>
  </si>
  <si>
    <t xml:space="preserve">Course Schedule</t>
  </si>
  <si>
    <t xml:space="preserve">Course Schedule II</t>
  </si>
  <si>
    <t xml:space="preserve">Alien Dictionary</t>
  </si>
  <si>
    <t xml:space="preserve">Minimum Height Trees</t>
  </si>
  <si>
    <t xml:space="preserve">Parallel Courses</t>
  </si>
  <si>
    <t xml:space="preserve">Dijkstra</t>
  </si>
  <si>
    <t xml:space="preserve">Implementing Dijkstra Algorithm</t>
  </si>
  <si>
    <t xml:space="preserve">Network Delay Time</t>
  </si>
  <si>
    <t xml:space="preserve">Path With Minimum Effort</t>
  </si>
  <si>
    <t xml:space="preserve">Swim in Rising Water</t>
  </si>
  <si>
    <t xml:space="preserve">Path with Maximum Probability</t>
  </si>
  <si>
    <t xml:space="preserve">Number of Ways to Arrive at Destination</t>
  </si>
  <si>
    <t xml:space="preserve">Bellman-Ford</t>
  </si>
  <si>
    <t xml:space="preserve">Distance from the Source (Bellman-Ford)</t>
  </si>
  <si>
    <t xml:space="preserve">Cheapest Flights Within K Stops</t>
  </si>
  <si>
    <t xml:space="preserve">Floyd-Warshall</t>
  </si>
  <si>
    <t xml:space="preserve">Floyd Warshall Algorithm</t>
  </si>
  <si>
    <t xml:space="preserve">Find the City With the Smallest Number of Neighbors at a Threshold Distance</t>
  </si>
  <si>
    <t xml:space="preserve">MST</t>
  </si>
  <si>
    <t xml:space="preserve">Minimum Spanning Tree (Prim's)</t>
  </si>
  <si>
    <t xml:space="preserve">Kruskal's Algorithm</t>
  </si>
  <si>
    <t xml:space="preserve">Min Cost to Connect All Points</t>
  </si>
  <si>
    <t xml:space="preserve">DSU</t>
  </si>
  <si>
    <t xml:space="preserve">Disjoint Set (Union by Rank &amp; Path Compression)</t>
  </si>
  <si>
    <t xml:space="preserve">Redundant Connection</t>
  </si>
  <si>
    <t xml:space="preserve">Number of Operations to Make Network Connected</t>
  </si>
  <si>
    <t xml:space="preserve">Accounts Merge</t>
  </si>
  <si>
    <t xml:space="preserve">Most Stones Removed with Same Row or Column</t>
  </si>
  <si>
    <t xml:space="preserve">Satisfiability of Equality Equations</t>
  </si>
  <si>
    <t xml:space="preserve">Making A Large Island</t>
  </si>
  <si>
    <t xml:space="preserve">Number of Islands II</t>
  </si>
  <si>
    <t xml:space="preserve">Bridges &amp; APs</t>
  </si>
  <si>
    <t xml:space="preserve">Critical Connections in a Network</t>
  </si>
  <si>
    <t xml:space="preserve">Articulation Point in a Graph</t>
  </si>
  <si>
    <t xml:space="preserve">SCC</t>
  </si>
  <si>
    <t xml:space="preserve">Strongly Connected Components (Kosaraju)</t>
  </si>
  <si>
    <t xml:space="preserve">Euler path</t>
  </si>
  <si>
    <t xml:space="preserve">Reconstruct Itinerary</t>
  </si>
  <si>
    <t xml:space="preserve">Misc</t>
  </si>
  <si>
    <t xml:space="preserve">Graph Valid Tree</t>
  </si>
  <si>
    <t xml:space="preserve">Evaluate Division</t>
  </si>
  <si>
    <t xml:space="preserve">18. Dynamic Programming</t>
  </si>
  <si>
    <t xml:space="preserve">1D DP</t>
  </si>
  <si>
    <t xml:space="preserve">Climbing Stairs</t>
  </si>
  <si>
    <t xml:space="preserve">Min Cost Climbing Stairs</t>
  </si>
  <si>
    <t xml:space="preserve">Frog Jump</t>
  </si>
  <si>
    <t xml:space="preserve">House Robber</t>
  </si>
  <si>
    <t xml:space="preserve">House Robber II</t>
  </si>
  <si>
    <t xml:space="preserve">Maximum Sum of Non-Adjacent Elements</t>
  </si>
  <si>
    <t xml:space="preserve">Decode Ways</t>
  </si>
  <si>
    <t xml:space="preserve">Delete and Earn</t>
  </si>
  <si>
    <t xml:space="preserve">Word Break</t>
  </si>
  <si>
    <t xml:space="preserve">Grid DP</t>
  </si>
  <si>
    <t xml:space="preserve">Unique Paths</t>
  </si>
  <si>
    <t xml:space="preserve">Unique Paths II</t>
  </si>
  <si>
    <t xml:space="preserve">Minimum Path Sum</t>
  </si>
  <si>
    <t xml:space="preserve">Triangle</t>
  </si>
  <si>
    <t xml:space="preserve">Minimum Falling Path Sum</t>
  </si>
  <si>
    <t xml:space="preserve">Cherry Pickup II</t>
  </si>
  <si>
    <t xml:space="preserve">Dungeon Game</t>
  </si>
  <si>
    <t xml:space="preserve">Longest Increasing Path in a Matrix</t>
  </si>
  <si>
    <t xml:space="preserve">0/1 Knapsack</t>
  </si>
  <si>
    <t xml:space="preserve">0 - 1 Knapsack Problem</t>
  </si>
  <si>
    <t xml:space="preserve">Subset Sum Problem</t>
  </si>
  <si>
    <t xml:space="preserve">Partition Equal Subset Sum</t>
  </si>
  <si>
    <t xml:space="preserve">Target Sum</t>
  </si>
  <si>
    <t xml:space="preserve">Count Subsets with Sum K</t>
  </si>
  <si>
    <t xml:space="preserve">Minimum Subset Sum Difference</t>
  </si>
  <si>
    <t xml:space="preserve">Ones and Zeroes</t>
  </si>
  <si>
    <t xml:space="preserve">Unbounded Knapsack</t>
  </si>
  <si>
    <t xml:space="preserve">Rod Cutting</t>
  </si>
  <si>
    <t xml:space="preserve">Coin Change</t>
  </si>
  <si>
    <t xml:space="preserve">Coin Change II</t>
  </si>
  <si>
    <t xml:space="preserve">Combination Sum IV</t>
  </si>
  <si>
    <t xml:space="preserve">Perfect Squares</t>
  </si>
  <si>
    <t xml:space="preserve">LIS</t>
  </si>
  <si>
    <t xml:space="preserve">Longest Increasing Subsequence</t>
  </si>
  <si>
    <t xml:space="preserve">Number of Longest Increasing Subsequence</t>
  </si>
  <si>
    <t xml:space="preserve">Largest Divisible Subset</t>
  </si>
  <si>
    <t xml:space="preserve">Longest String Chain</t>
  </si>
  <si>
    <t xml:space="preserve">Russian Doll Envelopes</t>
  </si>
  <si>
    <t xml:space="preserve">Maximum Sum Increasing Subsequence</t>
  </si>
  <si>
    <t xml:space="preserve">Longest Bitonic Subsequence</t>
  </si>
  <si>
    <t xml:space="preserve">String DP</t>
  </si>
  <si>
    <t xml:space="preserve">Longest Common Subsequence</t>
  </si>
  <si>
    <t xml:space="preserve">Longest Common Substring</t>
  </si>
  <si>
    <t xml:space="preserve">Shortest Common Supersequence</t>
  </si>
  <si>
    <t xml:space="preserve">Delete Operation for Two Strings</t>
  </si>
  <si>
    <t xml:space="preserve">Edit Distance</t>
  </si>
  <si>
    <t xml:space="preserve">Distinct Subsequences</t>
  </si>
  <si>
    <t xml:space="preserve">Wildcard Matching</t>
  </si>
  <si>
    <t xml:space="preserve">Regular Expression Matching</t>
  </si>
  <si>
    <t xml:space="preserve">Interleaving String</t>
  </si>
  <si>
    <t xml:space="preserve">Longest Palindromic Subsequence</t>
  </si>
  <si>
    <t xml:space="preserve">Minimum Insertion Steps to Make a String Palindrome</t>
  </si>
  <si>
    <t xml:space="preserve">Stocks DP</t>
  </si>
  <si>
    <t xml:space="preserve">Best Time to Buy and Sell Stock II</t>
  </si>
  <si>
    <t xml:space="preserve">Best Time to Buy and Sell Stock III</t>
  </si>
  <si>
    <t xml:space="preserve">Best Time to Buy and Sell Stock IV</t>
  </si>
  <si>
    <t xml:space="preserve">Best Time to Buy and Sell Stock with Cooldown</t>
  </si>
  <si>
    <t xml:space="preserve">Best Time to Buy and Sell Stock with Transaction Fee</t>
  </si>
  <si>
    <t xml:space="preserve">Partition DP</t>
  </si>
  <si>
    <t xml:space="preserve">Matrix Chain Multiplication</t>
  </si>
  <si>
    <t xml:space="preserve">Minimum Cost to Cut a Stick</t>
  </si>
  <si>
    <t xml:space="preserve">Burst Balloons</t>
  </si>
  <si>
    <t xml:space="preserve">Palindrome Partitioning II</t>
  </si>
  <si>
    <t xml:space="preserve">Partition Array for Maximum Sum</t>
  </si>
  <si>
    <t xml:space="preserve">Boolean Parenthesization</t>
  </si>
  <si>
    <t xml:space="preserve">Squares in matrix</t>
  </si>
  <si>
    <t xml:space="preserve">Maximal Square</t>
  </si>
  <si>
    <t xml:space="preserve">Count Square Submatrices with All Ones</t>
  </si>
  <si>
    <t xml:space="preserve">DP on trees</t>
  </si>
  <si>
    <t xml:space="preserve">House Robber III</t>
  </si>
  <si>
    <t xml:space="preserve">Binary Tree Cameras</t>
  </si>
  <si>
    <t xml:space="preserve">Game DP</t>
  </si>
  <si>
    <t xml:space="preserve">Stone Game</t>
  </si>
  <si>
    <t xml:space="preserve">Predict the Winner</t>
  </si>
  <si>
    <t xml:space="preserve">Counting DP</t>
  </si>
  <si>
    <t xml:space="preserve">Number of Dice Rolls With Target Sum</t>
  </si>
  <si>
    <t xml:space="preserve">Knight Probability in Chessboard</t>
  </si>
  <si>
    <t xml:space="preserve">Bitmask DP</t>
  </si>
  <si>
    <t xml:space="preserve">Travelling Salesman Problem</t>
  </si>
  <si>
    <t xml:space="preserve">Shortest Path Visiting All Nodes</t>
  </si>
  <si>
    <t xml:space="preserve">19. Bit Manipulation</t>
  </si>
  <si>
    <t xml:space="preserve">Number of 1 Bits</t>
  </si>
  <si>
    <t xml:space="preserve">Counting Bits</t>
  </si>
  <si>
    <t xml:space="preserve">Reverse Bits</t>
  </si>
  <si>
    <t xml:space="preserve">Power of Two</t>
  </si>
  <si>
    <t xml:space="preserve">Power of Four</t>
  </si>
  <si>
    <t xml:space="preserve">Swap Two Numbers Without Temp Variable</t>
  </si>
  <si>
    <t xml:space="preserve">Minimum Bit Flips to Convert Number</t>
  </si>
  <si>
    <t xml:space="preserve">XOR tricks</t>
  </si>
  <si>
    <t xml:space="preserve">Single Number</t>
  </si>
  <si>
    <t xml:space="preserve">Single Number II</t>
  </si>
  <si>
    <t xml:space="preserve">Single Number III</t>
  </si>
  <si>
    <t xml:space="preserve">Hamming Distance</t>
  </si>
  <si>
    <t xml:space="preserve">Total Hamming Distance</t>
  </si>
  <si>
    <t xml:space="preserve">XOR Queries of a Subarray</t>
  </si>
  <si>
    <t xml:space="preserve">Find XOR of Numbers from 1 to N</t>
  </si>
  <si>
    <t xml:space="preserve">Bit arithmetic</t>
  </si>
  <si>
    <t xml:space="preserve">Sum of Two Integers</t>
  </si>
  <si>
    <t xml:space="preserve">Divide Two Integers</t>
  </si>
  <si>
    <t xml:space="preserve">Bitwise AND of Numbers Range</t>
  </si>
  <si>
    <t xml:space="preserve">Bitmask</t>
  </si>
  <si>
    <t xml:space="preserve">Maximum Product of Word Lengths</t>
  </si>
  <si>
    <t xml:space="preserve">Gray Code</t>
  </si>
  <si>
    <t xml:space="preserve">Count Total Set Bits from 1 to N</t>
  </si>
  <si>
    <t xml:space="preserve">20. Math &amp; Number Theory</t>
  </si>
  <si>
    <t xml:space="preserve">Primes</t>
  </si>
  <si>
    <t xml:space="preserve">Sieve of Eratosthenes</t>
  </si>
  <si>
    <t xml:space="preserve">Count Primes</t>
  </si>
  <si>
    <t xml:space="preserve">Prime Factorization using Smallest Prime Factor</t>
  </si>
  <si>
    <t xml:space="preserve">GCD/LCM</t>
  </si>
  <si>
    <t xml:space="preserve">GCD using Euclidean Algorithm</t>
  </si>
  <si>
    <t xml:space="preserve">LCM and GCD</t>
  </si>
  <si>
    <t xml:space="preserve">Modular</t>
  </si>
  <si>
    <t xml:space="preserve">Modular Exponentiation for Large Numbers</t>
  </si>
  <si>
    <t xml:space="preserve">nCr mod p</t>
  </si>
  <si>
    <t xml:space="preserve">Digits</t>
  </si>
  <si>
    <t xml:space="preserve">Palindrome Number</t>
  </si>
  <si>
    <t xml:space="preserve">Reverse Integer</t>
  </si>
  <si>
    <t xml:space="preserve">Add Digits</t>
  </si>
  <si>
    <t xml:space="preserve">Number of Digit One</t>
  </si>
  <si>
    <t xml:space="preserve">Factorials</t>
  </si>
  <si>
    <t xml:space="preserve">Factorial Trailing Zeroes</t>
  </si>
  <si>
    <t xml:space="preserve">Base conversion</t>
  </si>
  <si>
    <t xml:space="preserve">Excel Sheet Column Title</t>
  </si>
  <si>
    <t xml:space="preserve">Excel Sheet Column Number</t>
  </si>
  <si>
    <t xml:space="preserve">Sequences</t>
  </si>
  <si>
    <t xml:space="preserve">Ugly Number</t>
  </si>
  <si>
    <t xml:space="preserve">Nth Catalan Number</t>
  </si>
  <si>
    <t xml:space="preserve">Classic</t>
  </si>
  <si>
    <t xml:space="preserve">Josephus Problem</t>
  </si>
  <si>
    <t xml:space="preserve">21. Intervals</t>
  </si>
  <si>
    <t xml:space="preserve">Merge Intervals</t>
  </si>
  <si>
    <t xml:space="preserve">Insert Interval</t>
  </si>
  <si>
    <t xml:space="preserve">Interval List Intersections</t>
  </si>
  <si>
    <t xml:space="preserve">Remove Covered Intervals</t>
  </si>
  <si>
    <t xml:space="preserve">Scheduling</t>
  </si>
  <si>
    <t xml:space="preserve">Meeting Rooms</t>
  </si>
  <si>
    <t xml:space="preserve">Attend All Meetings II (Min Meeting Rooms)</t>
  </si>
  <si>
    <t xml:space="preserve">Maximum CPU Load</t>
  </si>
  <si>
    <t xml:space="preserve">Employee Free Time</t>
  </si>
  <si>
    <t xml:space="preserve">Booking</t>
  </si>
  <si>
    <t xml:space="preserve">My Calendar I</t>
  </si>
  <si>
    <t xml:space="preserve">My Calendar II</t>
  </si>
  <si>
    <t xml:space="preserve">Streaming</t>
  </si>
  <si>
    <t xml:space="preserve">Data Stream as Disjoint Intervals</t>
  </si>
  <si>
    <t xml:space="preserve">22. Design</t>
  </si>
  <si>
    <t xml:space="preserve">Cache</t>
  </si>
  <si>
    <t xml:space="preserve">LRU Cache</t>
  </si>
  <si>
    <t xml:space="preserve">LFU Cache</t>
  </si>
  <si>
    <t xml:space="preserve">Hash structures</t>
  </si>
  <si>
    <t xml:space="preserve">Design HashMap</t>
  </si>
  <si>
    <t xml:space="preserve">Design HashSet</t>
  </si>
  <si>
    <t xml:space="preserve">Insert Delete GetRandom O(1)</t>
  </si>
  <si>
    <t xml:space="preserve">All O`one Data Structure</t>
  </si>
  <si>
    <t xml:space="preserve">Systems</t>
  </si>
  <si>
    <t xml:space="preserve">Design Twitter</t>
  </si>
  <si>
    <t xml:space="preserve">Design Underground System</t>
  </si>
  <si>
    <t xml:space="preserve">Design Browser History</t>
  </si>
  <si>
    <t xml:space="preserve">Versioned data</t>
  </si>
  <si>
    <t xml:space="preserve">Time Based Key-Value Store</t>
  </si>
  <si>
    <t xml:space="preserve">Snapshot Array</t>
  </si>
  <si>
    <t xml:space="preserve">23. Advanced DS</t>
  </si>
  <si>
    <t xml:space="preserve">Segment tree</t>
  </si>
  <si>
    <t xml:space="preserve">Range Sum Query - Mutable</t>
  </si>
  <si>
    <t xml:space="preserve">Range Minimum Query (Segment Tree)</t>
  </si>
  <si>
    <t xml:space="preserve">Segment Tree with Lazy Propagation</t>
  </si>
  <si>
    <t xml:space="preserve">Fenwick tree</t>
  </si>
  <si>
    <t xml:space="preserve">Binary Indexed Tree (Fenwick Tree)</t>
  </si>
  <si>
    <t xml:space="preserve">Count of Smaller Numbers After Self</t>
  </si>
  <si>
    <t xml:space="preserve">Sweep line</t>
  </si>
  <si>
    <t xml:space="preserve">The Skyline Problem</t>
  </si>
  <si>
    <t xml:space="preserve">Ordered set</t>
  </si>
  <si>
    <t xml:space="preserve">Count of Range Sum (BIT approach)</t>
  </si>
  <si>
    <t xml:space="preserve">Sparse table</t>
  </si>
  <si>
    <t xml:space="preserve">Range Minimum Query using Sparse Table</t>
  </si>
  <si>
    <t xml:space="preserve">Progress Dashboard</t>
  </si>
  <si>
    <t xml:space="preserve">Every number here is calculated from the Master tab. Do not type into this sheet except the yellow config cells.</t>
  </si>
  <si>
    <t xml:space="preserve">CONFIG - revision gap (days)</t>
  </si>
  <si>
    <t xml:space="preserve">CORE TRACK (the one that matters)</t>
  </si>
  <si>
    <t xml:space="preserve">All 570 questions</t>
  </si>
  <si>
    <t xml:space="preserve">Due for revision today</t>
  </si>
  <si>
    <t xml:space="preserve">Total</t>
  </si>
  <si>
    <t xml:space="preserve">Core done</t>
  </si>
  <si>
    <t xml:space="preserve">Attempted</t>
  </si>
  <si>
    <t xml:space="preserve">Avg conf</t>
  </si>
  <si>
    <t xml:space="preserve">% Core done</t>
  </si>
  <si>
    <t xml:space="preserve">Editable. Master!M uses these to set Next Revision.</t>
  </si>
  <si>
    <t xml:space="preserve">By difficulty</t>
  </si>
  <si>
    <t xml:space="preserve">By status</t>
  </si>
  <si>
    <t xml:space="preserve">Count</t>
  </si>
  <si>
    <t xml:space="preserve">Solved</t>
  </si>
  <si>
    <t xml:space="preserve">Mastered</t>
  </si>
  <si>
    <t xml:space="preserve">Revisit</t>
  </si>
  <si>
    <t xml:space="preserve">Pattern Radar</t>
  </si>
  <si>
    <t xml:space="preserve">Interviews test patterns, not problems. Sort by Verdict or Avg conf to find the exact hole. 'Weak' = average confidence 3 or below. 'Untouched' = nothing solved in this pattern yet.</t>
  </si>
  <si>
    <t xml:space="preserve">Verdict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</si>
</sst>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General"/>
    <numFmt numFmtId="167" formatCode="0.0%"/>
    <numFmt numFmtId="168" formatCode="&quot;/ &quot;0"/>
    <numFmt numFmtId="169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problems/print-1-to-n-without-using-loops3621/1" TargetMode="External"/><Relationship Id="rId2" Type="http://schemas.openxmlformats.org/officeDocument/2006/relationships/hyperlink" Target="https://www.geeksforgeeks.org/problems/reverse-coding2452/1" TargetMode="External"/><Relationship Id="rId3" Type="http://schemas.openxmlformats.org/officeDocument/2006/relationships/hyperlink" Target="https://www.geeksforgeeks.org/problems/factorial5739/1" TargetMode="External"/><Relationship Id="rId4" Type="http://schemas.openxmlformats.org/officeDocument/2006/relationships/hyperlink" Target="https://www.geeksforgeeks.org/problems/sum-of-digits1742/1" TargetMode="External"/><Relationship Id="rId5" Type="http://schemas.openxmlformats.org/officeDocument/2006/relationships/hyperlink" Target="https://www.geeksforgeeks.org/problems/reverse-an-array/1" TargetMode="External"/><Relationship Id="rId6" Type="http://schemas.openxmlformats.org/officeDocument/2006/relationships/hyperlink" Target="https://www.geeksforgeeks.org/problems/palindrome-string0817/1" TargetMode="External"/><Relationship Id="rId7" Type="http://schemas.openxmlformats.org/officeDocument/2006/relationships/hyperlink" Target="https://www.geeksforgeeks.org/problems/check-if-an-array-is-sorted0701/1" TargetMode="External"/><Relationship Id="rId8" Type="http://schemas.openxmlformats.org/officeDocument/2006/relationships/hyperlink" Target="https://www.geeksforgeeks.org/problems/remove-all-occurrences-of-a-character-in-a-string/1" TargetMode="External"/><Relationship Id="rId9" Type="http://schemas.openxmlformats.org/officeDocument/2006/relationships/hyperlink" Target="https://leetcode.com/problems/fibonacci-number/" TargetMode="External"/><Relationship Id="rId10" Type="http://schemas.openxmlformats.org/officeDocument/2006/relationships/hyperlink" Target="https://leetcode.com/problems/powx-n/" TargetMode="External"/><Relationship Id="rId11" Type="http://schemas.openxmlformats.org/officeDocument/2006/relationships/hyperlink" Target="https://www.geeksforgeeks.org/problems/merge-sort/1" TargetMode="External"/><Relationship Id="rId12" Type="http://schemas.openxmlformats.org/officeDocument/2006/relationships/hyperlink" Target="https://www.geeksforgeeks.org/problems/quick-sort/1" TargetMode="External"/><Relationship Id="rId13" Type="http://schemas.openxmlformats.org/officeDocument/2006/relationships/hyperlink" Target="https://www.geeksforgeeks.org/problems/inversion-of-array-1587115620/1" TargetMode="External"/><Relationship Id="rId14" Type="http://schemas.openxmlformats.org/officeDocument/2006/relationships/hyperlink" Target="https://leetcode.com/problems/sort-an-array/" TargetMode="External"/><Relationship Id="rId15" Type="http://schemas.openxmlformats.org/officeDocument/2006/relationships/hyperlink" Target="https://leetcode.com/problems/majority-element/" TargetMode="External"/><Relationship Id="rId16" Type="http://schemas.openxmlformats.org/officeDocument/2006/relationships/hyperlink" Target="https://leetcode.com/problems/two-sum/" TargetMode="External"/><Relationship Id="rId17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remove-duplicates-from-sorted-array/" TargetMode="External"/><Relationship Id="rId19" Type="http://schemas.openxmlformats.org/officeDocument/2006/relationships/hyperlink" Target="https://leetcode.com/problems/remove-duplicates-from-sorted-array-ii/" TargetMode="External"/><Relationship Id="rId20" Type="http://schemas.openxmlformats.org/officeDocument/2006/relationships/hyperlink" Target="https://leetcode.com/problems/move-zeroes/" TargetMode="External"/><Relationship Id="rId21" Type="http://schemas.openxmlformats.org/officeDocument/2006/relationships/hyperlink" Target="https://leetcode.com/problems/squares-of-a-sorted-array/" TargetMode="External"/><Relationship Id="rId22" Type="http://schemas.openxmlformats.org/officeDocument/2006/relationships/hyperlink" Target="https://leetcode.com/problems/merge-sorted-array/" TargetMode="External"/><Relationship Id="rId23" Type="http://schemas.openxmlformats.org/officeDocument/2006/relationships/hyperlink" Target="https://leetcode.com/problems/valid-palindrome/" TargetMode="External"/><Relationship Id="rId24" Type="http://schemas.openxmlformats.org/officeDocument/2006/relationships/hyperlink" Target="https://leetcode.com/problems/valid-palindrome-ii/" TargetMode="External"/><Relationship Id="rId25" Type="http://schemas.openxmlformats.org/officeDocument/2006/relationships/hyperlink" Target="https://leetcode.com/problems/backspace-string-compare/" TargetMode="External"/><Relationship Id="rId26" Type="http://schemas.openxmlformats.org/officeDocument/2006/relationships/hyperlink" Target="https://leetcode.com/problems/sort-colors/" TargetMode="External"/><Relationship Id="rId27" Type="http://schemas.openxmlformats.org/officeDocument/2006/relationships/hyperlink" Target="https://www.geeksforgeeks.org/problems/segregate-0s-and-1s5106/1" TargetMode="External"/><Relationship Id="rId28" Type="http://schemas.openxmlformats.org/officeDocument/2006/relationships/hyperlink" Target="https://leetcode.com/problems/container-with-most-water/" TargetMode="External"/><Relationship Id="rId29" Type="http://schemas.openxmlformats.org/officeDocument/2006/relationships/hyperlink" Target="https://leetcode.com/problems/trapping-rain-water/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3sum-closest/" TargetMode="External"/><Relationship Id="rId32" Type="http://schemas.openxmlformats.org/officeDocument/2006/relationships/hyperlink" Target="https://leetcode.com/problems/4sum/" TargetMode="External"/><Relationship Id="rId33" Type="http://schemas.openxmlformats.org/officeDocument/2006/relationships/hyperlink" Target="https://www.geeksforgeeks.org/problems/count-triplets-with-sum-smaller-than-x5549/1" TargetMode="External"/><Relationship Id="rId34" Type="http://schemas.openxmlformats.org/officeDocument/2006/relationships/hyperlink" Target="https://leetcode.com/problems/subarray-product-less-than-k/" TargetMode="External"/><Relationship Id="rId35" Type="http://schemas.openxmlformats.org/officeDocument/2006/relationships/hyperlink" Target="https://leetcode.com/problems/boats-to-save-people/" TargetMode="External"/><Relationship Id="rId36" Type="http://schemas.openxmlformats.org/officeDocument/2006/relationships/hyperlink" Target="https://leetcode.com/problems/rotate-array/" TargetMode="External"/><Relationship Id="rId37" Type="http://schemas.openxmlformats.org/officeDocument/2006/relationships/hyperlink" Target="https://leetcode.com/problems/next-permutation/" TargetMode="External"/><Relationship Id="rId38" Type="http://schemas.openxmlformats.org/officeDocument/2006/relationships/hyperlink" Target="https://leetcode.com/problems/rearrange-array-elements-by-sign/" TargetMode="External"/><Relationship Id="rId39" Type="http://schemas.openxmlformats.org/officeDocument/2006/relationships/hyperlink" Target="https://leetcode.com/problems/shortest-unsorted-continuous-subarray/" TargetMode="External"/><Relationship Id="rId40" Type="http://schemas.openxmlformats.org/officeDocument/2006/relationships/hyperlink" Target="https://leetcode.com/problems/majority-element-ii/" TargetMode="External"/><Relationship Id="rId41" Type="http://schemas.openxmlformats.org/officeDocument/2006/relationships/hyperlink" Target="https://leetcode.com/problems/longest-mountain-in-array/" TargetMode="External"/><Relationship Id="rId42" Type="http://schemas.openxmlformats.org/officeDocument/2006/relationships/hyperlink" Target="https://leetcode.com/problems/sort-array-by-parity/" TargetMode="External"/><Relationship Id="rId43" Type="http://schemas.openxmlformats.org/officeDocument/2006/relationships/hyperlink" Target="https://leetcode.com/problems/best-time-to-buy-and-sell-stock/" TargetMode="External"/><Relationship Id="rId44" Type="http://schemas.openxmlformats.org/officeDocument/2006/relationships/hyperlink" Target="https://leetcode.com/problems/maximum-average-subarray-i/" TargetMode="External"/><Relationship Id="rId45" Type="http://schemas.openxmlformats.org/officeDocument/2006/relationships/hyperlink" Target="https://www.geeksforgeeks.org/problems/max-sum-subarray-of-size-k5313/1" TargetMode="External"/><Relationship Id="rId46" Type="http://schemas.openxmlformats.org/officeDocument/2006/relationships/hyperlink" Target="https://leetcode.com/problems/maximum-points-you-can-obtain-from-cards/" TargetMode="External"/><Relationship Id="rId47" Type="http://schemas.openxmlformats.org/officeDocument/2006/relationships/hyperlink" Target="https://leetcode.com/problems/minimum-size-subarray-sum/" TargetMode="External"/><Relationship Id="rId48" Type="http://schemas.openxmlformats.org/officeDocument/2006/relationships/hyperlink" Target="https://leetcode.com/problems/longest-substring-without-repeating-characters/" TargetMode="External"/><Relationship Id="rId49" Type="http://schemas.openxmlformats.org/officeDocument/2006/relationships/hyperlink" Target="https://leetcode.com/problems/longest-repeating-character-replacement/" TargetMode="External"/><Relationship Id="rId50" Type="http://schemas.openxmlformats.org/officeDocument/2006/relationships/hyperlink" Target="https://leetcode.com/problems/max-consecutive-ones-iii/" TargetMode="External"/><Relationship Id="rId51" Type="http://schemas.openxmlformats.org/officeDocument/2006/relationships/hyperlink" Target="https://leetcode.com/problems/fruit-into-baskets/" TargetMode="External"/><Relationship Id="rId52" Type="http://schemas.openxmlformats.org/officeDocument/2006/relationships/hyperlink" Target="https://www.geeksforgeeks.org/problems/longest-k-unique-characters-substring0853/1" TargetMode="External"/><Relationship Id="rId53" Type="http://schemas.openxmlformats.org/officeDocument/2006/relationships/hyperlink" Target="https://leetcode.com/problems/maximum-erasure-value/" TargetMode="External"/><Relationship Id="rId54" Type="http://schemas.openxmlformats.org/officeDocument/2006/relationships/hyperlink" Target="https://leetcode.com/problems/frequency-of-the-most-frequent-element/" TargetMode="External"/><Relationship Id="rId55" Type="http://schemas.openxmlformats.org/officeDocument/2006/relationships/hyperlink" Target="https://leetcode.com/problems/permutation-in-string/" TargetMode="External"/><Relationship Id="rId56" Type="http://schemas.openxmlformats.org/officeDocument/2006/relationships/hyperlink" Target="https://leetcode.com/problems/find-all-anagrams-in-a-string/" TargetMode="External"/><Relationship Id="rId57" Type="http://schemas.openxmlformats.org/officeDocument/2006/relationships/hyperlink" Target="https://leetcode.com/problems/binary-subarrays-with-sum/" TargetMode="External"/><Relationship Id="rId58" Type="http://schemas.openxmlformats.org/officeDocument/2006/relationships/hyperlink" Target="https://leetcode.com/problems/count-number-of-nice-subarrays/" TargetMode="External"/><Relationship Id="rId59" Type="http://schemas.openxmlformats.org/officeDocument/2006/relationships/hyperlink" Target="https://leetcode.com/problems/subarrays-with-k-different-integers/" TargetMode="External"/><Relationship Id="rId60" Type="http://schemas.openxmlformats.org/officeDocument/2006/relationships/hyperlink" Target="https://leetcode.com/problems/number-of-substrings-containing-all-three-characters/" TargetMode="External"/><Relationship Id="rId61" Type="http://schemas.openxmlformats.org/officeDocument/2006/relationships/hyperlink" Target="https://leetcode.com/problems/minimum-window-substring/" TargetMode="External"/><Relationship Id="rId62" Type="http://schemas.openxmlformats.org/officeDocument/2006/relationships/hyperlink" Target="https://leetcode.com/problems/substring-with-concatenation-of-all-words/" TargetMode="External"/><Relationship Id="rId63" Type="http://schemas.openxmlformats.org/officeDocument/2006/relationships/hyperlink" Target="https://leetcode.com/problems/sliding-window-maximum/" TargetMode="External"/><Relationship Id="rId64" Type="http://schemas.openxmlformats.org/officeDocument/2006/relationships/hyperlink" Target="https://leetcode.com/problems/running-sum-of-1d-array/" TargetMode="External"/><Relationship Id="rId65" Type="http://schemas.openxmlformats.org/officeDocument/2006/relationships/hyperlink" Target="https://leetcode.com/problems/find-pivot-index/" TargetMode="External"/><Relationship Id="rId66" Type="http://schemas.openxmlformats.org/officeDocument/2006/relationships/hyperlink" Target="https://leetcode.com/problems/product-of-array-except-self/" TargetMode="External"/><Relationship Id="rId67" Type="http://schemas.openxmlformats.org/officeDocument/2006/relationships/hyperlink" Target="https://leetcode.com/problems/range-sum-query-immutable/" TargetMode="External"/><Relationship Id="rId68" Type="http://schemas.openxmlformats.org/officeDocument/2006/relationships/hyperlink" Target="https://leetcode.com/problems/range-sum-query-2d-immutable/" TargetMode="External"/><Relationship Id="rId69" Type="http://schemas.openxmlformats.org/officeDocument/2006/relationships/hyperlink" Target="https://leetcode.com/problems/subarray-sum-equals-k/" TargetMode="External"/><Relationship Id="rId70" Type="http://schemas.openxmlformats.org/officeDocument/2006/relationships/hyperlink" Target="https://leetcode.com/problems/subarray-sums-divisible-by-k/" TargetMode="External"/><Relationship Id="rId71" Type="http://schemas.openxmlformats.org/officeDocument/2006/relationships/hyperlink" Target="https://leetcode.com/problems/contiguous-array/" TargetMode="External"/><Relationship Id="rId72" Type="http://schemas.openxmlformats.org/officeDocument/2006/relationships/hyperlink" Target="https://leetcode.com/problems/continuous-subarray-sum/" TargetMode="External"/><Relationship Id="rId73" Type="http://schemas.openxmlformats.org/officeDocument/2006/relationships/hyperlink" Target="https://www.geeksforgeeks.org/problems/longest-sub-array-with-sum-k0809/1" TargetMode="External"/><Relationship Id="rId74" Type="http://schemas.openxmlformats.org/officeDocument/2006/relationships/hyperlink" Target="https://leetcode.com/problems/corporate-flight-bookings/" TargetMode="External"/><Relationship Id="rId75" Type="http://schemas.openxmlformats.org/officeDocument/2006/relationships/hyperlink" Target="https://leetcode.com/problems/car-pooling/" TargetMode="External"/><Relationship Id="rId76" Type="http://schemas.openxmlformats.org/officeDocument/2006/relationships/hyperlink" Target="https://leetcode.com/problems/maximum-subarray/" TargetMode="External"/><Relationship Id="rId77" Type="http://schemas.openxmlformats.org/officeDocument/2006/relationships/hyperlink" Target="https://www.geeksforgeeks.org/problems/smallest-sum-contiguous-subarray/1" TargetMode="External"/><Relationship Id="rId78" Type="http://schemas.openxmlformats.org/officeDocument/2006/relationships/hyperlink" Target="https://leetcode.com/problems/maximum-product-subarray/" TargetMode="External"/><Relationship Id="rId79" Type="http://schemas.openxmlformats.org/officeDocument/2006/relationships/hyperlink" Target="https://leetcode.com/problems/maximum-sum-circular-subarray/" TargetMode="External"/><Relationship Id="rId80" Type="http://schemas.openxmlformats.org/officeDocument/2006/relationships/hyperlink" Target="https://leetcode.com/problems/maximum-absolute-sum-of-any-subarray/" TargetMode="External"/><Relationship Id="rId81" Type="http://schemas.openxmlformats.org/officeDocument/2006/relationships/hyperlink" Target="https://leetcode.com/problems/maximum-subarray-sum-with-one-deletion/" TargetMode="External"/><Relationship Id="rId82" Type="http://schemas.openxmlformats.org/officeDocument/2006/relationships/hyperlink" Target="https://leetcode.com/problems/shortest-subarray-with-sum-at-least-k/" TargetMode="External"/><Relationship Id="rId83" Type="http://schemas.openxmlformats.org/officeDocument/2006/relationships/hyperlink" Target="https://leetcode.com/problems/count-of-range-sum/" TargetMode="External"/><Relationship Id="rId84" Type="http://schemas.openxmlformats.org/officeDocument/2006/relationships/hyperlink" Target="https://leetcode.com/problems/missing-number/" TargetMode="External"/><Relationship Id="rId85" Type="http://schemas.openxmlformats.org/officeDocument/2006/relationships/hyperlink" Target="https://leetcode.com/problems/find-all-numbers-disappeared-in-an-array/" TargetMode="External"/><Relationship Id="rId86" Type="http://schemas.openxmlformats.org/officeDocument/2006/relationships/hyperlink" Target="https://leetcode.com/problems/find-all-duplicates-in-an-array/" TargetMode="External"/><Relationship Id="rId87" Type="http://schemas.openxmlformats.org/officeDocument/2006/relationships/hyperlink" Target="https://leetcode.com/problems/set-mismatch/" TargetMode="External"/><Relationship Id="rId88" Type="http://schemas.openxmlformats.org/officeDocument/2006/relationships/hyperlink" Target="https://leetcode.com/problems/first-missing-positive/" TargetMode="External"/><Relationship Id="rId89" Type="http://schemas.openxmlformats.org/officeDocument/2006/relationships/hyperlink" Target="https://leetcode.com/problems/find-the-duplicate-number/" TargetMode="External"/><Relationship Id="rId90" Type="http://schemas.openxmlformats.org/officeDocument/2006/relationships/hyperlink" Target="https://leetcode.com/problems/largest-number/" TargetMode="External"/><Relationship Id="rId91" Type="http://schemas.openxmlformats.org/officeDocument/2006/relationships/hyperlink" Target="https://leetcode.com/problems/sort-characters-by-frequency/" TargetMode="External"/><Relationship Id="rId92" Type="http://schemas.openxmlformats.org/officeDocument/2006/relationships/hyperlink" Target="https://leetcode.com/problems/relative-sort-array/" TargetMode="External"/><Relationship Id="rId93" Type="http://schemas.openxmlformats.org/officeDocument/2006/relationships/hyperlink" Target="https://leetcode.com/problems/custom-sort-string/" TargetMode="External"/><Relationship Id="rId94" Type="http://schemas.openxmlformats.org/officeDocument/2006/relationships/hyperlink" Target="https://leetcode.com/problems/sort-array-by-increasing-frequency/" TargetMode="External"/><Relationship Id="rId95" Type="http://schemas.openxmlformats.org/officeDocument/2006/relationships/hyperlink" Target="https://leetcode.com/problems/h-index/" TargetMode="External"/><Relationship Id="rId96" Type="http://schemas.openxmlformats.org/officeDocument/2006/relationships/hyperlink" Target="https://leetcode.com/problems/wiggle-sort-ii/" TargetMode="External"/><Relationship Id="rId97" Type="http://schemas.openxmlformats.org/officeDocument/2006/relationships/hyperlink" Target="https://leetcode.com/problems/maximum-gap/" TargetMode="External"/><Relationship Id="rId98" Type="http://schemas.openxmlformats.org/officeDocument/2006/relationships/hyperlink" Target="https://leetcode.com/problems/binary-search/" TargetMode="External"/><Relationship Id="rId99" Type="http://schemas.openxmlformats.org/officeDocument/2006/relationships/hyperlink" Target="https://leetcode.com/problems/search-insert-position/" TargetMode="External"/><Relationship Id="rId100" Type="http://schemas.openxmlformats.org/officeDocument/2006/relationships/hyperlink" Target="https://leetcode.com/problems/find-first-and-last-position-of-element-in-sorted-array/" TargetMode="External"/><Relationship Id="rId101" Type="http://schemas.openxmlformats.org/officeDocument/2006/relationships/hyperlink" Target="https://www.geeksforgeeks.org/problems/number-of-occurrence2259/1" TargetMode="External"/><Relationship Id="rId102" Type="http://schemas.openxmlformats.org/officeDocument/2006/relationships/hyperlink" Target="https://www.geeksforgeeks.org/problems/ceil-in-a-sorted-array/1" TargetMode="External"/><Relationship Id="rId103" Type="http://schemas.openxmlformats.org/officeDocument/2006/relationships/hyperlink" Target="https://www.geeksforgeeks.org/problems/floor-in-a-sorted-array-1587115620/1" TargetMode="External"/><Relationship Id="rId104" Type="http://schemas.openxmlformats.org/officeDocument/2006/relationships/hyperlink" Target="https://leetcode.com/problems/sqrtx/" TargetMode="External"/><Relationship Id="rId105" Type="http://schemas.openxmlformats.org/officeDocument/2006/relationships/hyperlink" Target="https://leetcode.com/problems/valid-perfect-square/" TargetMode="External"/><Relationship Id="rId106" Type="http://schemas.openxmlformats.org/officeDocument/2006/relationships/hyperlink" Target="https://leetcode.com/problems/guess-number-higher-or-lower/" TargetMode="External"/><Relationship Id="rId107" Type="http://schemas.openxmlformats.org/officeDocument/2006/relationships/hyperlink" Target="https://leetcode.com/problems/search-in-rotated-sorted-array/" TargetMode="External"/><Relationship Id="rId108" Type="http://schemas.openxmlformats.org/officeDocument/2006/relationships/hyperlink" Target="https://leetcode.com/problems/search-in-rotated-sorted-array-ii/" TargetMode="External"/><Relationship Id="rId109" Type="http://schemas.openxmlformats.org/officeDocument/2006/relationships/hyperlink" Target="https://leetcode.com/problems/find-minimum-in-rotated-sorted-array/" TargetMode="External"/><Relationship Id="rId110" Type="http://schemas.openxmlformats.org/officeDocument/2006/relationships/hyperlink" Target="https://leetcode.com/problems/find-minimum-in-rotated-sorted-array-ii/" TargetMode="External"/><Relationship Id="rId111" Type="http://schemas.openxmlformats.org/officeDocument/2006/relationships/hyperlink" Target="https://www.geeksforgeeks.org/problems/rotation4723/1" TargetMode="External"/><Relationship Id="rId112" Type="http://schemas.openxmlformats.org/officeDocument/2006/relationships/hyperlink" Target="https://leetcode.com/problems/peak-index-in-a-mountain-array/" TargetMode="External"/><Relationship Id="rId113" Type="http://schemas.openxmlformats.org/officeDocument/2006/relationships/hyperlink" Target="https://leetcode.com/problems/find-peak-element/" TargetMode="External"/><Relationship Id="rId114" Type="http://schemas.openxmlformats.org/officeDocument/2006/relationships/hyperlink" Target="https://leetcode.com/problems/single-element-in-a-sorted-array/" TargetMode="External"/><Relationship Id="rId115" Type="http://schemas.openxmlformats.org/officeDocument/2006/relationships/hyperlink" Target="https://www.geeksforgeeks.org/dsa/find-position-element-sorted-array-infinite-numbers/" TargetMode="External"/><Relationship Id="rId116" Type="http://schemas.openxmlformats.org/officeDocument/2006/relationships/hyperlink" Target="https://leetcode.com/problems/search-a-2d-matrix/" TargetMode="External"/><Relationship Id="rId117" Type="http://schemas.openxmlformats.org/officeDocument/2006/relationships/hyperlink" Target="https://leetcode.com/problems/search-a-2d-matrix-ii/" TargetMode="External"/><Relationship Id="rId118" Type="http://schemas.openxmlformats.org/officeDocument/2006/relationships/hyperlink" Target="https://leetcode.com/problems/kth-smallest-element-in-a-sorted-matrix/" TargetMode="External"/><Relationship Id="rId119" Type="http://schemas.openxmlformats.org/officeDocument/2006/relationships/hyperlink" Target="https://leetcode.com/problems/kth-smallest-number-in-multiplication-table/" TargetMode="External"/><Relationship Id="rId120" Type="http://schemas.openxmlformats.org/officeDocument/2006/relationships/hyperlink" Target="https://www.geeksforgeeks.org/problems/median-in-a-row-wise-sorted-matrix1527/1" TargetMode="External"/><Relationship Id="rId121" Type="http://schemas.openxmlformats.org/officeDocument/2006/relationships/hyperlink" Target="https://leetcode.com/problems/median-of-two-sorted-arrays/" TargetMode="External"/><Relationship Id="rId122" Type="http://schemas.openxmlformats.org/officeDocument/2006/relationships/hyperlink" Target="https://www.geeksforgeeks.org/problems/k-th-element-of-two-sorted-array1317/1" TargetMode="External"/><Relationship Id="rId123" Type="http://schemas.openxmlformats.org/officeDocument/2006/relationships/hyperlink" Target="https://leetcode.com/problems/find-k-closest-elements/" TargetMode="External"/><Relationship Id="rId124" Type="http://schemas.openxmlformats.org/officeDocument/2006/relationships/hyperlink" Target="https://leetcode.com/problems/koko-eating-bananas/" TargetMode="External"/><Relationship Id="rId125" Type="http://schemas.openxmlformats.org/officeDocument/2006/relationships/hyperlink" Target="https://leetcode.com/problems/capacity-to-ship-packages-within-d-days/" TargetMode="External"/><Relationship Id="rId126" Type="http://schemas.openxmlformats.org/officeDocument/2006/relationships/hyperlink" Target="https://leetcode.com/problems/minimum-number-of-days-to-make-m-bouquets/" TargetMode="External"/><Relationship Id="rId127" Type="http://schemas.openxmlformats.org/officeDocument/2006/relationships/hyperlink" Target="https://leetcode.com/problems/find-the-smallest-divisor-given-a-threshold/" TargetMode="External"/><Relationship Id="rId128" Type="http://schemas.openxmlformats.org/officeDocument/2006/relationships/hyperlink" Target="https://leetcode.com/problems/minimum-speed-to-arrive-on-time/" TargetMode="External"/><Relationship Id="rId129" Type="http://schemas.openxmlformats.org/officeDocument/2006/relationships/hyperlink" Target="https://leetcode.com/problems/split-array-largest-sum/" TargetMode="External"/><Relationship Id="rId130" Type="http://schemas.openxmlformats.org/officeDocument/2006/relationships/hyperlink" Target="https://www.geeksforgeeks.org/problems/allocate-minimum-number-of-pages0937/1" TargetMode="External"/><Relationship Id="rId131" Type="http://schemas.openxmlformats.org/officeDocument/2006/relationships/hyperlink" Target="https://www.geeksforgeeks.org/problems/aggressive-cows/1" TargetMode="External"/><Relationship Id="rId132" Type="http://schemas.openxmlformats.org/officeDocument/2006/relationships/hyperlink" Target="https://leetcode.com/problems/magnetic-force-between-two-balls/" TargetMode="External"/><Relationship Id="rId133" Type="http://schemas.openxmlformats.org/officeDocument/2006/relationships/hyperlink" Target="https://leetcode.com/problems/maximum-candies-allocated-to-k-children/" TargetMode="External"/><Relationship Id="rId134" Type="http://schemas.openxmlformats.org/officeDocument/2006/relationships/hyperlink" Target="https://www.geeksforgeeks.org/problems/minimize-max-distance-to-gas-station/1" TargetMode="External"/><Relationship Id="rId135" Type="http://schemas.openxmlformats.org/officeDocument/2006/relationships/hyperlink" Target="https://leetcode.com/problems/h-index-ii/" TargetMode="External"/><Relationship Id="rId136" Type="http://schemas.openxmlformats.org/officeDocument/2006/relationships/hyperlink" Target="https://leetcode.com/problems/reverse-string/" TargetMode="External"/><Relationship Id="rId137" Type="http://schemas.openxmlformats.org/officeDocument/2006/relationships/hyperlink" Target="https://leetcode.com/problems/reverse-words-in-a-string/" TargetMode="External"/><Relationship Id="rId138" Type="http://schemas.openxmlformats.org/officeDocument/2006/relationships/hyperlink" Target="https://leetcode.com/problems/string-compression/" TargetMode="External"/><Relationship Id="rId139" Type="http://schemas.openxmlformats.org/officeDocument/2006/relationships/hyperlink" Target="https://leetcode.com/problems/longest-common-prefix/" TargetMode="External"/><Relationship Id="rId140" Type="http://schemas.openxmlformats.org/officeDocument/2006/relationships/hyperlink" Target="https://leetcode.com/problems/valid-anagram/" TargetMode="External"/><Relationship Id="rId141" Type="http://schemas.openxmlformats.org/officeDocument/2006/relationships/hyperlink" Target="https://leetcode.com/problems/group-anagrams/" TargetMode="External"/><Relationship Id="rId142" Type="http://schemas.openxmlformats.org/officeDocument/2006/relationships/hyperlink" Target="https://leetcode.com/problems/roman-to-integer/" TargetMode="External"/><Relationship Id="rId143" Type="http://schemas.openxmlformats.org/officeDocument/2006/relationships/hyperlink" Target="https://leetcode.com/problems/integer-to-roman/" TargetMode="External"/><Relationship Id="rId144" Type="http://schemas.openxmlformats.org/officeDocument/2006/relationships/hyperlink" Target="https://leetcode.com/problems/string-to-integer-atoi/" TargetMode="External"/><Relationship Id="rId145" Type="http://schemas.openxmlformats.org/officeDocument/2006/relationships/hyperlink" Target="https://leetcode.com/problems/add-binary/" TargetMode="External"/><Relationship Id="rId146" Type="http://schemas.openxmlformats.org/officeDocument/2006/relationships/hyperlink" Target="https://leetcode.com/problems/multiply-strings/" TargetMode="External"/><Relationship Id="rId147" Type="http://schemas.openxmlformats.org/officeDocument/2006/relationships/hyperlink" Target="https://leetcode.com/problems/compare-version-numbers/" TargetMode="External"/><Relationship Id="rId148" Type="http://schemas.openxmlformats.org/officeDocument/2006/relationships/hyperlink" Target="https://leetcode.com/problems/count-and-say/" TargetMode="External"/><Relationship Id="rId149" Type="http://schemas.openxmlformats.org/officeDocument/2006/relationships/hyperlink" Target="https://leetcode.com/problems/longest-palindromic-substring/" TargetMode="External"/><Relationship Id="rId150" Type="http://schemas.openxmlformats.org/officeDocument/2006/relationships/hyperlink" Target="https://leetcode.com/problems/palindromic-substrings/" TargetMode="External"/><Relationship Id="rId151" Type="http://schemas.openxmlformats.org/officeDocument/2006/relationships/hyperlink" Target="https://leetcode.com/problems/shortest-palindrome/" TargetMode="External"/><Relationship Id="rId152" Type="http://schemas.openxmlformats.org/officeDocument/2006/relationships/hyperlink" Target="https://leetcode.com/problems/isomorphic-strings/" TargetMode="External"/><Relationship Id="rId153" Type="http://schemas.openxmlformats.org/officeDocument/2006/relationships/hyperlink" Target="https://leetcode.com/problems/word-pattern/" TargetMode="External"/><Relationship Id="rId154" Type="http://schemas.openxmlformats.org/officeDocument/2006/relationships/hyperlink" Target="https://leetcode.com/problems/find-the-index-of-the-first-occurrence-in-a-string/" TargetMode="External"/><Relationship Id="rId155" Type="http://schemas.openxmlformats.org/officeDocument/2006/relationships/hyperlink" Target="https://leetcode.com/problems/repeated-substring-pattern/" TargetMode="External"/><Relationship Id="rId156" Type="http://schemas.openxmlformats.org/officeDocument/2006/relationships/hyperlink" Target="https://leetcode.com/problems/rotate-string/" TargetMode="External"/><Relationship Id="rId157" Type="http://schemas.openxmlformats.org/officeDocument/2006/relationships/hyperlink" Target="https://www.geeksforgeeks.org/problems/longest-prefix-suffix2527/1" TargetMode="External"/><Relationship Id="rId158" Type="http://schemas.openxmlformats.org/officeDocument/2006/relationships/hyperlink" Target="https://www.geeksforgeeks.org/problems/search-pattern-z-algorithm--141631/1" TargetMode="External"/><Relationship Id="rId159" Type="http://schemas.openxmlformats.org/officeDocument/2006/relationships/hyperlink" Target="https://www.geeksforgeeks.org/problems/search-pattern-rabin-karp-algorithm--141631/1" TargetMode="External"/><Relationship Id="rId160" Type="http://schemas.openxmlformats.org/officeDocument/2006/relationships/hyperlink" Target="https://leetcode.com/problems/zigzag-conversion/" TargetMode="External"/><Relationship Id="rId161" Type="http://schemas.openxmlformats.org/officeDocument/2006/relationships/hyperlink" Target="https://leetcode.com/problems/text-justification/" TargetMode="External"/><Relationship Id="rId162" Type="http://schemas.openxmlformats.org/officeDocument/2006/relationships/hyperlink" Target="https://leetcode.com/problems/minimum-add-to-make-parentheses-valid/" TargetMode="External"/><Relationship Id="rId163" Type="http://schemas.openxmlformats.org/officeDocument/2006/relationships/hyperlink" Target="https://leetcode.com/problems/contains-duplicate/" TargetMode="External"/><Relationship Id="rId164" Type="http://schemas.openxmlformats.org/officeDocument/2006/relationships/hyperlink" Target="https://leetcode.com/problems/contains-duplicate-ii/" TargetMode="External"/><Relationship Id="rId165" Type="http://schemas.openxmlformats.org/officeDocument/2006/relationships/hyperlink" Target="https://leetcode.com/problems/intersection-of-two-arrays/" TargetMode="External"/><Relationship Id="rId166" Type="http://schemas.openxmlformats.org/officeDocument/2006/relationships/hyperlink" Target="https://leetcode.com/problems/intersection-of-two-arrays-ii/" TargetMode="External"/><Relationship Id="rId167" Type="http://schemas.openxmlformats.org/officeDocument/2006/relationships/hyperlink" Target="https://leetcode.com/problems/first-unique-character-in-a-string/" TargetMode="External"/><Relationship Id="rId168" Type="http://schemas.openxmlformats.org/officeDocument/2006/relationships/hyperlink" Target="https://leetcode.com/problems/ransom-note/" TargetMode="External"/><Relationship Id="rId169" Type="http://schemas.openxmlformats.org/officeDocument/2006/relationships/hyperlink" Target="https://leetcode.com/problems/maximum-number-of-balloons/" TargetMode="External"/><Relationship Id="rId170" Type="http://schemas.openxmlformats.org/officeDocument/2006/relationships/hyperlink" Target="https://leetcode.com/problems/longest-palindrome/" TargetMode="External"/><Relationship Id="rId171" Type="http://schemas.openxmlformats.org/officeDocument/2006/relationships/hyperlink" Target="https://leetcode.com/problems/number-of-good-pairs/" TargetMode="External"/><Relationship Id="rId172" Type="http://schemas.openxmlformats.org/officeDocument/2006/relationships/hyperlink" Target="https://leetcode.com/problems/minimum-index-sum-of-two-lists/" TargetMode="External"/><Relationship Id="rId173" Type="http://schemas.openxmlformats.org/officeDocument/2006/relationships/hyperlink" Target="https://leetcode.com/problems/happy-number/" TargetMode="External"/><Relationship Id="rId174" Type="http://schemas.openxmlformats.org/officeDocument/2006/relationships/hyperlink" Target="https://leetcode.com/problems/longest-consecutive-sequence/" TargetMode="External"/><Relationship Id="rId175" Type="http://schemas.openxmlformats.org/officeDocument/2006/relationships/hyperlink" Target="https://leetcode.com/problems/4sum-ii/" TargetMode="External"/><Relationship Id="rId176" Type="http://schemas.openxmlformats.org/officeDocument/2006/relationships/hyperlink" Target="https://leetcode.com/problems/valid-sudoku/" TargetMode="External"/><Relationship Id="rId177" Type="http://schemas.openxmlformats.org/officeDocument/2006/relationships/hyperlink" Target="https://leetcode.com/problems/brick-wall/" TargetMode="External"/><Relationship Id="rId178" Type="http://schemas.openxmlformats.org/officeDocument/2006/relationships/hyperlink" Target="https://leetcode.com/problems/max-points-on-a-line/" TargetMode="External"/><Relationship Id="rId179" Type="http://schemas.openxmlformats.org/officeDocument/2006/relationships/hyperlink" Target="https://leetcode.com/problems/spiral-matrix/" TargetMode="External"/><Relationship Id="rId180" Type="http://schemas.openxmlformats.org/officeDocument/2006/relationships/hyperlink" Target="https://leetcode.com/problems/spiral-matrix-ii/" TargetMode="External"/><Relationship Id="rId181" Type="http://schemas.openxmlformats.org/officeDocument/2006/relationships/hyperlink" Target="https://leetcode.com/problems/diagonal-traverse/" TargetMode="External"/><Relationship Id="rId182" Type="http://schemas.openxmlformats.org/officeDocument/2006/relationships/hyperlink" Target="https://leetcode.com/problems/matrix-diagonal-sum/" TargetMode="External"/><Relationship Id="rId183" Type="http://schemas.openxmlformats.org/officeDocument/2006/relationships/hyperlink" Target="https://leetcode.com/problems/rotate-image/" TargetMode="External"/><Relationship Id="rId184" Type="http://schemas.openxmlformats.org/officeDocument/2006/relationships/hyperlink" Target="https://leetcode.com/problems/set-matrix-zeroes/" TargetMode="External"/><Relationship Id="rId185" Type="http://schemas.openxmlformats.org/officeDocument/2006/relationships/hyperlink" Target="https://leetcode.com/problems/transpose-matrix/" TargetMode="External"/><Relationship Id="rId186" Type="http://schemas.openxmlformats.org/officeDocument/2006/relationships/hyperlink" Target="https://leetcode.com/problems/game-of-life/" TargetMode="External"/><Relationship Id="rId187" Type="http://schemas.openxmlformats.org/officeDocument/2006/relationships/hyperlink" Target="https://leetcode.com/problems/toeplitz-matrix/" TargetMode="External"/><Relationship Id="rId188" Type="http://schemas.openxmlformats.org/officeDocument/2006/relationships/hyperlink" Target="https://leetcode.com/problems/pascals-triangle/" TargetMode="External"/><Relationship Id="rId189" Type="http://schemas.openxmlformats.org/officeDocument/2006/relationships/hyperlink" Target="https://leetcode.com/problems/pascals-triangle-ii/" TargetMode="External"/><Relationship Id="rId190" Type="http://schemas.openxmlformats.org/officeDocument/2006/relationships/hyperlink" Target="https://leetcode.com/problems/reverse-linked-list/" TargetMode="External"/><Relationship Id="rId191" Type="http://schemas.openxmlformats.org/officeDocument/2006/relationships/hyperlink" Target="https://leetcode.com/problems/reverse-linked-list-ii/" TargetMode="External"/><Relationship Id="rId192" Type="http://schemas.openxmlformats.org/officeDocument/2006/relationships/hyperlink" Target="https://leetcode.com/problems/swap-nodes-in-pairs/" TargetMode="External"/><Relationship Id="rId193" Type="http://schemas.openxmlformats.org/officeDocument/2006/relationships/hyperlink" Target="https://leetcode.com/problems/reverse-nodes-in-k-group/" TargetMode="External"/><Relationship Id="rId194" Type="http://schemas.openxmlformats.org/officeDocument/2006/relationships/hyperlink" Target="https://leetcode.com/problems/reverse-nodes-in-even-length-groups/" TargetMode="External"/><Relationship Id="rId195" Type="http://schemas.openxmlformats.org/officeDocument/2006/relationships/hyperlink" Target="https://leetcode.com/problems/middle-of-the-linked-list/" TargetMode="External"/><Relationship Id="rId196" Type="http://schemas.openxmlformats.org/officeDocument/2006/relationships/hyperlink" Target="https://leetcode.com/problems/linked-list-cycle/" TargetMode="External"/><Relationship Id="rId197" Type="http://schemas.openxmlformats.org/officeDocument/2006/relationships/hyperlink" Target="https://leetcode.com/problems/linked-list-cycle-ii/" TargetMode="External"/><Relationship Id="rId198" Type="http://schemas.openxmlformats.org/officeDocument/2006/relationships/hyperlink" Target="https://leetcode.com/problems/palindrome-linked-list/" TargetMode="External"/><Relationship Id="rId199" Type="http://schemas.openxmlformats.org/officeDocument/2006/relationships/hyperlink" Target="https://leetcode.com/problems/remove-nth-node-from-end-of-list/" TargetMode="External"/><Relationship Id="rId200" Type="http://schemas.openxmlformats.org/officeDocument/2006/relationships/hyperlink" Target="https://leetcode.com/problems/reorder-list/" TargetMode="External"/><Relationship Id="rId201" Type="http://schemas.openxmlformats.org/officeDocument/2006/relationships/hyperlink" Target="https://leetcode.com/problems/remove-duplicates-from-sorted-list/" TargetMode="External"/><Relationship Id="rId202" Type="http://schemas.openxmlformats.org/officeDocument/2006/relationships/hyperlink" Target="https://leetcode.com/problems/remove-duplicates-from-sorted-list-ii/" TargetMode="External"/><Relationship Id="rId203" Type="http://schemas.openxmlformats.org/officeDocument/2006/relationships/hyperlink" Target="https://leetcode.com/problems/remove-linked-list-elements/" TargetMode="External"/><Relationship Id="rId204" Type="http://schemas.openxmlformats.org/officeDocument/2006/relationships/hyperlink" Target="https://leetcode.com/problems/delete-node-in-a-linked-list/" TargetMode="External"/><Relationship Id="rId205" Type="http://schemas.openxmlformats.org/officeDocument/2006/relationships/hyperlink" Target="https://leetcode.com/problems/remove-nodes-from-linked-list/" TargetMode="External"/><Relationship Id="rId206" Type="http://schemas.openxmlformats.org/officeDocument/2006/relationships/hyperlink" Target="https://leetcode.com/problems/merge-two-sorted-lists/" TargetMode="External"/><Relationship Id="rId207" Type="http://schemas.openxmlformats.org/officeDocument/2006/relationships/hyperlink" Target="https://leetcode.com/problems/merge-k-sorted-lists/" TargetMode="External"/><Relationship Id="rId208" Type="http://schemas.openxmlformats.org/officeDocument/2006/relationships/hyperlink" Target="https://leetcode.com/problems/sort-list/" TargetMode="External"/><Relationship Id="rId209" Type="http://schemas.openxmlformats.org/officeDocument/2006/relationships/hyperlink" Target="https://leetcode.com/problems/add-two-numbers/" TargetMode="External"/><Relationship Id="rId210" Type="http://schemas.openxmlformats.org/officeDocument/2006/relationships/hyperlink" Target="https://leetcode.com/problems/add-two-numbers-ii/" TargetMode="External"/><Relationship Id="rId211" Type="http://schemas.openxmlformats.org/officeDocument/2006/relationships/hyperlink" Target="https://leetcode.com/problems/odd-even-linked-list/" TargetMode="External"/><Relationship Id="rId212" Type="http://schemas.openxmlformats.org/officeDocument/2006/relationships/hyperlink" Target="https://leetcode.com/problems/partition-list/" TargetMode="External"/><Relationship Id="rId213" Type="http://schemas.openxmlformats.org/officeDocument/2006/relationships/hyperlink" Target="https://leetcode.com/problems/rotate-list/" TargetMode="External"/><Relationship Id="rId214" Type="http://schemas.openxmlformats.org/officeDocument/2006/relationships/hyperlink" Target="https://leetcode.com/problems/split-linked-list-in-parts/" TargetMode="External"/><Relationship Id="rId215" Type="http://schemas.openxmlformats.org/officeDocument/2006/relationships/hyperlink" Target="https://leetcode.com/problems/intersection-of-two-linked-lists/" TargetMode="External"/><Relationship Id="rId216" Type="http://schemas.openxmlformats.org/officeDocument/2006/relationships/hyperlink" Target="https://leetcode.com/problems/copy-list-with-random-pointer/" TargetMode="External"/><Relationship Id="rId217" Type="http://schemas.openxmlformats.org/officeDocument/2006/relationships/hyperlink" Target="https://leetcode.com/problems/flatten-a-multilevel-doubly-linked-list/" TargetMode="External"/><Relationship Id="rId218" Type="http://schemas.openxmlformats.org/officeDocument/2006/relationships/hyperlink" Target="https://www.geeksforgeeks.org/problems/flattening-a-linked-list/1" TargetMode="External"/><Relationship Id="rId219" Type="http://schemas.openxmlformats.org/officeDocument/2006/relationships/hyperlink" Target="https://leetcode.com/problems/design-linked-list/" TargetMode="External"/><Relationship Id="rId220" Type="http://schemas.openxmlformats.org/officeDocument/2006/relationships/hyperlink" Target="https://leetcode.com/problems/valid-parentheses/" TargetMode="External"/><Relationship Id="rId221" Type="http://schemas.openxmlformats.org/officeDocument/2006/relationships/hyperlink" Target="https://leetcode.com/problems/longest-valid-parentheses/" TargetMode="External"/><Relationship Id="rId222" Type="http://schemas.openxmlformats.org/officeDocument/2006/relationships/hyperlink" Target="https://leetcode.com/problems/score-of-parentheses/" TargetMode="External"/><Relationship Id="rId223" Type="http://schemas.openxmlformats.org/officeDocument/2006/relationships/hyperlink" Target="https://leetcode.com/problems/min-stack/" TargetMode="External"/><Relationship Id="rId224" Type="http://schemas.openxmlformats.org/officeDocument/2006/relationships/hyperlink" Target="https://leetcode.com/problems/implement-stack-using-queues/" TargetMode="External"/><Relationship Id="rId225" Type="http://schemas.openxmlformats.org/officeDocument/2006/relationships/hyperlink" Target="https://leetcode.com/problems/implement-queue-using-stacks/" TargetMode="External"/><Relationship Id="rId226" Type="http://schemas.openxmlformats.org/officeDocument/2006/relationships/hyperlink" Target="https://leetcode.com/problems/design-circular-queue/" TargetMode="External"/><Relationship Id="rId227" Type="http://schemas.openxmlformats.org/officeDocument/2006/relationships/hyperlink" Target="https://leetcode.com/problems/maximum-frequency-stack/" TargetMode="External"/><Relationship Id="rId228" Type="http://schemas.openxmlformats.org/officeDocument/2006/relationships/hyperlink" Target="https://leetcode.com/problems/evaluate-reverse-polish-notation/" TargetMode="External"/><Relationship Id="rId229" Type="http://schemas.openxmlformats.org/officeDocument/2006/relationships/hyperlink" Target="https://leetcode.com/problems/basic-calculator/" TargetMode="External"/><Relationship Id="rId230" Type="http://schemas.openxmlformats.org/officeDocument/2006/relationships/hyperlink" Target="https://leetcode.com/problems/basic-calculator-ii/" TargetMode="External"/><Relationship Id="rId231" Type="http://schemas.openxmlformats.org/officeDocument/2006/relationships/hyperlink" Target="https://www.geeksforgeeks.org/problems/infix-to-postfix-1587115620/1" TargetMode="External"/><Relationship Id="rId232" Type="http://schemas.openxmlformats.org/officeDocument/2006/relationships/hyperlink" Target="https://leetcode.com/problems/decode-string/" TargetMode="External"/><Relationship Id="rId233" Type="http://schemas.openxmlformats.org/officeDocument/2006/relationships/hyperlink" Target="https://leetcode.com/problems/remove-all-adjacent-duplicates-in-string/" TargetMode="External"/><Relationship Id="rId234" Type="http://schemas.openxmlformats.org/officeDocument/2006/relationships/hyperlink" Target="https://leetcode.com/problems/remove-all-adjacent-duplicates-in-string-ii/" TargetMode="External"/><Relationship Id="rId235" Type="http://schemas.openxmlformats.org/officeDocument/2006/relationships/hyperlink" Target="https://leetcode.com/problems/simplify-path/" TargetMode="External"/><Relationship Id="rId236" Type="http://schemas.openxmlformats.org/officeDocument/2006/relationships/hyperlink" Target="https://leetcode.com/problems/asteroid-collision/" TargetMode="External"/><Relationship Id="rId237" Type="http://schemas.openxmlformats.org/officeDocument/2006/relationships/hyperlink" Target="https://www.geeksforgeeks.org/problems/the-celebrity-problem/1" TargetMode="External"/><Relationship Id="rId238" Type="http://schemas.openxmlformats.org/officeDocument/2006/relationships/hyperlink" Target="https://leetcode.com/problems/next-greater-element-i/" TargetMode="External"/><Relationship Id="rId239" Type="http://schemas.openxmlformats.org/officeDocument/2006/relationships/hyperlink" Target="https://leetcode.com/problems/next-greater-element-ii/" TargetMode="External"/><Relationship Id="rId240" Type="http://schemas.openxmlformats.org/officeDocument/2006/relationships/hyperlink" Target="https://leetcode.com/problems/daily-temperatures/" TargetMode="External"/><Relationship Id="rId241" Type="http://schemas.openxmlformats.org/officeDocument/2006/relationships/hyperlink" Target="https://leetcode.com/problems/online-stock-span/" TargetMode="External"/><Relationship Id="rId242" Type="http://schemas.openxmlformats.org/officeDocument/2006/relationships/hyperlink" Target="https://leetcode.com/problems/number-of-visible-people-in-a-queue/" TargetMode="External"/><Relationship Id="rId243" Type="http://schemas.openxmlformats.org/officeDocument/2006/relationships/hyperlink" Target="https://leetcode.com/problems/132-pattern/" TargetMode="External"/><Relationship Id="rId244" Type="http://schemas.openxmlformats.org/officeDocument/2006/relationships/hyperlink" Target="https://leetcode.com/problems/car-fleet/" TargetMode="External"/><Relationship Id="rId245" Type="http://schemas.openxmlformats.org/officeDocument/2006/relationships/hyperlink" Target="https://leetcode.com/problems/remove-k-digits/" TargetMode="External"/><Relationship Id="rId246" Type="http://schemas.openxmlformats.org/officeDocument/2006/relationships/hyperlink" Target="https://leetcode.com/problems/sum-of-subarray-minimums/" TargetMode="External"/><Relationship Id="rId247" Type="http://schemas.openxmlformats.org/officeDocument/2006/relationships/hyperlink" Target="https://leetcode.com/problems/largest-rectangle-in-histogram/" TargetMode="External"/><Relationship Id="rId248" Type="http://schemas.openxmlformats.org/officeDocument/2006/relationships/hyperlink" Target="https://leetcode.com/problems/maximal-rectangle/" TargetMode="External"/><Relationship Id="rId249" Type="http://schemas.openxmlformats.org/officeDocument/2006/relationships/hyperlink" Target="https://leetcode.com/problems/kth-largest-element-in-an-array/" TargetMode="External"/><Relationship Id="rId250" Type="http://schemas.openxmlformats.org/officeDocument/2006/relationships/hyperlink" Target="https://www.geeksforgeeks.org/problems/kth-smallest-element5635/1" TargetMode="External"/><Relationship Id="rId251" Type="http://schemas.openxmlformats.org/officeDocument/2006/relationships/hyperlink" Target="https://leetcode.com/problems/kth-largest-element-in-a-stream/" TargetMode="External"/><Relationship Id="rId252" Type="http://schemas.openxmlformats.org/officeDocument/2006/relationships/hyperlink" Target="https://leetcode.com/problems/ugly-number-ii/" TargetMode="External"/><Relationship Id="rId25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leetcode.com/problems/top-k-frequent-words/" TargetMode="External"/><Relationship Id="rId255" Type="http://schemas.openxmlformats.org/officeDocument/2006/relationships/hyperlink" Target="https://leetcode.com/problems/k-closest-points-to-origin/" TargetMode="External"/><Relationship Id="rId256" Type="http://schemas.openxmlformats.org/officeDocument/2006/relationships/hyperlink" Target="https://leetcode.com/problems/the-k-weakest-rows-in-a-matrix/" TargetMode="External"/><Relationship Id="rId257" Type="http://schemas.openxmlformats.org/officeDocument/2006/relationships/hyperlink" Target="https://leetcode.com/problems/find-k-pairs-with-smallest-sums/" TargetMode="External"/><Relationship Id="rId258" Type="http://schemas.openxmlformats.org/officeDocument/2006/relationships/hyperlink" Target="https://www.geeksforgeeks.org/problems/merge-k-sorted-arrays/1" TargetMode="External"/><Relationship Id="rId259" Type="http://schemas.openxmlformats.org/officeDocument/2006/relationships/hyperlink" Target="https://leetcode.com/problems/smallest-range-covering-elements-from-k-lists/" TargetMode="External"/><Relationship Id="rId260" Type="http://schemas.openxmlformats.org/officeDocument/2006/relationships/hyperlink" Target="https://leetcode.com/problems/last-stone-weight/" TargetMode="External"/><Relationship Id="rId261" Type="http://schemas.openxmlformats.org/officeDocument/2006/relationships/hyperlink" Target="https://www.geeksforgeeks.org/problems/minimum-cost-of-ropes-1587115620/1" TargetMode="External"/><Relationship Id="rId262" Type="http://schemas.openxmlformats.org/officeDocument/2006/relationships/hyperlink" Target="https://leetcode.com/problems/task-scheduler/" TargetMode="External"/><Relationship Id="rId263" Type="http://schemas.openxmlformats.org/officeDocument/2006/relationships/hyperlink" Target="https://leetcode.com/problems/reorganize-string/" TargetMode="External"/><Relationship Id="rId264" Type="http://schemas.openxmlformats.org/officeDocument/2006/relationships/hyperlink" Target="https://leetcode.com/problems/hand-of-straights/" TargetMode="External"/><Relationship Id="rId265" Type="http://schemas.openxmlformats.org/officeDocument/2006/relationships/hyperlink" Target="https://leetcode.com/problems/ipo/" TargetMode="External"/><Relationship Id="rId266" Type="http://schemas.openxmlformats.org/officeDocument/2006/relationships/hyperlink" Target="https://leetcode.com/problems/minimum-number-of-refueling-stops/" TargetMode="External"/><Relationship Id="rId267" Type="http://schemas.openxmlformats.org/officeDocument/2006/relationships/hyperlink" Target="https://leetcode.com/problems/course-schedule-iii/" TargetMode="External"/><Relationship Id="rId268" Type="http://schemas.openxmlformats.org/officeDocument/2006/relationships/hyperlink" Target="https://leetcode.com/problems/maximum-subsequence-score/" TargetMode="External"/><Relationship Id="rId269" Type="http://schemas.openxmlformats.org/officeDocument/2006/relationships/hyperlink" Target="https://leetcode.com/problems/total-cost-to-hire-k-workers/" TargetMode="External"/><Relationship Id="rId270" Type="http://schemas.openxmlformats.org/officeDocument/2006/relationships/hyperlink" Target="https://leetcode.com/problems/find-median-from-data-stream/" TargetMode="External"/><Relationship Id="rId271" Type="http://schemas.openxmlformats.org/officeDocument/2006/relationships/hyperlink" Target="https://leetcode.com/problems/sliding-window-median/" TargetMode="External"/><Relationship Id="rId272" Type="http://schemas.openxmlformats.org/officeDocument/2006/relationships/hyperlink" Target="https://leetcode.com/problems/smallest-number-in-infinite-set/" TargetMode="External"/><Relationship Id="rId273" Type="http://schemas.openxmlformats.org/officeDocument/2006/relationships/hyperlink" Target="https://leetcode.com/problems/seat-reservation-manager/" TargetMode="External"/><Relationship Id="rId274" Type="http://schemas.openxmlformats.org/officeDocument/2006/relationships/hyperlink" Target="https://leetcode.com/problems/assign-cookies/" TargetMode="External"/><Relationship Id="rId275" Type="http://schemas.openxmlformats.org/officeDocument/2006/relationships/hyperlink" Target="https://leetcode.com/problems/lemonade-change/" TargetMode="External"/><Relationship Id="rId276" Type="http://schemas.openxmlformats.org/officeDocument/2006/relationships/hyperlink" Target="https://leetcode.com/problems/jump-game/" TargetMode="External"/><Relationship Id="rId277" Type="http://schemas.openxmlformats.org/officeDocument/2006/relationships/hyperlink" Target="https://leetcode.com/problems/jump-game-ii/" TargetMode="External"/><Relationship Id="rId278" Type="http://schemas.openxmlformats.org/officeDocument/2006/relationships/hyperlink" Target="https://leetcode.com/problems/gas-station/" TargetMode="External"/><Relationship Id="rId279" Type="http://schemas.openxmlformats.org/officeDocument/2006/relationships/hyperlink" Target="https://leetcode.com/problems/candy/" TargetMode="External"/><Relationship Id="rId280" Type="http://schemas.openxmlformats.org/officeDocument/2006/relationships/hyperlink" Target="https://leetcode.com/problems/wiggle-subsequence/" TargetMode="External"/><Relationship Id="rId281" Type="http://schemas.openxmlformats.org/officeDocument/2006/relationships/hyperlink" Target="https://leetcode.com/problems/partition-labels/" TargetMode="External"/><Relationship Id="rId282" Type="http://schemas.openxmlformats.org/officeDocument/2006/relationships/hyperlink" Target="https://leetcode.com/problems/non-overlapping-intervals/" TargetMode="External"/><Relationship Id="rId283" Type="http://schemas.openxmlformats.org/officeDocument/2006/relationships/hyperlink" Target="https://leetcode.com/problems/minimum-number-of-arrows-to-burst-balloons/" TargetMode="External"/><Relationship Id="rId284" Type="http://schemas.openxmlformats.org/officeDocument/2006/relationships/hyperlink" Target="https://www.geeksforgeeks.org/problems/n-meetings-in-one-room-1587115620/1" TargetMode="External"/><Relationship Id="rId285" Type="http://schemas.openxmlformats.org/officeDocument/2006/relationships/hyperlink" Target="https://www.geeksforgeeks.org/problems/minimum-platforms-1587115620/1" TargetMode="External"/><Relationship Id="rId286" Type="http://schemas.openxmlformats.org/officeDocument/2006/relationships/hyperlink" Target="https://www.geeksforgeeks.org/problems/job-sequencing-problem-1587115620/1" TargetMode="External"/><Relationship Id="rId287" Type="http://schemas.openxmlformats.org/officeDocument/2006/relationships/hyperlink" Target="https://www.geeksforgeeks.org/problems/fractional-knapsack-1587115620/1" TargetMode="External"/><Relationship Id="rId288" Type="http://schemas.openxmlformats.org/officeDocument/2006/relationships/hyperlink" Target="https://www.geeksforgeeks.org/problems/shortest-job-first/1" TargetMode="External"/><Relationship Id="rId289" Type="http://schemas.openxmlformats.org/officeDocument/2006/relationships/hyperlink" Target="https://leetcode.com/problems/maximum-units-on-a-truck/" TargetMode="External"/><Relationship Id="rId290" Type="http://schemas.openxmlformats.org/officeDocument/2006/relationships/hyperlink" Target="https://leetcode.com/problems/valid-parenthesis-string/" TargetMode="External"/><Relationship Id="rId291" Type="http://schemas.openxmlformats.org/officeDocument/2006/relationships/hyperlink" Target="https://leetcode.com/problems/queue-reconstruction-by-height/" TargetMode="External"/><Relationship Id="rId292" Type="http://schemas.openxmlformats.org/officeDocument/2006/relationships/hyperlink" Target="https://leetcode.com/problems/subsets/" TargetMode="External"/><Relationship Id="rId293" Type="http://schemas.openxmlformats.org/officeDocument/2006/relationships/hyperlink" Target="https://leetcode.com/problems/subsets-ii/" TargetMode="External"/><Relationship Id="rId294" Type="http://schemas.openxmlformats.org/officeDocument/2006/relationships/hyperlink" Target="https://www.geeksforgeeks.org/problems/subset-sum-problem-1611555638/1" TargetMode="External"/><Relationship Id="rId295" Type="http://schemas.openxmlformats.org/officeDocument/2006/relationships/hyperlink" Target="https://leetcode.com/problems/permutations/" TargetMode="External"/><Relationship Id="rId296" Type="http://schemas.openxmlformats.org/officeDocument/2006/relationships/hyperlink" Target="https://leetcode.com/problems/permutations-ii/" TargetMode="External"/><Relationship Id="rId297" Type="http://schemas.openxmlformats.org/officeDocument/2006/relationships/hyperlink" Target="https://leetcode.com/problems/permutation-sequence/" TargetMode="External"/><Relationship Id="rId298" Type="http://schemas.openxmlformats.org/officeDocument/2006/relationships/hyperlink" Target="https://leetcode.com/problems/combinations/" TargetMode="External"/><Relationship Id="rId299" Type="http://schemas.openxmlformats.org/officeDocument/2006/relationships/hyperlink" Target="https://leetcode.com/problems/combination-sum/" TargetMode="External"/><Relationship Id="rId300" Type="http://schemas.openxmlformats.org/officeDocument/2006/relationships/hyperlink" Target="https://leetcode.com/problems/combination-sum-ii/" TargetMode="External"/><Relationship Id="rId301" Type="http://schemas.openxmlformats.org/officeDocument/2006/relationships/hyperlink" Target="https://leetcode.com/problems/combination-sum-iii/" TargetMode="External"/><Relationship Id="rId302" Type="http://schemas.openxmlformats.org/officeDocument/2006/relationships/hyperlink" Target="https://leetcode.com/problems/letter-combinations-of-a-phone-number/" TargetMode="External"/><Relationship Id="rId303" Type="http://schemas.openxmlformats.org/officeDocument/2006/relationships/hyperlink" Target="https://leetcode.com/problems/generate-parentheses/" TargetMode="External"/><Relationship Id="rId304" Type="http://schemas.openxmlformats.org/officeDocument/2006/relationships/hyperlink" Target="https://leetcode.com/problems/restore-ip-addresses/" TargetMode="External"/><Relationship Id="rId305" Type="http://schemas.openxmlformats.org/officeDocument/2006/relationships/hyperlink" Target="https://leetcode.com/problems/palindrome-partitioning/" TargetMode="External"/><Relationship Id="rId306" Type="http://schemas.openxmlformats.org/officeDocument/2006/relationships/hyperlink" Target="https://leetcode.com/problems/word-break-ii/" TargetMode="External"/><Relationship Id="rId307" Type="http://schemas.openxmlformats.org/officeDocument/2006/relationships/hyperlink" Target="https://leetcode.com/problems/word-search/" TargetMode="External"/><Relationship Id="rId308" Type="http://schemas.openxmlformats.org/officeDocument/2006/relationships/hyperlink" Target="https://www.geeksforgeeks.org/problems/rat-in-a-maze-problem/1" TargetMode="External"/><Relationship Id="rId309" Type="http://schemas.openxmlformats.org/officeDocument/2006/relationships/hyperlink" Target="https://leetcode.com/problems/n-queens/" TargetMode="External"/><Relationship Id="rId310" Type="http://schemas.openxmlformats.org/officeDocument/2006/relationships/hyperlink" Target="https://leetcode.com/problems/n-queens-ii/" TargetMode="External"/><Relationship Id="rId311" Type="http://schemas.openxmlformats.org/officeDocument/2006/relationships/hyperlink" Target="https://leetcode.com/problems/sudoku-solver/" TargetMode="External"/><Relationship Id="rId312" Type="http://schemas.openxmlformats.org/officeDocument/2006/relationships/hyperlink" Target="https://leetcode.com/problems/partition-to-k-equal-sum-subsets/" TargetMode="External"/><Relationship Id="rId313" Type="http://schemas.openxmlformats.org/officeDocument/2006/relationships/hyperlink" Target="https://leetcode.com/problems/matchsticks-to-square/" TargetMode="External"/><Relationship Id="rId314" Type="http://schemas.openxmlformats.org/officeDocument/2006/relationships/hyperlink" Target="https://www.geeksforgeeks.org/problems/m-coloring-problem-1587115620/1" TargetMode="External"/><Relationship Id="rId315" Type="http://schemas.openxmlformats.org/officeDocument/2006/relationships/hyperlink" Target="https://leetcode.com/problems/expression-add-operators/" TargetMode="External"/><Relationship Id="rId316" Type="http://schemas.openxmlformats.org/officeDocument/2006/relationships/hyperlink" Target="https://leetcode.com/problems/beautiful-arrangement/" TargetMode="External"/><Relationship Id="rId317" Type="http://schemas.openxmlformats.org/officeDocument/2006/relationships/hyperlink" Target="https://leetcode.com/problems/binary-tree-inorder-traversal/" TargetMode="External"/><Relationship Id="rId318" Type="http://schemas.openxmlformats.org/officeDocument/2006/relationships/hyperlink" Target="https://leetcode.com/problems/binary-tree-preorder-traversal/" TargetMode="External"/><Relationship Id="rId319" Type="http://schemas.openxmlformats.org/officeDocument/2006/relationships/hyperlink" Target="https://leetcode.com/problems/binary-tree-postorder-traversal/" TargetMode="External"/><Relationship Id="rId320" Type="http://schemas.openxmlformats.org/officeDocument/2006/relationships/hyperlink" Target="https://www.geeksforgeeks.org/problems/inorder-traversal/1" TargetMode="External"/><Relationship Id="rId321" Type="http://schemas.openxmlformats.org/officeDocument/2006/relationships/hyperlink" Target="https://leetcode.com/problems/binary-tree-level-order-traversal/" TargetMode="External"/><Relationship Id="rId322" Type="http://schemas.openxmlformats.org/officeDocument/2006/relationships/hyperlink" Target="https://leetcode.com/problems/binary-tree-level-order-traversal-ii/" TargetMode="External"/><Relationship Id="rId323" Type="http://schemas.openxmlformats.org/officeDocument/2006/relationships/hyperlink" Target="https://leetcode.com/problems/binary-tree-zigzag-level-order-traversal/" TargetMode="External"/><Relationship Id="rId324" Type="http://schemas.openxmlformats.org/officeDocument/2006/relationships/hyperlink" Target="https://leetcode.com/problems/average-of-levels-in-binary-tree/" TargetMode="External"/><Relationship Id="rId325" Type="http://schemas.openxmlformats.org/officeDocument/2006/relationships/hyperlink" Target="https://leetcode.com/problems/n-ary-tree-level-order-traversal/" TargetMode="External"/><Relationship Id="rId326" Type="http://schemas.openxmlformats.org/officeDocument/2006/relationships/hyperlink" Target="https://leetcode.com/problems/binary-tree-right-side-view/" TargetMode="External"/><Relationship Id="rId327" Type="http://schemas.openxmlformats.org/officeDocument/2006/relationships/hyperlink" Target="https://leetcode.com/problems/vertical-order-traversal-of-a-binary-tree/" TargetMode="External"/><Relationship Id="rId328" Type="http://schemas.openxmlformats.org/officeDocument/2006/relationships/hyperlink" Target="https://www.geeksforgeeks.org/problems/top-view-of-binary-tree/1" TargetMode="External"/><Relationship Id="rId329" Type="http://schemas.openxmlformats.org/officeDocument/2006/relationships/hyperlink" Target="https://www.geeksforgeeks.org/problems/bottom-view-of-binary-tree/1" TargetMode="External"/><Relationship Id="rId330" Type="http://schemas.openxmlformats.org/officeDocument/2006/relationships/hyperlink" Target="https://www.geeksforgeeks.org/problems/boundary-traversal-of-binary-tree/1" TargetMode="External"/><Relationship Id="rId331" Type="http://schemas.openxmlformats.org/officeDocument/2006/relationships/hyperlink" Target="https://leetcode.com/problems/maximum-depth-of-binary-tree/" TargetMode="External"/><Relationship Id="rId332" Type="http://schemas.openxmlformats.org/officeDocument/2006/relationships/hyperlink" Target="https://leetcode.com/problems/minimum-depth-of-binary-tree/" TargetMode="External"/><Relationship Id="rId333" Type="http://schemas.openxmlformats.org/officeDocument/2006/relationships/hyperlink" Target="https://leetcode.com/problems/balanced-binary-tree/" TargetMode="External"/><Relationship Id="rId334" Type="http://schemas.openxmlformats.org/officeDocument/2006/relationships/hyperlink" Target="https://leetcode.com/problems/diameter-of-binary-tree/" TargetMode="External"/><Relationship Id="rId335" Type="http://schemas.openxmlformats.org/officeDocument/2006/relationships/hyperlink" Target="https://leetcode.com/problems/same-tree/" TargetMode="External"/><Relationship Id="rId336" Type="http://schemas.openxmlformats.org/officeDocument/2006/relationships/hyperlink" Target="https://leetcode.com/problems/symmetric-tree/" TargetMode="External"/><Relationship Id="rId337" Type="http://schemas.openxmlformats.org/officeDocument/2006/relationships/hyperlink" Target="https://leetcode.com/problems/invert-binary-tree/" TargetMode="External"/><Relationship Id="rId338" Type="http://schemas.openxmlformats.org/officeDocument/2006/relationships/hyperlink" Target="https://leetcode.com/problems/subtree-of-another-tree/" TargetMode="External"/><Relationship Id="rId339" Type="http://schemas.openxmlformats.org/officeDocument/2006/relationships/hyperlink" Target="https://leetcode.com/problems/flip-equivalent-binary-trees/" TargetMode="External"/><Relationship Id="rId340" Type="http://schemas.openxmlformats.org/officeDocument/2006/relationships/hyperlink" Target="https://leetcode.com/problems/check-completeness-of-a-binary-tree/" TargetMode="External"/><Relationship Id="rId341" Type="http://schemas.openxmlformats.org/officeDocument/2006/relationships/hyperlink" Target="https://leetcode.com/problems/count-complete-tree-nodes/" TargetMode="External"/><Relationship Id="rId342" Type="http://schemas.openxmlformats.org/officeDocument/2006/relationships/hyperlink" Target="https://leetcode.com/problems/path-sum/" TargetMode="External"/><Relationship Id="rId343" Type="http://schemas.openxmlformats.org/officeDocument/2006/relationships/hyperlink" Target="https://leetcode.com/problems/path-sum-ii/" TargetMode="External"/><Relationship Id="rId344" Type="http://schemas.openxmlformats.org/officeDocument/2006/relationships/hyperlink" Target="https://leetcode.com/problems/path-sum-iii/" TargetMode="External"/><Relationship Id="rId345" Type="http://schemas.openxmlformats.org/officeDocument/2006/relationships/hyperlink" Target="https://leetcode.com/problems/sum-root-to-leaf-numbers/" TargetMode="External"/><Relationship Id="rId346" Type="http://schemas.openxmlformats.org/officeDocument/2006/relationships/hyperlink" Target="https://leetcode.com/problems/binary-tree-paths/" TargetMode="External"/><Relationship Id="rId347" Type="http://schemas.openxmlformats.org/officeDocument/2006/relationships/hyperlink" Target="https://leetcode.com/problems/binary-tree-maximum-path-sum/" TargetMode="External"/><Relationship Id="rId348" Type="http://schemas.openxmlformats.org/officeDocument/2006/relationships/hyperlink" Target="https://leetcode.com/problems/all-nodes-distance-k-in-binary-tree/" TargetMode="External"/><Relationship Id="rId349" Type="http://schemas.openxmlformats.org/officeDocument/2006/relationships/hyperlink" Target="https://leetcode.com/problems/amount-of-time-for-binary-tree-to-be-infected/" TargetMode="External"/><Relationship Id="rId350" Type="http://schemas.openxmlformats.org/officeDocument/2006/relationships/hyperlink" Target="https://leetcode.com/problems/lowest-common-ancestor-of-a-binary-tree/" TargetMode="External"/><Relationship Id="rId351" Type="http://schemas.openxmlformats.org/officeDocument/2006/relationships/hyperlink" Target="https://leetcode.com/problems/lowest-common-ancestor-of-a-binary-search-tree/" TargetMode="External"/><Relationship Id="rId352" Type="http://schemas.openxmlformats.org/officeDocument/2006/relationships/hyperlink" Target="https://leetcode.com/problems/lowest-common-ancestor-of-deepest-leaves/" TargetMode="External"/><Relationship Id="rId353" Type="http://schemas.openxmlformats.org/officeDocument/2006/relationships/hyperlink" Target="https://leetcode.com/problems/construct-binary-tree-from-preorder-and-inorder-traversal/" TargetMode="External"/><Relationship Id="rId354" Type="http://schemas.openxmlformats.org/officeDocument/2006/relationships/hyperlink" Target="https://leetcode.com/problems/construct-binary-tree-from-inorder-and-postorder-traversal/" TargetMode="External"/><Relationship Id="rId355" Type="http://schemas.openxmlformats.org/officeDocument/2006/relationships/hyperlink" Target="https://leetcode.com/problems/convert-sorted-array-to-binary-search-tree/" TargetMode="External"/><Relationship Id="rId356" Type="http://schemas.openxmlformats.org/officeDocument/2006/relationships/hyperlink" Target="https://leetcode.com/problems/flatten-binary-tree-to-linked-list/" TargetMode="External"/><Relationship Id="rId357" Type="http://schemas.openxmlformats.org/officeDocument/2006/relationships/hyperlink" Target="https://leetcode.com/problems/serialize-and-deserialize-binary-tree/" TargetMode="External"/><Relationship Id="rId358" Type="http://schemas.openxmlformats.org/officeDocument/2006/relationships/hyperlink" Target="https://leetcode.com/problems/search-in-a-binary-search-tree/" TargetMode="External"/><Relationship Id="rId359" Type="http://schemas.openxmlformats.org/officeDocument/2006/relationships/hyperlink" Target="https://leetcode.com/problems/insert-into-a-binary-search-tree/" TargetMode="External"/><Relationship Id="rId360" Type="http://schemas.openxmlformats.org/officeDocument/2006/relationships/hyperlink" Target="https://leetcode.com/problems/delete-node-in-a-bst/" TargetMode="External"/><Relationship Id="rId361" Type="http://schemas.openxmlformats.org/officeDocument/2006/relationships/hyperlink" Target="https://leetcode.com/problems/range-sum-of-bst/" TargetMode="External"/><Relationship Id="rId362" Type="http://schemas.openxmlformats.org/officeDocument/2006/relationships/hyperlink" Target="https://leetcode.com/problems/validate-binary-search-tree/" TargetMode="External"/><Relationship Id="rId363" Type="http://schemas.openxmlformats.org/officeDocument/2006/relationships/hyperlink" Target="https://leetcode.com/problems/kth-smallest-element-in-a-bst/" TargetMode="External"/><Relationship Id="rId364" Type="http://schemas.openxmlformats.org/officeDocument/2006/relationships/hyperlink" Target="https://leetcode.com/problems/two-sum-iv-input-is-a-bst/" TargetMode="External"/><Relationship Id="rId365" Type="http://schemas.openxmlformats.org/officeDocument/2006/relationships/hyperlink" Target="https://leetcode.com/problems/recover-binary-search-tree/" TargetMode="External"/><Relationship Id="rId366" Type="http://schemas.openxmlformats.org/officeDocument/2006/relationships/hyperlink" Target="https://leetcode.com/problems/binary-search-tree-iterator/" TargetMode="External"/><Relationship Id="rId367" Type="http://schemas.openxmlformats.org/officeDocument/2006/relationships/hyperlink" Target="https://www.geeksforgeeks.org/problems/inorder-successor-in-bst/1" TargetMode="External"/><Relationship Id="rId368" Type="http://schemas.openxmlformats.org/officeDocument/2006/relationships/hyperlink" Target="https://www.geeksforgeeks.org/problems/largest-bst/1" TargetMode="External"/><Relationship Id="rId369" Type="http://schemas.openxmlformats.org/officeDocument/2006/relationships/hyperlink" Target="https://leetcode.com/problems/implement-trie-prefix-tree/" TargetMode="External"/><Relationship Id="rId370" Type="http://schemas.openxmlformats.org/officeDocument/2006/relationships/hyperlink" Target="https://leetcode.com/problems/design-add-and-search-words-data-structure/" TargetMode="External"/><Relationship Id="rId371" Type="http://schemas.openxmlformats.org/officeDocument/2006/relationships/hyperlink" Target="https://leetcode.com/problems/map-sum-pairs/" TargetMode="External"/><Relationship Id="rId372" Type="http://schemas.openxmlformats.org/officeDocument/2006/relationships/hyperlink" Target="https://www.geeksforgeeks.org/dsa/count-the-number-of-words-with-given-prefix-using-trie/" TargetMode="External"/><Relationship Id="rId373" Type="http://schemas.openxmlformats.org/officeDocument/2006/relationships/hyperlink" Target="https://leetcode.com/problems/replace-words/" TargetMode="External"/><Relationship Id="rId374" Type="http://schemas.openxmlformats.org/officeDocument/2006/relationships/hyperlink" Target="https://leetcode.com/problems/longest-word-in-dictionary/" TargetMode="External"/><Relationship Id="rId375" Type="http://schemas.openxmlformats.org/officeDocument/2006/relationships/hyperlink" Target="https://leetcode.com/problems/search-suggestions-system/" TargetMode="External"/><Relationship Id="rId376" Type="http://schemas.openxmlformats.org/officeDocument/2006/relationships/hyperlink" Target="https://leetcode.com/problems/word-search-ii/" TargetMode="External"/><Relationship Id="rId377" Type="http://schemas.openxmlformats.org/officeDocument/2006/relationships/hyperlink" Target="https://leetcode.com/problems/maximum-xor-of-two-numbers-in-an-array/" TargetMode="External"/><Relationship Id="rId378" Type="http://schemas.openxmlformats.org/officeDocument/2006/relationships/hyperlink" Target="https://www.geeksforgeeks.org/problems/count-of-distinct-substrings/1" TargetMode="External"/><Relationship Id="rId379" Type="http://schemas.openxmlformats.org/officeDocument/2006/relationships/hyperlink" Target="https://www.geeksforgeeks.org/problems/print-adjacency-list-1587115620/1" TargetMode="External"/><Relationship Id="rId380" Type="http://schemas.openxmlformats.org/officeDocument/2006/relationships/hyperlink" Target="https://www.geeksforgeeks.org/problems/depth-first-traversal-for-a-graph/1" TargetMode="External"/><Relationship Id="rId381" Type="http://schemas.openxmlformats.org/officeDocument/2006/relationships/hyperlink" Target="https://www.geeksforgeeks.org/problems/bfs-traversal-of-graph/1" TargetMode="External"/><Relationship Id="rId382" Type="http://schemas.openxmlformats.org/officeDocument/2006/relationships/hyperlink" Target="https://leetcode.com/problems/clone-graph/" TargetMode="External"/><Relationship Id="rId383" Type="http://schemas.openxmlformats.org/officeDocument/2006/relationships/hyperlink" Target="https://leetcode.com/problems/number-of-islands/" TargetMode="External"/><Relationship Id="rId384" Type="http://schemas.openxmlformats.org/officeDocument/2006/relationships/hyperlink" Target="https://leetcode.com/problems/max-area-of-island/" TargetMode="External"/><Relationship Id="rId385" Type="http://schemas.openxmlformats.org/officeDocument/2006/relationships/hyperlink" Target="https://leetcode.com/problems/flood-fill/" TargetMode="External"/><Relationship Id="rId386" Type="http://schemas.openxmlformats.org/officeDocument/2006/relationships/hyperlink" Target="https://leetcode.com/problems/surrounded-regions/" TargetMode="External"/><Relationship Id="rId387" Type="http://schemas.openxmlformats.org/officeDocument/2006/relationships/hyperlink" Target="https://leetcode.com/problems/number-of-enclaves/" TargetMode="External"/><Relationship Id="rId388" Type="http://schemas.openxmlformats.org/officeDocument/2006/relationships/hyperlink" Target="https://www.geeksforgeeks.org/problems/number-of-distinct-islands/1" TargetMode="External"/><Relationship Id="rId389" Type="http://schemas.openxmlformats.org/officeDocument/2006/relationships/hyperlink" Target="https://leetcode.com/problems/pacific-atlantic-water-flow/" TargetMode="External"/><Relationship Id="rId390" Type="http://schemas.openxmlformats.org/officeDocument/2006/relationships/hyperlink" Target="https://leetcode.com/problems/rotting-oranges/" TargetMode="External"/><Relationship Id="rId391" Type="http://schemas.openxmlformats.org/officeDocument/2006/relationships/hyperlink" Target="https://leetcode.com/problems/01-matrix/" TargetMode="External"/><Relationship Id="rId392" Type="http://schemas.openxmlformats.org/officeDocument/2006/relationships/hyperlink" Target="https://leetcode.com/problems/shortest-path-in-binary-matrix/" TargetMode="External"/><Relationship Id="rId393" Type="http://schemas.openxmlformats.org/officeDocument/2006/relationships/hyperlink" Target="https://www.geeksforgeeks.org/problems/shortest-path-in-undirected-graph-having-unit-distance/1" TargetMode="External"/><Relationship Id="rId394" Type="http://schemas.openxmlformats.org/officeDocument/2006/relationships/hyperlink" Target="https://leetcode.com/problems/word-ladder/" TargetMode="External"/><Relationship Id="rId395" Type="http://schemas.openxmlformats.org/officeDocument/2006/relationships/hyperlink" Target="https://leetcode.com/problems/word-ladder-ii/" TargetMode="External"/><Relationship Id="rId396" Type="http://schemas.openxmlformats.org/officeDocument/2006/relationships/hyperlink" Target="https://www.geeksforgeeks.org/problems/minimum-multiplications-to-reach-end/1" TargetMode="External"/><Relationship Id="rId397" Type="http://schemas.openxmlformats.org/officeDocument/2006/relationships/hyperlink" Target="https://leetcode.com/problems/number-of-provinces/" TargetMode="External"/><Relationship Id="rId398" Type="http://schemas.openxmlformats.org/officeDocument/2006/relationships/hyperlink" Target="https://www.geeksforgeeks.org/problems/detect-cycle-in-an-undirected-graph/1" TargetMode="External"/><Relationship Id="rId399" Type="http://schemas.openxmlformats.org/officeDocument/2006/relationships/hyperlink" Target="https://www.geeksforgeeks.org/problems/detect-cycle-in-a-directed-graph/1" TargetMode="External"/><Relationship Id="rId400" Type="http://schemas.openxmlformats.org/officeDocument/2006/relationships/hyperlink" Target="https://leetcode.com/problems/find-eventual-safe-states/" TargetMode="External"/><Relationship Id="rId401" Type="http://schemas.openxmlformats.org/officeDocument/2006/relationships/hyperlink" Target="https://leetcode.com/problems/is-graph-bipartite/" TargetMode="External"/><Relationship Id="rId402" Type="http://schemas.openxmlformats.org/officeDocument/2006/relationships/hyperlink" Target="https://www.geeksforgeeks.org/problems/topological-sort/1" TargetMode="External"/><Relationship Id="rId403" Type="http://schemas.openxmlformats.org/officeDocument/2006/relationships/hyperlink" Target="https://leetcode.com/problems/course-schedule/" TargetMode="External"/><Relationship Id="rId404" Type="http://schemas.openxmlformats.org/officeDocument/2006/relationships/hyperlink" Target="https://leetcode.com/problems/course-schedule-ii/" TargetMode="External"/><Relationship Id="rId405" Type="http://schemas.openxmlformats.org/officeDocument/2006/relationships/hyperlink" Target="https://www.geeksforgeeks.org/problems/alien-dictionary/1" TargetMode="External"/><Relationship Id="rId406" Type="http://schemas.openxmlformats.org/officeDocument/2006/relationships/hyperlink" Target="https://leetcode.com/problems/minimum-height-trees/" TargetMode="External"/><Relationship Id="rId407" Type="http://schemas.openxmlformats.org/officeDocument/2006/relationships/hyperlink" Target="https://www.google.com/search?q=site%3Ageeksforgeeks.org+Parallel+Courses" TargetMode="External"/><Relationship Id="rId408" Type="http://schemas.openxmlformats.org/officeDocument/2006/relationships/hyperlink" Target="https://www.geeksforgeeks.org/problems/implementing-dijkstra-set-1-adjacency-matrix/1" TargetMode="External"/><Relationship Id="rId409" Type="http://schemas.openxmlformats.org/officeDocument/2006/relationships/hyperlink" Target="https://leetcode.com/problems/network-delay-time/" TargetMode="External"/><Relationship Id="rId410" Type="http://schemas.openxmlformats.org/officeDocument/2006/relationships/hyperlink" Target="https://leetcode.com/problems/path-with-minimum-effort/" TargetMode="External"/><Relationship Id="rId411" Type="http://schemas.openxmlformats.org/officeDocument/2006/relationships/hyperlink" Target="https://leetcode.com/problems/swim-in-rising-water/" TargetMode="External"/><Relationship Id="rId412" Type="http://schemas.openxmlformats.org/officeDocument/2006/relationships/hyperlink" Target="https://leetcode.com/problems/path-with-maximum-probability/" TargetMode="External"/><Relationship Id="rId413" Type="http://schemas.openxmlformats.org/officeDocument/2006/relationships/hyperlink" Target="https://leetcode.com/problems/number-of-ways-to-arrive-at-destination/" TargetMode="External"/><Relationship Id="rId414" Type="http://schemas.openxmlformats.org/officeDocument/2006/relationships/hyperlink" Target="https://www.geeksforgeeks.org/problems/distance-from-the-source-bellman-ford-algorithm/1" TargetMode="External"/><Relationship Id="rId415" Type="http://schemas.openxmlformats.org/officeDocument/2006/relationships/hyperlink" Target="https://leetcode.com/problems/cheapest-flights-within-k-stops/" TargetMode="External"/><Relationship Id="rId416" Type="http://schemas.openxmlformats.org/officeDocument/2006/relationships/hyperlink" Target="https://www.geeksforgeeks.org/problems/implementing-floyd-warshall2042/1" TargetMode="External"/><Relationship Id="rId417" Type="http://schemas.openxmlformats.org/officeDocument/2006/relationships/hyperlink" Target="https://leetcode.com/problems/find-the-city-with-the-smallest-number-of-neighbors-at-a-threshold-distance/" TargetMode="External"/><Relationship Id="rId418" Type="http://schemas.openxmlformats.org/officeDocument/2006/relationships/hyperlink" Target="https://www.geeksforgeeks.org/problems/minimum-spanning-tree/1" TargetMode="External"/><Relationship Id="rId419" Type="http://schemas.openxmlformats.org/officeDocument/2006/relationships/hyperlink" Target="https://www.geeksforgeeks.org/problems/minimum-spanning-tree-kruskals-algorithm/1" TargetMode="External"/><Relationship Id="rId420" Type="http://schemas.openxmlformats.org/officeDocument/2006/relationships/hyperlink" Target="https://leetcode.com/problems/min-cost-to-connect-all-points/" TargetMode="External"/><Relationship Id="rId421" Type="http://schemas.openxmlformats.org/officeDocument/2006/relationships/hyperlink" Target="https://www.geeksforgeeks.org/problems/disjoint-set-union-find/1" TargetMode="External"/><Relationship Id="rId422" Type="http://schemas.openxmlformats.org/officeDocument/2006/relationships/hyperlink" Target="https://leetcode.com/problems/redundant-connection/" TargetMode="External"/><Relationship Id="rId423" Type="http://schemas.openxmlformats.org/officeDocument/2006/relationships/hyperlink" Target="https://leetcode.com/problems/number-of-operations-to-make-network-connected/" TargetMode="External"/><Relationship Id="rId424" Type="http://schemas.openxmlformats.org/officeDocument/2006/relationships/hyperlink" Target="https://leetcode.com/problems/accounts-merge/" TargetMode="External"/><Relationship Id="rId425" Type="http://schemas.openxmlformats.org/officeDocument/2006/relationships/hyperlink" Target="https://leetcode.com/problems/most-stones-removed-with-same-row-or-column/" TargetMode="External"/><Relationship Id="rId426" Type="http://schemas.openxmlformats.org/officeDocument/2006/relationships/hyperlink" Target="https://leetcode.com/problems/satisfiability-of-equality-equations/" TargetMode="External"/><Relationship Id="rId427" Type="http://schemas.openxmlformats.org/officeDocument/2006/relationships/hyperlink" Target="https://leetcode.com/problems/making-a-large-island/" TargetMode="External"/><Relationship Id="rId428" Type="http://schemas.openxmlformats.org/officeDocument/2006/relationships/hyperlink" Target="https://www.geeksforgeeks.org/problems/number-of-islands/1" TargetMode="External"/><Relationship Id="rId429" Type="http://schemas.openxmlformats.org/officeDocument/2006/relationships/hyperlink" Target="https://leetcode.com/problems/critical-connections-in-a-network/" TargetMode="External"/><Relationship Id="rId430" Type="http://schemas.openxmlformats.org/officeDocument/2006/relationships/hyperlink" Target="https://www.geeksforgeeks.org/problems/articulation-point2616/1" TargetMode="External"/><Relationship Id="rId431" Type="http://schemas.openxmlformats.org/officeDocument/2006/relationships/hyperlink" Target="https://www.geeksforgeeks.org/problems/strongly-connected-components-kosarajus-algo/1" TargetMode="External"/><Relationship Id="rId432" Type="http://schemas.openxmlformats.org/officeDocument/2006/relationships/hyperlink" Target="https://leetcode.com/problems/reconstruct-itinerary/" TargetMode="External"/><Relationship Id="rId433" Type="http://schemas.openxmlformats.org/officeDocument/2006/relationships/hyperlink" Target="https://www.geeksforgeeks.org/problems/is-it-a-tree/1" TargetMode="External"/><Relationship Id="rId434" Type="http://schemas.openxmlformats.org/officeDocument/2006/relationships/hyperlink" Target="https://leetcode.com/problems/evaluate-division/" TargetMode="External"/><Relationship Id="rId435" Type="http://schemas.openxmlformats.org/officeDocument/2006/relationships/hyperlink" Target="https://leetcode.com/problems/climbing-stairs/" TargetMode="External"/><Relationship Id="rId436" Type="http://schemas.openxmlformats.org/officeDocument/2006/relationships/hyperlink" Target="https://leetcode.com/problems/min-cost-climbing-stairs/" TargetMode="External"/><Relationship Id="rId437" Type="http://schemas.openxmlformats.org/officeDocument/2006/relationships/hyperlink" Target="https://www.geeksforgeeks.org/problems/geek-jump/1" TargetMode="External"/><Relationship Id="rId438" Type="http://schemas.openxmlformats.org/officeDocument/2006/relationships/hyperlink" Target="https://leetcode.com/problems/house-robber/" TargetMode="External"/><Relationship Id="rId439" Type="http://schemas.openxmlformats.org/officeDocument/2006/relationships/hyperlink" Target="https://leetcode.com/problems/house-robber-ii/" TargetMode="External"/><Relationship Id="rId440" Type="http://schemas.openxmlformats.org/officeDocument/2006/relationships/hyperlink" Target="https://www.geeksforgeeks.org/problems/max-sum-without-adjacents2430/1" TargetMode="External"/><Relationship Id="rId441" Type="http://schemas.openxmlformats.org/officeDocument/2006/relationships/hyperlink" Target="https://leetcode.com/problems/decode-ways/" TargetMode="External"/><Relationship Id="rId442" Type="http://schemas.openxmlformats.org/officeDocument/2006/relationships/hyperlink" Target="https://leetcode.com/problems/delete-and-earn/" TargetMode="External"/><Relationship Id="rId443" Type="http://schemas.openxmlformats.org/officeDocument/2006/relationships/hyperlink" Target="https://leetcode.com/problems/word-break/" TargetMode="External"/><Relationship Id="rId444" Type="http://schemas.openxmlformats.org/officeDocument/2006/relationships/hyperlink" Target="https://leetcode.com/problems/unique-paths/" TargetMode="External"/><Relationship Id="rId445" Type="http://schemas.openxmlformats.org/officeDocument/2006/relationships/hyperlink" Target="https://leetcode.com/problems/unique-paths-ii/" TargetMode="External"/><Relationship Id="rId446" Type="http://schemas.openxmlformats.org/officeDocument/2006/relationships/hyperlink" Target="https://leetcode.com/problems/minimum-path-sum/" TargetMode="External"/><Relationship Id="rId447" Type="http://schemas.openxmlformats.org/officeDocument/2006/relationships/hyperlink" Target="https://leetcode.com/problems/triangle/" TargetMode="External"/><Relationship Id="rId448" Type="http://schemas.openxmlformats.org/officeDocument/2006/relationships/hyperlink" Target="https://leetcode.com/problems/minimum-falling-path-sum/" TargetMode="External"/><Relationship Id="rId449" Type="http://schemas.openxmlformats.org/officeDocument/2006/relationships/hyperlink" Target="https://leetcode.com/problems/cherry-pickup-ii/" TargetMode="External"/><Relationship Id="rId450" Type="http://schemas.openxmlformats.org/officeDocument/2006/relationships/hyperlink" Target="https://leetcode.com/problems/dungeon-game/" TargetMode="External"/><Relationship Id="rId451" Type="http://schemas.openxmlformats.org/officeDocument/2006/relationships/hyperlink" Target="https://leetcode.com/problems/longest-increasing-path-in-a-matrix/" TargetMode="External"/><Relationship Id="rId452" Type="http://schemas.openxmlformats.org/officeDocument/2006/relationships/hyperlink" Target="https://www.geeksforgeeks.org/problems/0-1-knapsack-problem0945/1" TargetMode="External"/><Relationship Id="rId453" Type="http://schemas.openxmlformats.org/officeDocument/2006/relationships/hyperlink" Target="https://www.geeksforgeeks.org/problems/subset-sum-problem-1611555638/1" TargetMode="External"/><Relationship Id="rId454" Type="http://schemas.openxmlformats.org/officeDocument/2006/relationships/hyperlink" Target="https://leetcode.com/problems/partition-equal-subset-sum/" TargetMode="External"/><Relationship Id="rId455" Type="http://schemas.openxmlformats.org/officeDocument/2006/relationships/hyperlink" Target="https://leetcode.com/problems/target-sum/" TargetMode="External"/><Relationship Id="rId456" Type="http://schemas.openxmlformats.org/officeDocument/2006/relationships/hyperlink" Target="https://www.geeksforgeeks.org/problems/perfect-sum-problem5633/1" TargetMode="External"/><Relationship Id="rId457" Type="http://schemas.openxmlformats.org/officeDocument/2006/relationships/hyperlink" Target="https://www.geeksforgeeks.org/problems/minimum-sum-partition3317/1" TargetMode="External"/><Relationship Id="rId458" Type="http://schemas.openxmlformats.org/officeDocument/2006/relationships/hyperlink" Target="https://leetcode.com/problems/ones-and-zeroes/" TargetMode="External"/><Relationship Id="rId459" Type="http://schemas.openxmlformats.org/officeDocument/2006/relationships/hyperlink" Target="https://www.geeksforgeeks.org/problems/knapsack-with-duplicate-items4201/1" TargetMode="External"/><Relationship Id="rId460" Type="http://schemas.openxmlformats.org/officeDocument/2006/relationships/hyperlink" Target="https://www.geeksforgeeks.org/problems/rod-cutting0840/1" TargetMode="External"/><Relationship Id="rId461" Type="http://schemas.openxmlformats.org/officeDocument/2006/relationships/hyperlink" Target="https://leetcode.com/problems/coin-change/" TargetMode="External"/><Relationship Id="rId462" Type="http://schemas.openxmlformats.org/officeDocument/2006/relationships/hyperlink" Target="https://leetcode.com/problems/coin-change-ii/" TargetMode="External"/><Relationship Id="rId463" Type="http://schemas.openxmlformats.org/officeDocument/2006/relationships/hyperlink" Target="https://leetcode.com/problems/combination-sum-iv/" TargetMode="External"/><Relationship Id="rId464" Type="http://schemas.openxmlformats.org/officeDocument/2006/relationships/hyperlink" Target="https://leetcode.com/problems/perfect-squares/" TargetMode="External"/><Relationship Id="rId465" Type="http://schemas.openxmlformats.org/officeDocument/2006/relationships/hyperlink" Target="https://leetcode.com/problems/longest-increasing-subsequence/" TargetMode="External"/><Relationship Id="rId466" Type="http://schemas.openxmlformats.org/officeDocument/2006/relationships/hyperlink" Target="https://leetcode.com/problems/number-of-longest-increasing-subsequence/" TargetMode="External"/><Relationship Id="rId467" Type="http://schemas.openxmlformats.org/officeDocument/2006/relationships/hyperlink" Target="https://leetcode.com/problems/largest-divisible-subset/" TargetMode="External"/><Relationship Id="rId468" Type="http://schemas.openxmlformats.org/officeDocument/2006/relationships/hyperlink" Target="https://leetcode.com/problems/longest-string-chain/" TargetMode="External"/><Relationship Id="rId469" Type="http://schemas.openxmlformats.org/officeDocument/2006/relationships/hyperlink" Target="https://leetcode.com/problems/russian-doll-envelopes/" TargetMode="External"/><Relationship Id="rId470" Type="http://schemas.openxmlformats.org/officeDocument/2006/relationships/hyperlink" Target="https://www.geeksforgeeks.org/problems/maximum-sum-increasing-subsequence4749/1" TargetMode="External"/><Relationship Id="rId471" Type="http://schemas.openxmlformats.org/officeDocument/2006/relationships/hyperlink" Target="https://www.geeksforgeeks.org/problems/longest-bitonic-subsequence0824/1" TargetMode="External"/><Relationship Id="rId472" Type="http://schemas.openxmlformats.org/officeDocument/2006/relationships/hyperlink" Target="https://leetcode.com/problems/longest-common-subsequence/" TargetMode="External"/><Relationship Id="rId473" Type="http://schemas.openxmlformats.org/officeDocument/2006/relationships/hyperlink" Target="https://www.geeksforgeeks.org/problems/longest-common-substring1452/1" TargetMode="External"/><Relationship Id="rId474" Type="http://schemas.openxmlformats.org/officeDocument/2006/relationships/hyperlink" Target="https://leetcode.com/problems/shortest-common-supersequence/" TargetMode="External"/><Relationship Id="rId475" Type="http://schemas.openxmlformats.org/officeDocument/2006/relationships/hyperlink" Target="https://leetcode.com/problems/delete-operation-for-two-strings/" TargetMode="External"/><Relationship Id="rId476" Type="http://schemas.openxmlformats.org/officeDocument/2006/relationships/hyperlink" Target="https://leetcode.com/problems/edit-distance/" TargetMode="External"/><Relationship Id="rId477" Type="http://schemas.openxmlformats.org/officeDocument/2006/relationships/hyperlink" Target="https://leetcode.com/problems/distinct-subsequences/" TargetMode="External"/><Relationship Id="rId478" Type="http://schemas.openxmlformats.org/officeDocument/2006/relationships/hyperlink" Target="https://leetcode.com/problems/wildcard-matching/" TargetMode="External"/><Relationship Id="rId479" Type="http://schemas.openxmlformats.org/officeDocument/2006/relationships/hyperlink" Target="https://leetcode.com/problems/regular-expression-matching/" TargetMode="External"/><Relationship Id="rId480" Type="http://schemas.openxmlformats.org/officeDocument/2006/relationships/hyperlink" Target="https://leetcode.com/problems/interleaving-string/" TargetMode="External"/><Relationship Id="rId481" Type="http://schemas.openxmlformats.org/officeDocument/2006/relationships/hyperlink" Target="https://leetcode.com/problems/longest-palindromic-subsequence/" TargetMode="External"/><Relationship Id="rId482" Type="http://schemas.openxmlformats.org/officeDocument/2006/relationships/hyperlink" Target="https://leetcode.com/problems/minimum-insertion-steps-to-make-a-string-palindrome/" TargetMode="External"/><Relationship Id="rId483" Type="http://schemas.openxmlformats.org/officeDocument/2006/relationships/hyperlink" Target="https://leetcode.com/problems/best-time-to-buy-and-sell-stock-ii/" TargetMode="External"/><Relationship Id="rId484" Type="http://schemas.openxmlformats.org/officeDocument/2006/relationships/hyperlink" Target="https://leetcode.com/problems/best-time-to-buy-and-sell-stock-iii/" TargetMode="External"/><Relationship Id="rId485" Type="http://schemas.openxmlformats.org/officeDocument/2006/relationships/hyperlink" Target="https://leetcode.com/problems/best-time-to-buy-and-sell-stock-iv/" TargetMode="External"/><Relationship Id="rId486" Type="http://schemas.openxmlformats.org/officeDocument/2006/relationships/hyperlink" Target="https://leetcode.com/problems/best-time-to-buy-and-sell-stock-with-cooldown/" TargetMode="External"/><Relationship Id="rId487" Type="http://schemas.openxmlformats.org/officeDocument/2006/relationships/hyperlink" Target="https://leetcode.com/problems/best-time-to-buy-and-sell-stock-with-transaction-fee/" TargetMode="External"/><Relationship Id="rId488" Type="http://schemas.openxmlformats.org/officeDocument/2006/relationships/hyperlink" Target="https://www.geeksforgeeks.org/problems/matrix-chain-multiplication0303/1" TargetMode="External"/><Relationship Id="rId489" Type="http://schemas.openxmlformats.org/officeDocument/2006/relationships/hyperlink" Target="https://leetcode.com/problems/minimum-cost-to-cut-a-stick/" TargetMode="External"/><Relationship Id="rId490" Type="http://schemas.openxmlformats.org/officeDocument/2006/relationships/hyperlink" Target="https://leetcode.com/problems/burst-balloons/" TargetMode="External"/><Relationship Id="rId491" Type="http://schemas.openxmlformats.org/officeDocument/2006/relationships/hyperlink" Target="https://leetcode.com/problems/palindrome-partitioning-ii/" TargetMode="External"/><Relationship Id="rId492" Type="http://schemas.openxmlformats.org/officeDocument/2006/relationships/hyperlink" Target="https://leetcode.com/problems/partition-array-for-maximum-sum/" TargetMode="External"/><Relationship Id="rId493" Type="http://schemas.openxmlformats.org/officeDocument/2006/relationships/hyperlink" Target="https://www.geeksforgeeks.org/problems/boolean-parenthesization5610/1" TargetMode="External"/><Relationship Id="rId494" Type="http://schemas.openxmlformats.org/officeDocument/2006/relationships/hyperlink" Target="https://leetcode.com/problems/maximal-square/" TargetMode="External"/><Relationship Id="rId495" Type="http://schemas.openxmlformats.org/officeDocument/2006/relationships/hyperlink" Target="https://leetcode.com/problems/count-square-submatrices-with-all-ones/" TargetMode="External"/><Relationship Id="rId496" Type="http://schemas.openxmlformats.org/officeDocument/2006/relationships/hyperlink" Target="https://leetcode.com/problems/house-robber-iii/" TargetMode="External"/><Relationship Id="rId497" Type="http://schemas.openxmlformats.org/officeDocument/2006/relationships/hyperlink" Target="https://leetcode.com/problems/binary-tree-cameras/" TargetMode="External"/><Relationship Id="rId498" Type="http://schemas.openxmlformats.org/officeDocument/2006/relationships/hyperlink" Target="https://leetcode.com/problems/stone-game/" TargetMode="External"/><Relationship Id="rId499" Type="http://schemas.openxmlformats.org/officeDocument/2006/relationships/hyperlink" Target="https://leetcode.com/problems/predict-the-winner/" TargetMode="External"/><Relationship Id="rId500" Type="http://schemas.openxmlformats.org/officeDocument/2006/relationships/hyperlink" Target="https://leetcode.com/problems/number-of-dice-rolls-with-target-sum/" TargetMode="External"/><Relationship Id="rId501" Type="http://schemas.openxmlformats.org/officeDocument/2006/relationships/hyperlink" Target="https://leetcode.com/problems/knight-probability-in-chessboard/" TargetMode="External"/><Relationship Id="rId502" Type="http://schemas.openxmlformats.org/officeDocument/2006/relationships/hyperlink" Target="https://www.geeksforgeeks.org/problems/travelling-salesman-problem2732/1" TargetMode="External"/><Relationship Id="rId503" Type="http://schemas.openxmlformats.org/officeDocument/2006/relationships/hyperlink" Target="https://leetcode.com/problems/shortest-path-visiting-all-nodes/" TargetMode="External"/><Relationship Id="rId504" Type="http://schemas.openxmlformats.org/officeDocument/2006/relationships/hyperlink" Target="https://leetcode.com/problems/number-of-1-bits/" TargetMode="External"/><Relationship Id="rId505" Type="http://schemas.openxmlformats.org/officeDocument/2006/relationships/hyperlink" Target="https://leetcode.com/problems/counting-bits/" TargetMode="External"/><Relationship Id="rId506" Type="http://schemas.openxmlformats.org/officeDocument/2006/relationships/hyperlink" Target="https://leetcode.com/problems/reverse-bits/" TargetMode="External"/><Relationship Id="rId507" Type="http://schemas.openxmlformats.org/officeDocument/2006/relationships/hyperlink" Target="https://leetcode.com/problems/power-of-two/" TargetMode="External"/><Relationship Id="rId508" Type="http://schemas.openxmlformats.org/officeDocument/2006/relationships/hyperlink" Target="https://leetcode.com/problems/power-of-four/" TargetMode="External"/><Relationship Id="rId509" Type="http://schemas.openxmlformats.org/officeDocument/2006/relationships/hyperlink" Target="https://www.geeksforgeeks.org/problems/swap-the-numbers/1" TargetMode="External"/><Relationship Id="rId510" Type="http://schemas.openxmlformats.org/officeDocument/2006/relationships/hyperlink" Target="https://leetcode.com/problems/minimum-bit-flips-to-convert-number/" TargetMode="External"/><Relationship Id="rId511" Type="http://schemas.openxmlformats.org/officeDocument/2006/relationships/hyperlink" Target="https://leetcode.com/problems/single-number/" TargetMode="External"/><Relationship Id="rId512" Type="http://schemas.openxmlformats.org/officeDocument/2006/relationships/hyperlink" Target="https://leetcode.com/problems/single-number-ii/" TargetMode="External"/><Relationship Id="rId513" Type="http://schemas.openxmlformats.org/officeDocument/2006/relationships/hyperlink" Target="https://leetcode.com/problems/single-number-iii/" TargetMode="External"/><Relationship Id="rId514" Type="http://schemas.openxmlformats.org/officeDocument/2006/relationships/hyperlink" Target="https://leetcode.com/problems/hamming-distance/" TargetMode="External"/><Relationship Id="rId515" Type="http://schemas.openxmlformats.org/officeDocument/2006/relationships/hyperlink" Target="https://leetcode.com/problems/total-hamming-distance/" TargetMode="External"/><Relationship Id="rId516" Type="http://schemas.openxmlformats.org/officeDocument/2006/relationships/hyperlink" Target="https://leetcode.com/problems/xor-queries-of-a-subarray/" TargetMode="External"/><Relationship Id="rId517" Type="http://schemas.openxmlformats.org/officeDocument/2006/relationships/hyperlink" Target="https://www.geeksforgeeks.org/problems/find-xor-of-numbers-from-l-to-r/1" TargetMode="External"/><Relationship Id="rId518" Type="http://schemas.openxmlformats.org/officeDocument/2006/relationships/hyperlink" Target="https://leetcode.com/problems/sum-of-two-integers/" TargetMode="External"/><Relationship Id="rId519" Type="http://schemas.openxmlformats.org/officeDocument/2006/relationships/hyperlink" Target="https://leetcode.com/problems/divide-two-integers/" TargetMode="External"/><Relationship Id="rId520" Type="http://schemas.openxmlformats.org/officeDocument/2006/relationships/hyperlink" Target="https://leetcode.com/problems/bitwise-and-of-numbers-range/" TargetMode="External"/><Relationship Id="rId521" Type="http://schemas.openxmlformats.org/officeDocument/2006/relationships/hyperlink" Target="https://leetcode.com/problems/maximum-product-of-word-lengths/" TargetMode="External"/><Relationship Id="rId522" Type="http://schemas.openxmlformats.org/officeDocument/2006/relationships/hyperlink" Target="https://leetcode.com/problems/gray-code/" TargetMode="External"/><Relationship Id="rId523" Type="http://schemas.openxmlformats.org/officeDocument/2006/relationships/hyperlink" Target="https://www.geeksforgeeks.org/problems/count-total-set-bits-1587115620/1" TargetMode="External"/><Relationship Id="rId524" Type="http://schemas.openxmlformats.org/officeDocument/2006/relationships/hyperlink" Target="https://www.geeksforgeeks.org/problems/sieve-of-eratosthenes5242/1" TargetMode="External"/><Relationship Id="rId525" Type="http://schemas.openxmlformats.org/officeDocument/2006/relationships/hyperlink" Target="https://leetcode.com/problems/count-primes/" TargetMode="External"/><Relationship Id="rId526" Type="http://schemas.openxmlformats.org/officeDocument/2006/relationships/hyperlink" Target="https://www.geeksforgeeks.org/problems/prime-factorization-using-sieve/1" TargetMode="External"/><Relationship Id="rId527" Type="http://schemas.openxmlformats.org/officeDocument/2006/relationships/hyperlink" Target="https://www.geeksforgeeks.org/problems/gcd-of-two-numbers3459/1" TargetMode="External"/><Relationship Id="rId528" Type="http://schemas.openxmlformats.org/officeDocument/2006/relationships/hyperlink" Target="https://www.geeksforgeeks.org/problems/lcm-and-gcd4516/1" TargetMode="External"/><Relationship Id="rId529" Type="http://schemas.openxmlformats.org/officeDocument/2006/relationships/hyperlink" Target="https://www.geeksforgeeks.org/problems/modular-exponentiation-for-large-numbers5537/1" TargetMode="External"/><Relationship Id="rId530" Type="http://schemas.openxmlformats.org/officeDocument/2006/relationships/hyperlink" Target="https://www.geeksforgeeks.org/problems/ncr1019/1" TargetMode="External"/><Relationship Id="rId531" Type="http://schemas.openxmlformats.org/officeDocument/2006/relationships/hyperlink" Target="https://leetcode.com/problems/palindrome-number/" TargetMode="External"/><Relationship Id="rId532" Type="http://schemas.openxmlformats.org/officeDocument/2006/relationships/hyperlink" Target="https://leetcode.com/problems/reverse-integer/" TargetMode="External"/><Relationship Id="rId533" Type="http://schemas.openxmlformats.org/officeDocument/2006/relationships/hyperlink" Target="https://leetcode.com/problems/add-digits/" TargetMode="External"/><Relationship Id="rId534" Type="http://schemas.openxmlformats.org/officeDocument/2006/relationships/hyperlink" Target="https://leetcode.com/problems/number-of-digit-one/" TargetMode="External"/><Relationship Id="rId535" Type="http://schemas.openxmlformats.org/officeDocument/2006/relationships/hyperlink" Target="https://leetcode.com/problems/factorial-trailing-zeroes/" TargetMode="External"/><Relationship Id="rId536" Type="http://schemas.openxmlformats.org/officeDocument/2006/relationships/hyperlink" Target="https://leetcode.com/problems/excel-sheet-column-title/" TargetMode="External"/><Relationship Id="rId537" Type="http://schemas.openxmlformats.org/officeDocument/2006/relationships/hyperlink" Target="https://leetcode.com/problems/excel-sheet-column-number/" TargetMode="External"/><Relationship Id="rId538" Type="http://schemas.openxmlformats.org/officeDocument/2006/relationships/hyperlink" Target="https://leetcode.com/problems/ugly-number/" TargetMode="External"/><Relationship Id="rId539" Type="http://schemas.openxmlformats.org/officeDocument/2006/relationships/hyperlink" Target="https://www.geeksforgeeks.org/problems/nth-catalan-number0817/1" TargetMode="External"/><Relationship Id="rId540" Type="http://schemas.openxmlformats.org/officeDocument/2006/relationships/hyperlink" Target="https://www.geeksforgeeks.org/problems/josephus-problem/1" TargetMode="External"/><Relationship Id="rId541" Type="http://schemas.openxmlformats.org/officeDocument/2006/relationships/hyperlink" Target="https://leetcode.com/problems/merge-intervals/" TargetMode="External"/><Relationship Id="rId542" Type="http://schemas.openxmlformats.org/officeDocument/2006/relationships/hyperlink" Target="https://leetcode.com/problems/insert-interval/" TargetMode="External"/><Relationship Id="rId543" Type="http://schemas.openxmlformats.org/officeDocument/2006/relationships/hyperlink" Target="https://leetcode.com/problems/interval-list-intersections/" TargetMode="External"/><Relationship Id="rId544" Type="http://schemas.openxmlformats.org/officeDocument/2006/relationships/hyperlink" Target="https://leetcode.com/problems/remove-covered-intervals/" TargetMode="External"/><Relationship Id="rId545" Type="http://schemas.openxmlformats.org/officeDocument/2006/relationships/hyperlink" Target="https://www.geeksforgeeks.org/problems/attend-all-meetings/1" TargetMode="External"/><Relationship Id="rId546" Type="http://schemas.openxmlformats.org/officeDocument/2006/relationships/hyperlink" Target="https://www.geeksforgeeks.org/problems/attend-all-meetings-ii/1" TargetMode="External"/><Relationship Id="rId547" Type="http://schemas.openxmlformats.org/officeDocument/2006/relationships/hyperlink" Target="https://www.geeksforgeeks.org/dsa/maximum-cpu-load-from-the-given-list-of-jobs/" TargetMode="External"/><Relationship Id="rId548" Type="http://schemas.openxmlformats.org/officeDocument/2006/relationships/hyperlink" Target="https://www.google.com/search?q=site%3Ageeksforgeeks.org+Employee+Free+Time" TargetMode="External"/><Relationship Id="rId549" Type="http://schemas.openxmlformats.org/officeDocument/2006/relationships/hyperlink" Target="https://leetcode.com/problems/my-calendar-i/" TargetMode="External"/><Relationship Id="rId550" Type="http://schemas.openxmlformats.org/officeDocument/2006/relationships/hyperlink" Target="https://leetcode.com/problems/my-calendar-ii/" TargetMode="External"/><Relationship Id="rId551" Type="http://schemas.openxmlformats.org/officeDocument/2006/relationships/hyperlink" Target="https://leetcode.com/problems/data-stream-as-disjoint-intervals/" TargetMode="External"/><Relationship Id="rId552" Type="http://schemas.openxmlformats.org/officeDocument/2006/relationships/hyperlink" Target="https://leetcode.com/problems/lru-cache/" TargetMode="External"/><Relationship Id="rId553" Type="http://schemas.openxmlformats.org/officeDocument/2006/relationships/hyperlink" Target="https://leetcode.com/problems/lfu-cache/" TargetMode="External"/><Relationship Id="rId554" Type="http://schemas.openxmlformats.org/officeDocument/2006/relationships/hyperlink" Target="https://leetcode.com/problems/design-hashmap/" TargetMode="External"/><Relationship Id="rId555" Type="http://schemas.openxmlformats.org/officeDocument/2006/relationships/hyperlink" Target="https://leetcode.com/problems/design-hashset/" TargetMode="External"/><Relationship Id="rId556" Type="http://schemas.openxmlformats.org/officeDocument/2006/relationships/hyperlink" Target="https://leetcode.com/problems/insert-delete-getrandom-o1/" TargetMode="External"/><Relationship Id="rId557" Type="http://schemas.openxmlformats.org/officeDocument/2006/relationships/hyperlink" Target="https://leetcode.com/problems/all-oone-data-structure/" TargetMode="External"/><Relationship Id="rId558" Type="http://schemas.openxmlformats.org/officeDocument/2006/relationships/hyperlink" Target="https://leetcode.com/problems/design-twitter/" TargetMode="External"/><Relationship Id="rId559" Type="http://schemas.openxmlformats.org/officeDocument/2006/relationships/hyperlink" Target="https://leetcode.com/problems/design-underground-system/" TargetMode="External"/><Relationship Id="rId560" Type="http://schemas.openxmlformats.org/officeDocument/2006/relationships/hyperlink" Target="https://leetcode.com/problems/design-browser-history/" TargetMode="External"/><Relationship Id="rId561" Type="http://schemas.openxmlformats.org/officeDocument/2006/relationships/hyperlink" Target="https://leetcode.com/problems/time-based-key-value-store/" TargetMode="External"/><Relationship Id="rId562" Type="http://schemas.openxmlformats.org/officeDocument/2006/relationships/hyperlink" Target="https://leetcode.com/problems/snapshot-array/" TargetMode="External"/><Relationship Id="rId563" Type="http://schemas.openxmlformats.org/officeDocument/2006/relationships/hyperlink" Target="https://leetcode.com/problems/range-sum-query-mutable/" TargetMode="External"/><Relationship Id="rId564" Type="http://schemas.openxmlformats.org/officeDocument/2006/relationships/hyperlink" Target="https://www.geeksforgeeks.org/problems/range-minimum-query/1" TargetMode="External"/><Relationship Id="rId565" Type="http://schemas.openxmlformats.org/officeDocument/2006/relationships/hyperlink" Target="https://www.geeksforgeeks.org/dsa/lazy-propagation-in-segment-tree/" TargetMode="External"/><Relationship Id="rId566" Type="http://schemas.openxmlformats.org/officeDocument/2006/relationships/hyperlink" Target="https://www.geeksforgeeks.org/dsa/binary-indexed-tree-or-fenwick-tree-2/" TargetMode="External"/><Relationship Id="rId567" Type="http://schemas.openxmlformats.org/officeDocument/2006/relationships/hyperlink" Target="https://leetcode.com/problems/count-of-smaller-numbers-after-self/" TargetMode="External"/><Relationship Id="rId568" Type="http://schemas.openxmlformats.org/officeDocument/2006/relationships/hyperlink" Target="https://leetcode.com/problems/the-skyline-problem/" TargetMode="External"/><Relationship Id="rId569" Type="http://schemas.openxmlformats.org/officeDocument/2006/relationships/hyperlink" Target="https://www.geeksforgeeks.org/problems/count-the-number-of-subarrays/1" TargetMode="External"/><Relationship Id="rId570" Type="http://schemas.openxmlformats.org/officeDocument/2006/relationships/hyperlink" Target="https://www.geeksforgeeks.org/problems/range-minimum-query/1" TargetMode="External"/><Relationship Id="rId57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7.75" hidden="false" customHeight="true" outlineLevel="0" collapsed="false">
      <c r="B5" s="4" t="s">
        <v>2</v>
      </c>
      <c r="C5" s="5" t="s">
        <v>3</v>
      </c>
    </row>
    <row r="6" customFormat="false" ht="13.5" hidden="false" customHeight="true" outlineLevel="0" collapsed="false">
      <c r="C6" s="5" t="s">
        <v>4</v>
      </c>
    </row>
    <row r="8" customFormat="false" ht="13.5" hidden="false" customHeight="true" outlineLevel="0" collapsed="false">
      <c r="B8" s="4" t="s">
        <v>5</v>
      </c>
      <c r="C8" s="5" t="s">
        <v>6</v>
      </c>
    </row>
    <row r="9" customFormat="false" ht="27.75" hidden="false" customHeight="true" outlineLevel="0" collapsed="false">
      <c r="C9" s="5" t="s">
        <v>7</v>
      </c>
    </row>
    <row r="10" customFormat="false" ht="27.75" hidden="false" customHeight="true" outlineLevel="0" collapsed="false">
      <c r="C10" s="5" t="s">
        <v>8</v>
      </c>
    </row>
    <row r="11" customFormat="false" ht="27.75" hidden="false" customHeight="true" outlineLevel="0" collapsed="false">
      <c r="C11" s="5" t="s">
        <v>9</v>
      </c>
    </row>
    <row r="12" customFormat="false" ht="27.75" hidden="false" customHeight="true" outlineLevel="0" collapsed="false">
      <c r="C12" s="5" t="s">
        <v>10</v>
      </c>
    </row>
    <row r="14" customFormat="false" ht="13.5" hidden="false" customHeight="true" outlineLevel="0" collapsed="false">
      <c r="B14" s="4" t="s">
        <v>11</v>
      </c>
      <c r="C14" s="5" t="s">
        <v>12</v>
      </c>
    </row>
    <row r="15" customFormat="false" ht="13.5" hidden="false" customHeight="true" outlineLevel="0" collapsed="false">
      <c r="C15" s="5" t="s">
        <v>13</v>
      </c>
    </row>
    <row r="16" customFormat="false" ht="13.5" hidden="false" customHeight="true" outlineLevel="0" collapsed="false">
      <c r="C16" s="5" t="s">
        <v>14</v>
      </c>
    </row>
    <row r="17" customFormat="false" ht="13.5" hidden="false" customHeight="true" outlineLevel="0" collapsed="false">
      <c r="C17" s="5" t="s">
        <v>15</v>
      </c>
    </row>
    <row r="18" customFormat="false" ht="13.5" hidden="false" customHeight="true" outlineLevel="0" collapsed="false">
      <c r="C18" s="5" t="s">
        <v>16</v>
      </c>
    </row>
    <row r="19" customFormat="false" ht="13.5" hidden="false" customHeight="true" outlineLevel="0" collapsed="false">
      <c r="C19" s="5" t="s">
        <v>17</v>
      </c>
    </row>
    <row r="21" customFormat="false" ht="27.75" hidden="false" customHeight="true" outlineLevel="0" collapsed="false">
      <c r="B21" s="4" t="s">
        <v>18</v>
      </c>
      <c r="C21" s="5" t="s">
        <v>19</v>
      </c>
    </row>
    <row r="22" customFormat="false" ht="27.75" hidden="false" customHeight="true" outlineLevel="0" collapsed="false">
      <c r="C22" s="5" t="s">
        <v>20</v>
      </c>
    </row>
    <row r="23" customFormat="false" ht="13.5" hidden="false" customHeight="true" outlineLevel="0" collapsed="false">
      <c r="C23" s="5" t="s">
        <v>21</v>
      </c>
    </row>
    <row r="25" customFormat="false" ht="27.75" hidden="false" customHeight="true" outlineLevel="0" collapsed="false">
      <c r="B25" s="4" t="s">
        <v>22</v>
      </c>
      <c r="C25" s="5" t="s">
        <v>23</v>
      </c>
    </row>
    <row r="26" customFormat="false" ht="13.5" hidden="false" customHeight="true" outlineLevel="0" collapsed="false">
      <c r="C26" s="5" t="s">
        <v>24</v>
      </c>
    </row>
    <row r="27" customFormat="false" ht="27.75" hidden="false" customHeight="true" outlineLevel="0" collapsed="false">
      <c r="C27" s="5" t="s">
        <v>25</v>
      </c>
    </row>
    <row r="28" customFormat="false" ht="27.75" hidden="false" customHeight="true" outlineLevel="0" collapsed="false">
      <c r="C28" s="5" t="s">
        <v>26</v>
      </c>
    </row>
    <row r="30" customFormat="false" ht="13.5" hidden="false" customHeight="true" outlineLevel="0" collapsed="false">
      <c r="B30" s="4" t="s">
        <v>27</v>
      </c>
      <c r="C30" s="5" t="s">
        <v>28</v>
      </c>
    </row>
    <row r="31" customFormat="false" ht="13.5" hidden="false" customHeight="true" outlineLevel="0" collapsed="false">
      <c r="C31" s="5" t="s">
        <v>29</v>
      </c>
    </row>
    <row r="32" customFormat="false" ht="13.5" hidden="false" customHeight="true" outlineLevel="0" collapsed="false">
      <c r="C32" s="5" t="s">
        <v>30</v>
      </c>
    </row>
    <row r="33" customFormat="false" ht="27.75" hidden="false" customHeight="true" outlineLevel="0" collapsed="false">
      <c r="C33" s="5" t="s">
        <v>31</v>
      </c>
    </row>
    <row r="35" customFormat="false" ht="27.75" hidden="false" customHeight="true" outlineLevel="0" collapsed="false">
      <c r="B35" s="4" t="s">
        <v>32</v>
      </c>
      <c r="C35" s="5" t="s">
        <v>33</v>
      </c>
    </row>
    <row r="36" customFormat="false" ht="27.75" hidden="false" customHeight="true" outlineLevel="0" collapsed="false">
      <c r="C36" s="5" t="s">
        <v>34</v>
      </c>
    </row>
    <row r="38" customFormat="false" ht="13.5" hidden="false" customHeight="true" outlineLevel="0" collapsed="false">
      <c r="B38" s="4" t="s">
        <v>35</v>
      </c>
      <c r="C38" s="5" t="s">
        <v>36</v>
      </c>
    </row>
    <row r="39" customFormat="false" ht="13.5" hidden="false" customHeight="true" outlineLevel="0" collapsed="false">
      <c r="C39" s="5" t="s">
        <v>37</v>
      </c>
    </row>
    <row r="40" customFormat="false" ht="13.5" hidden="false" customHeight="true" outlineLevel="0" collapsed="false">
      <c r="C40" s="5" t="s">
        <v>38</v>
      </c>
    </row>
    <row r="42" customFormat="false" ht="27.75" hidden="false" customHeight="true" outlineLevel="0" collapsed="false">
      <c r="B42" s="4" t="s">
        <v>39</v>
      </c>
      <c r="C42" s="5" t="s">
        <v>40</v>
      </c>
    </row>
    <row r="43" customFormat="false" ht="27.75" hidden="false" customHeight="true" outlineLevel="0" collapsed="false">
      <c r="C43" s="5" t="s">
        <v>41</v>
      </c>
    </row>
    <row r="45" customFormat="false" ht="27.75" hidden="false" customHeight="true" outlineLevel="0" collapsed="false">
      <c r="B45" s="4" t="s">
        <v>42</v>
      </c>
      <c r="C45" s="5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28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4"/>
    <col collapsed="false" customWidth="true" hidden="false" outlineLevel="0" max="9" min="8" style="1" width="9"/>
  </cols>
  <sheetData>
    <row r="2" customFormat="false" ht="19.5" hidden="false" customHeight="true" outlineLevel="0" collapsed="false">
      <c r="B2" s="2" t="s">
        <v>44</v>
      </c>
    </row>
    <row r="3" customFormat="false" ht="15" hidden="false" customHeight="true" outlineLevel="0" collapsed="false">
      <c r="B3" s="3" t="s">
        <v>45</v>
      </c>
    </row>
    <row r="5" customFormat="false" ht="15" hidden="false" customHeight="true" outlineLevel="0" collapsed="false">
      <c r="B5" s="6" t="s">
        <v>46</v>
      </c>
      <c r="C5" s="7" t="s">
        <v>47</v>
      </c>
      <c r="D5" s="8" t="s">
        <v>48</v>
      </c>
    </row>
    <row r="6" customFormat="false" ht="15" hidden="false" customHeight="true" outlineLevel="0" collapsed="false">
      <c r="B6" s="6" t="s">
        <v>49</v>
      </c>
      <c r="C6" s="9" t="n">
        <v>2</v>
      </c>
    </row>
    <row r="8" customFormat="false" ht="15" hidden="false" customHeight="true" outlineLevel="0" collapsed="false">
      <c r="B8" s="10" t="s">
        <v>50</v>
      </c>
      <c r="C8" s="10" t="s">
        <v>51</v>
      </c>
      <c r="D8" s="10" t="s">
        <v>52</v>
      </c>
      <c r="E8" s="10" t="s">
        <v>53</v>
      </c>
      <c r="F8" s="10" t="s">
        <v>54</v>
      </c>
      <c r="G8" s="10" t="s">
        <v>55</v>
      </c>
      <c r="H8" s="10" t="s">
        <v>56</v>
      </c>
      <c r="I8" s="10" t="s">
        <v>57</v>
      </c>
    </row>
    <row r="9" customFormat="false" ht="15" hidden="false" customHeight="true" outlineLevel="0" collapsed="false">
      <c r="B9" s="6" t="s">
        <v>58</v>
      </c>
      <c r="C9" s="11" t="s">
        <v>59</v>
      </c>
      <c r="D9" s="12" t="n">
        <f aca="false">COUNTIFS(Master!$B$2:$B$571,"01. Basics &amp; Recursion",Master!$F$2:$F$571,"Core")+COUNTIFS(Master!$B$2:$B$571,"02. Arrays &amp; Two Pointers",Master!$F$2:$F$571,"Core")+COUNTIFS(Master!$B$2:$B$571,"03. Sliding Window",Master!$F$2:$F$571,"Core")+COUNTIFS(Master!$B$2:$B$571,"04. Prefix Sum &amp; Kadane",Master!$F$2:$F$571,"Core")+COUNTIFS(Master!$B$2:$B$571,"05. Sorting &amp; Cyclic Sort",Master!$F$2:$F$571,"Core")</f>
        <v>54</v>
      </c>
      <c r="E9" s="12" t="n">
        <f aca="false">$D9</f>
        <v>54</v>
      </c>
      <c r="F9" s="12" t="n">
        <f aca="false">ROUNDUP($E9/$C$6,0)</f>
        <v>27</v>
      </c>
      <c r="G9" s="13" t="n">
        <f aca="false">$C$5+$F9</f>
        <v>46307</v>
      </c>
      <c r="H9" s="12" t="n">
        <f aca="false">COUNTIFS(Master!$B$2:$B$571,"01. Basics &amp; Recursion",Master!$F$2:$F$571,"Core",Master!$I$2:$I$571,"Solved")+COUNTIFS(Master!$B$2:$B$571,"01. Basics &amp; Recursion",Master!$F$2:$F$571,"Core",Master!$I$2:$I$571,"Mastered")+COUNTIFS(Master!$B$2:$B$571,"02. Arrays &amp; Two Pointers",Master!$F$2:$F$571,"Core",Master!$I$2:$I$571,"Solved")+COUNTIFS(Master!$B$2:$B$571,"02. Arrays &amp; Two Pointers",Master!$F$2:$F$571,"Core",Master!$I$2:$I$571,"Mastered")+COUNTIFS(Master!$B$2:$B$571,"03. Sliding Window",Master!$F$2:$F$571,"Core",Master!$I$2:$I$571,"Solved")+COUNTIFS(Master!$B$2:$B$571,"03. Sliding Window",Master!$F$2:$F$571,"Core",Master!$I$2:$I$571,"Mastered")+COUNTIFS(Master!$B$2:$B$571,"04. Prefix Sum &amp; Kadane",Master!$F$2:$F$571,"Core",Master!$I$2:$I$571,"Solved")+COUNTIFS(Master!$B$2:$B$571,"04. Prefix Sum &amp; Kadane",Master!$F$2:$F$571,"Core",Master!$I$2:$I$571,"Mastered")+COUNTIFS(Master!$B$2:$B$571,"05. Sorting &amp; Cyclic Sort",Master!$F$2:$F$571,"Core",Master!$I$2:$I$571,"Solved")+COUNTIFS(Master!$B$2:$B$571,"05. Sorting &amp; Cyclic Sort",Master!$F$2:$F$571,"Core",Master!$I$2:$I$571,"Mastered")</f>
        <v>0</v>
      </c>
      <c r="I9" s="14" t="n">
        <f aca="false">IFERROR($H9/$D9,0)</f>
        <v>0</v>
      </c>
    </row>
    <row r="10" customFormat="false" ht="15" hidden="false" customHeight="true" outlineLevel="0" collapsed="false">
      <c r="B10" s="6" t="s">
        <v>60</v>
      </c>
      <c r="C10" s="11" t="s">
        <v>61</v>
      </c>
      <c r="D10" s="12" t="n">
        <f aca="false">COUNTIFS(Master!$B$2:$B$571,"06. Binary Search",Master!$F$2:$F$571,"Core")+COUNTIFS(Master!$B$2:$B$571,"07. Strings",Master!$F$2:$F$571,"Core")+COUNTIFS(Master!$B$2:$B$571,"08. Hashing",Master!$F$2:$F$571,"Core")+COUNTIFS(Master!$B$2:$B$571,"09. Matrix / 2D",Master!$F$2:$F$571,"Core")</f>
        <v>48</v>
      </c>
      <c r="E10" s="12" t="n">
        <f aca="false">$E9+$D10</f>
        <v>102</v>
      </c>
      <c r="F10" s="12" t="n">
        <f aca="false">ROUNDUP($E10/$C$6,0)</f>
        <v>51</v>
      </c>
      <c r="G10" s="13" t="n">
        <f aca="false">$C$5+$F10</f>
        <v>46331</v>
      </c>
      <c r="H10" s="12" t="n">
        <f aca="false">COUNTIFS(Master!$B$2:$B$571,"06. Binary Search",Master!$F$2:$F$571,"Core",Master!$I$2:$I$571,"Solved")+COUNTIFS(Master!$B$2:$B$571,"06. Binary Search",Master!$F$2:$F$571,"Core",Master!$I$2:$I$571,"Mastered")+COUNTIFS(Master!$B$2:$B$571,"07. Strings",Master!$F$2:$F$571,"Core",Master!$I$2:$I$571,"Solved")+COUNTIFS(Master!$B$2:$B$571,"07. Strings",Master!$F$2:$F$571,"Core",Master!$I$2:$I$571,"Mastered")+COUNTIFS(Master!$B$2:$B$571,"08. Hashing",Master!$F$2:$F$571,"Core",Master!$I$2:$I$571,"Solved")+COUNTIFS(Master!$B$2:$B$571,"08. Hashing",Master!$F$2:$F$571,"Core",Master!$I$2:$I$571,"Mastered")+COUNTIFS(Master!$B$2:$B$571,"09. Matrix / 2D",Master!$F$2:$F$571,"Core",Master!$I$2:$I$571,"Solved")+COUNTIFS(Master!$B$2:$B$571,"09. Matrix / 2D",Master!$F$2:$F$571,"Core",Master!$I$2:$I$571,"Mastered")</f>
        <v>0</v>
      </c>
      <c r="I10" s="14" t="n">
        <f aca="false">IFERROR($H10/$D10,0)</f>
        <v>0</v>
      </c>
    </row>
    <row r="11" customFormat="false" ht="15" hidden="false" customHeight="true" outlineLevel="0" collapsed="false">
      <c r="B11" s="6" t="s">
        <v>62</v>
      </c>
      <c r="C11" s="11" t="s">
        <v>63</v>
      </c>
      <c r="D11" s="12" t="n">
        <f aca="false">COUNTIFS(Master!$B$2:$B$571,"10. Linked List",Master!$F$2:$F$571,"Core")+COUNTIFS(Master!$B$2:$B$571,"11. Stack &amp; Queue",Master!$F$2:$F$571,"Core")+COUNTIFS(Master!$B$2:$B$571,"12. Heap &amp; Priority Queue",Master!$F$2:$F$571,"Core")</f>
        <v>37</v>
      </c>
      <c r="E11" s="12" t="n">
        <f aca="false">$E10+$D11</f>
        <v>139</v>
      </c>
      <c r="F11" s="12" t="n">
        <f aca="false">ROUNDUP($E11/$C$6,0)</f>
        <v>70</v>
      </c>
      <c r="G11" s="13" t="n">
        <f aca="false">$C$5+$F11</f>
        <v>46350</v>
      </c>
      <c r="H11" s="12" t="n">
        <f aca="false">COUNTIFS(Master!$B$2:$B$571,"10. Linked List",Master!$F$2:$F$571,"Core",Master!$I$2:$I$571,"Solved")+COUNTIFS(Master!$B$2:$B$571,"10. Linked List",Master!$F$2:$F$571,"Core",Master!$I$2:$I$571,"Mastered")+COUNTIFS(Master!$B$2:$B$571,"11. Stack &amp; Queue",Master!$F$2:$F$571,"Core",Master!$I$2:$I$571,"Solved")+COUNTIFS(Master!$B$2:$B$571,"11. Stack &amp; Queue",Master!$F$2:$F$571,"Core",Master!$I$2:$I$571,"Mastered")+COUNTIFS(Master!$B$2:$B$571,"12. Heap &amp; Priority Queue",Master!$F$2:$F$571,"Core",Master!$I$2:$I$571,"Solved")+COUNTIFS(Master!$B$2:$B$571,"12. Heap &amp; Priority Queue",Master!$F$2:$F$571,"Core",Master!$I$2:$I$571,"Mastered")</f>
        <v>0</v>
      </c>
      <c r="I11" s="14" t="n">
        <f aca="false">IFERROR($H11/$D11,0)</f>
        <v>0</v>
      </c>
    </row>
    <row r="12" customFormat="false" ht="15" hidden="false" customHeight="true" outlineLevel="0" collapsed="false">
      <c r="B12" s="6" t="s">
        <v>64</v>
      </c>
      <c r="C12" s="11" t="s">
        <v>65</v>
      </c>
      <c r="D12" s="12" t="n">
        <f aca="false">COUNTIFS(Master!$B$2:$B$571,"13. Greedy",Master!$F$2:$F$571,"Core")+COUNTIFS(Master!$B$2:$B$571,"14. Backtracking",Master!$F$2:$F$571,"Core")</f>
        <v>31</v>
      </c>
      <c r="E12" s="12" t="n">
        <f aca="false">$E11+$D12</f>
        <v>170</v>
      </c>
      <c r="F12" s="12" t="n">
        <f aca="false">ROUNDUP($E12/$C$6,0)</f>
        <v>85</v>
      </c>
      <c r="G12" s="13" t="n">
        <f aca="false">$C$5+$F12</f>
        <v>46365</v>
      </c>
      <c r="H12" s="12" t="n">
        <f aca="false">COUNTIFS(Master!$B$2:$B$571,"13. Greedy",Master!$F$2:$F$571,"Core",Master!$I$2:$I$571,"Solved")+COUNTIFS(Master!$B$2:$B$571,"13. Greedy",Master!$F$2:$F$571,"Core",Master!$I$2:$I$571,"Mastered")+COUNTIFS(Master!$B$2:$B$571,"14. Backtracking",Master!$F$2:$F$571,"Core",Master!$I$2:$I$571,"Solved")+COUNTIFS(Master!$B$2:$B$571,"14. Backtracking",Master!$F$2:$F$571,"Core",Master!$I$2:$I$571,"Mastered")</f>
        <v>0</v>
      </c>
      <c r="I12" s="14" t="n">
        <f aca="false">IFERROR($H12/$D12,0)</f>
        <v>0</v>
      </c>
    </row>
    <row r="13" customFormat="false" ht="15" hidden="false" customHeight="true" outlineLevel="0" collapsed="false">
      <c r="B13" s="6" t="s">
        <v>66</v>
      </c>
      <c r="C13" s="11" t="s">
        <v>67</v>
      </c>
      <c r="D13" s="12" t="n">
        <f aca="false">COUNTIFS(Master!$B$2:$B$571,"15. Trees &amp; BST",Master!$F$2:$F$571,"Core")+COUNTIFS(Master!$B$2:$B$571,"16. Tries",Master!$F$2:$F$571,"Core")+COUNTIFS(Master!$B$2:$B$571,"17. Graphs",Master!$F$2:$F$571,"Core")</f>
        <v>61</v>
      </c>
      <c r="E13" s="12" t="n">
        <f aca="false">$E12+$D13</f>
        <v>231</v>
      </c>
      <c r="F13" s="12" t="n">
        <f aca="false">ROUNDUP($E13/$C$6,0)</f>
        <v>116</v>
      </c>
      <c r="G13" s="13" t="n">
        <f aca="false">$C$5+$F13</f>
        <v>46396</v>
      </c>
      <c r="H13" s="12" t="n">
        <f aca="false">COUNTIFS(Master!$B$2:$B$571,"15. Trees &amp; BST",Master!$F$2:$F$571,"Core",Master!$I$2:$I$571,"Solved")+COUNTIFS(Master!$B$2:$B$571,"15. Trees &amp; BST",Master!$F$2:$F$571,"Core",Master!$I$2:$I$571,"Mastered")+COUNTIFS(Master!$B$2:$B$571,"16. Tries",Master!$F$2:$F$571,"Core",Master!$I$2:$I$571,"Solved")+COUNTIFS(Master!$B$2:$B$571,"16. Tries",Master!$F$2:$F$571,"Core",Master!$I$2:$I$571,"Mastered")+COUNTIFS(Master!$B$2:$B$571,"17. Graphs",Master!$F$2:$F$571,"Core",Master!$I$2:$I$571,"Solved")+COUNTIFS(Master!$B$2:$B$571,"17. Graphs",Master!$F$2:$F$571,"Core",Master!$I$2:$I$571,"Mastered")</f>
        <v>0</v>
      </c>
      <c r="I13" s="14" t="n">
        <f aca="false">IFERROR($H13/$D13,0)</f>
        <v>0</v>
      </c>
    </row>
    <row r="14" customFormat="false" ht="15" hidden="false" customHeight="true" outlineLevel="0" collapsed="false">
      <c r="B14" s="6" t="s">
        <v>68</v>
      </c>
      <c r="C14" s="11" t="s">
        <v>69</v>
      </c>
      <c r="D14" s="12" t="n">
        <f aca="false">COUNTIFS(Master!$B$2:$B$571,"18. Dynamic Programming",Master!$F$2:$F$571,"Core")+COUNTIFS(Master!$B$2:$B$571,"19. Bit Manipulation",Master!$F$2:$F$571,"Core")+COUNTIFS(Master!$B$2:$B$571,"20. Math &amp; Number Theory",Master!$F$2:$F$571,"Core")+COUNTIFS(Master!$B$2:$B$571,"21. Intervals",Master!$F$2:$F$571,"Core")+COUNTIFS(Master!$B$2:$B$571,"22. Design",Master!$F$2:$F$571,"Core")+COUNTIFS(Master!$B$2:$B$571,"23. Advanced DS",Master!$F$2:$F$571,"Core")</f>
        <v>64</v>
      </c>
      <c r="E14" s="12" t="n">
        <f aca="false">$E13+$D14</f>
        <v>295</v>
      </c>
      <c r="F14" s="12" t="n">
        <f aca="false">ROUNDUP($E14/$C$6,0)</f>
        <v>148</v>
      </c>
      <c r="G14" s="13" t="n">
        <f aca="false">$C$5+$F14</f>
        <v>46428</v>
      </c>
      <c r="H14" s="12" t="n">
        <f aca="false">COUNTIFS(Master!$B$2:$B$571,"18. Dynamic Programming",Master!$F$2:$F$571,"Core",Master!$I$2:$I$571,"Solved")+COUNTIFS(Master!$B$2:$B$571,"18. Dynamic Programming",Master!$F$2:$F$571,"Core",Master!$I$2:$I$571,"Mastered")+COUNTIFS(Master!$B$2:$B$571,"19. Bit Manipulation",Master!$F$2:$F$571,"Core",Master!$I$2:$I$571,"Solved")+COUNTIFS(Master!$B$2:$B$571,"19. Bit Manipulation",Master!$F$2:$F$571,"Core",Master!$I$2:$I$571,"Mastered")+COUNTIFS(Master!$B$2:$B$571,"20. Math &amp; Number Theory",Master!$F$2:$F$571,"Core",Master!$I$2:$I$571,"Solved")+COUNTIFS(Master!$B$2:$B$571,"20. Math &amp; Number Theory",Master!$F$2:$F$571,"Core",Master!$I$2:$I$571,"Mastered")+COUNTIFS(Master!$B$2:$B$571,"21. Intervals",Master!$F$2:$F$571,"Core",Master!$I$2:$I$571,"Solved")+COUNTIFS(Master!$B$2:$B$571,"21. Intervals",Master!$F$2:$F$571,"Core",Master!$I$2:$I$571,"Mastered")+COUNTIFS(Master!$B$2:$B$571,"22. Design",Master!$F$2:$F$571,"Core",Master!$I$2:$I$571,"Solved")+COUNTIFS(Master!$B$2:$B$571,"22. Design",Master!$F$2:$F$571,"Core",Master!$I$2:$I$571,"Mastered")+COUNTIFS(Master!$B$2:$B$571,"23. Advanced DS",Master!$F$2:$F$571,"Core",Master!$I$2:$I$571,"Solved")+COUNTIFS(Master!$B$2:$B$571,"23. Advanced DS",Master!$F$2:$F$571,"Core",Master!$I$2:$I$571,"Mastered")</f>
        <v>0</v>
      </c>
      <c r="I14" s="14" t="n">
        <f aca="false">IFERROR($H14/$D14,0)</f>
        <v>0</v>
      </c>
    </row>
    <row r="15" customFormat="false" ht="15" hidden="false" customHeight="true" outlineLevel="0" collapsed="false">
      <c r="B15" s="6" t="s">
        <v>70</v>
      </c>
      <c r="D15" s="15" t="n">
        <f aca="false">SUM(D9:D14)</f>
        <v>295</v>
      </c>
      <c r="G15" s="16" t="n">
        <f aca="false">$G14</f>
        <v>46428</v>
      </c>
      <c r="H15" s="15" t="n">
        <f aca="false">SUM(H9:H14)</f>
        <v>0</v>
      </c>
      <c r="I15" s="17" t="n">
        <f aca="false">IFERROR($H15/$D15,0)</f>
        <v>0</v>
      </c>
    </row>
    <row r="17" customFormat="false" ht="15" hidden="false" customHeight="true" outlineLevel="0" collapsed="false">
      <c r="B17" s="18" t="s">
        <v>71</v>
      </c>
    </row>
    <row r="18" customFormat="false" ht="15" hidden="false" customHeight="true" outlineLevel="0" collapsed="false">
      <c r="B18" s="11" t="s">
        <v>72</v>
      </c>
    </row>
    <row r="19" customFormat="false" ht="15" hidden="false" customHeight="true" outlineLevel="0" collapsed="false">
      <c r="B19" s="11" t="s">
        <v>73</v>
      </c>
    </row>
    <row r="20" customFormat="false" ht="15" hidden="false" customHeight="true" outlineLevel="0" collapsed="false">
      <c r="B20" s="11" t="s">
        <v>74</v>
      </c>
    </row>
    <row r="21" customFormat="false" ht="15" hidden="false" customHeight="true" outlineLevel="0" collapsed="false">
      <c r="B21" s="11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E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5"/>
    <col collapsed="false" customWidth="true" hidden="false" outlineLevel="0" max="8" min="8" style="1" width="8"/>
    <col collapsed="false" customWidth="true" hidden="false" outlineLevel="0" max="9" min="9" style="1" width="13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3" min="12" style="1" width="14"/>
    <col collapsed="false" customWidth="true" hidden="false" outlineLevel="0" max="14" min="14" style="1" width="8"/>
    <col collapsed="false" customWidth="true" hidden="false" outlineLevel="0" max="15" min="15" style="1" width="40"/>
  </cols>
  <sheetData>
    <row r="1" customFormat="false" ht="15" hidden="false" customHeight="true" outlineLevel="0" collapsed="false">
      <c r="A1" s="10" t="s">
        <v>76</v>
      </c>
      <c r="B1" s="10" t="s">
        <v>77</v>
      </c>
      <c r="C1" s="10" t="s">
        <v>78</v>
      </c>
      <c r="D1" s="10" t="s">
        <v>79</v>
      </c>
      <c r="E1" s="10" t="s">
        <v>80</v>
      </c>
      <c r="F1" s="10" t="s">
        <v>81</v>
      </c>
      <c r="G1" s="10" t="s">
        <v>82</v>
      </c>
      <c r="H1" s="10" t="s">
        <v>83</v>
      </c>
      <c r="I1" s="10" t="s">
        <v>84</v>
      </c>
      <c r="J1" s="10" t="s">
        <v>85</v>
      </c>
      <c r="K1" s="10" t="s">
        <v>86</v>
      </c>
      <c r="L1" s="10" t="s">
        <v>87</v>
      </c>
      <c r="M1" s="10" t="s">
        <v>88</v>
      </c>
      <c r="N1" s="10" t="s">
        <v>89</v>
      </c>
      <c r="O1" s="10" t="s">
        <v>90</v>
      </c>
    </row>
    <row r="2" customFormat="false" ht="15" hidden="false" customHeight="true" outlineLevel="0" collapsed="false">
      <c r="A2" s="12" t="n">
        <v>1</v>
      </c>
      <c r="B2" s="11" t="s">
        <v>91</v>
      </c>
      <c r="C2" s="11" t="s">
        <v>92</v>
      </c>
      <c r="D2" s="11" t="s">
        <v>93</v>
      </c>
      <c r="E2" s="19" t="s">
        <v>94</v>
      </c>
      <c r="F2" s="19" t="s">
        <v>95</v>
      </c>
      <c r="G2" s="12" t="s">
        <v>96</v>
      </c>
      <c r="H2" s="20" t="s">
        <v>97</v>
      </c>
      <c r="I2" s="19" t="s">
        <v>98</v>
      </c>
      <c r="J2" s="19"/>
      <c r="K2" s="12"/>
      <c r="L2" s="21"/>
      <c r="M2" s="21" t="str">
        <f aca="false">IF($L2="","",$L2+IF($J2="",Dashboard!$M$9,INDEX(Dashboard!$M$5:$M$9,$J2)))</f>
        <v/>
      </c>
      <c r="N2" s="22" t="str">
        <f aca="true">IF(OR($I2="Attempted",$I2="Revisit"),"DUE",IF($M2="","",IF($M2&lt;=TODAY(),"DUE","")))</f>
        <v/>
      </c>
      <c r="O2" s="11"/>
    </row>
    <row r="3" customFormat="false" ht="15" hidden="false" customHeight="true" outlineLevel="0" collapsed="false">
      <c r="A3" s="12" t="n">
        <v>2</v>
      </c>
      <c r="B3" s="11" t="s">
        <v>91</v>
      </c>
      <c r="C3" s="11" t="s">
        <v>92</v>
      </c>
      <c r="D3" s="11" t="s">
        <v>99</v>
      </c>
      <c r="E3" s="19" t="s">
        <v>94</v>
      </c>
      <c r="F3" s="19" t="s">
        <v>95</v>
      </c>
      <c r="G3" s="12" t="s">
        <v>96</v>
      </c>
      <c r="H3" s="20" t="s">
        <v>97</v>
      </c>
      <c r="I3" s="19" t="s">
        <v>98</v>
      </c>
      <c r="J3" s="19"/>
      <c r="K3" s="12"/>
      <c r="L3" s="21"/>
      <c r="M3" s="21" t="str">
        <f aca="false">IF($L3="","",$L3+IF($J3="",Dashboard!$M$9,INDEX(Dashboard!$M$5:$M$9,$J3)))</f>
        <v/>
      </c>
      <c r="N3" s="22" t="str">
        <f aca="true">IF(OR($I3="Attempted",$I3="Revisit"),"DUE",IF($M3="","",IF($M3&lt;=TODAY(),"DUE","")))</f>
        <v/>
      </c>
      <c r="O3" s="11"/>
    </row>
    <row r="4" customFormat="false" ht="15" hidden="false" customHeight="true" outlineLevel="0" collapsed="false">
      <c r="A4" s="12" t="n">
        <v>3</v>
      </c>
      <c r="B4" s="11" t="s">
        <v>91</v>
      </c>
      <c r="C4" s="11" t="s">
        <v>92</v>
      </c>
      <c r="D4" s="11" t="s">
        <v>100</v>
      </c>
      <c r="E4" s="19" t="s">
        <v>94</v>
      </c>
      <c r="F4" s="19" t="s">
        <v>95</v>
      </c>
      <c r="G4" s="12" t="s">
        <v>96</v>
      </c>
      <c r="H4" s="20" t="s">
        <v>97</v>
      </c>
      <c r="I4" s="19" t="s">
        <v>98</v>
      </c>
      <c r="J4" s="19"/>
      <c r="K4" s="12"/>
      <c r="L4" s="21"/>
      <c r="M4" s="21" t="str">
        <f aca="false">IF($L4="","",$L4+IF($J4="",Dashboard!$M$9,INDEX(Dashboard!$M$5:$M$9,$J4)))</f>
        <v/>
      </c>
      <c r="N4" s="22" t="str">
        <f aca="true">IF(OR($I4="Attempted",$I4="Revisit"),"DUE",IF($M4="","",IF($M4&lt;=TODAY(),"DUE","")))</f>
        <v/>
      </c>
      <c r="O4" s="11"/>
    </row>
    <row r="5" customFormat="false" ht="15" hidden="false" customHeight="true" outlineLevel="0" collapsed="false">
      <c r="A5" s="12" t="n">
        <v>4</v>
      </c>
      <c r="B5" s="11" t="s">
        <v>91</v>
      </c>
      <c r="C5" s="11" t="s">
        <v>92</v>
      </c>
      <c r="D5" s="11" t="s">
        <v>101</v>
      </c>
      <c r="E5" s="19" t="s">
        <v>94</v>
      </c>
      <c r="F5" s="19" t="s">
        <v>95</v>
      </c>
      <c r="G5" s="12" t="s">
        <v>96</v>
      </c>
      <c r="H5" s="20" t="s">
        <v>97</v>
      </c>
      <c r="I5" s="19" t="s">
        <v>98</v>
      </c>
      <c r="J5" s="19"/>
      <c r="K5" s="12"/>
      <c r="L5" s="21"/>
      <c r="M5" s="21" t="str">
        <f aca="false">IF($L5="","",$L5+IF($J5="",Dashboard!$M$9,INDEX(Dashboard!$M$5:$M$9,$J5)))</f>
        <v/>
      </c>
      <c r="N5" s="22" t="str">
        <f aca="true">IF(OR($I5="Attempted",$I5="Revisit"),"DUE",IF($M5="","",IF($M5&lt;=TODAY(),"DUE","")))</f>
        <v/>
      </c>
      <c r="O5" s="11"/>
    </row>
    <row r="6" customFormat="false" ht="15" hidden="false" customHeight="true" outlineLevel="0" collapsed="false">
      <c r="A6" s="12" t="n">
        <v>5</v>
      </c>
      <c r="B6" s="11" t="s">
        <v>91</v>
      </c>
      <c r="C6" s="11" t="s">
        <v>92</v>
      </c>
      <c r="D6" s="11" t="s">
        <v>102</v>
      </c>
      <c r="E6" s="19" t="s">
        <v>94</v>
      </c>
      <c r="F6" s="19" t="s">
        <v>95</v>
      </c>
      <c r="G6" s="12" t="s">
        <v>96</v>
      </c>
      <c r="H6" s="20" t="s">
        <v>97</v>
      </c>
      <c r="I6" s="19" t="s">
        <v>98</v>
      </c>
      <c r="J6" s="19"/>
      <c r="K6" s="12"/>
      <c r="L6" s="21"/>
      <c r="M6" s="21" t="str">
        <f aca="false">IF($L6="","",$L6+IF($J6="",Dashboard!$M$9,INDEX(Dashboard!$M$5:$M$9,$J6)))</f>
        <v/>
      </c>
      <c r="N6" s="22" t="str">
        <f aca="true">IF(OR($I6="Attempted",$I6="Revisit"),"DUE",IF($M6="","",IF($M6&lt;=TODAY(),"DUE","")))</f>
        <v/>
      </c>
      <c r="O6" s="11"/>
    </row>
    <row r="7" customFormat="false" ht="15" hidden="false" customHeight="true" outlineLevel="0" collapsed="false">
      <c r="A7" s="12" t="n">
        <v>6</v>
      </c>
      <c r="B7" s="11" t="s">
        <v>91</v>
      </c>
      <c r="C7" s="11" t="s">
        <v>92</v>
      </c>
      <c r="D7" s="11" t="s">
        <v>103</v>
      </c>
      <c r="E7" s="19" t="s">
        <v>94</v>
      </c>
      <c r="F7" s="19" t="s">
        <v>95</v>
      </c>
      <c r="G7" s="12" t="s">
        <v>96</v>
      </c>
      <c r="H7" s="20" t="s">
        <v>97</v>
      </c>
      <c r="I7" s="19" t="s">
        <v>98</v>
      </c>
      <c r="J7" s="19"/>
      <c r="K7" s="12"/>
      <c r="L7" s="21"/>
      <c r="M7" s="21" t="str">
        <f aca="false">IF($L7="","",$L7+IF($J7="",Dashboard!$M$9,INDEX(Dashboard!$M$5:$M$9,$J7)))</f>
        <v/>
      </c>
      <c r="N7" s="22" t="str">
        <f aca="true">IF(OR($I7="Attempted",$I7="Revisit"),"DUE",IF($M7="","",IF($M7&lt;=TODAY(),"DUE","")))</f>
        <v/>
      </c>
      <c r="O7" s="11"/>
    </row>
    <row r="8" customFormat="false" ht="15" hidden="false" customHeight="true" outlineLevel="0" collapsed="false">
      <c r="A8" s="12" t="n">
        <v>7</v>
      </c>
      <c r="B8" s="11" t="s">
        <v>91</v>
      </c>
      <c r="C8" s="11" t="s">
        <v>92</v>
      </c>
      <c r="D8" s="11" t="s">
        <v>104</v>
      </c>
      <c r="E8" s="19" t="s">
        <v>94</v>
      </c>
      <c r="F8" s="19" t="s">
        <v>95</v>
      </c>
      <c r="G8" s="12" t="s">
        <v>96</v>
      </c>
      <c r="H8" s="20" t="s">
        <v>97</v>
      </c>
      <c r="I8" s="19" t="s">
        <v>98</v>
      </c>
      <c r="J8" s="19"/>
      <c r="K8" s="12"/>
      <c r="L8" s="21"/>
      <c r="M8" s="21" t="str">
        <f aca="false">IF($L8="","",$L8+IF($J8="",Dashboard!$M$9,INDEX(Dashboard!$M$5:$M$9,$J8)))</f>
        <v/>
      </c>
      <c r="N8" s="22" t="str">
        <f aca="true">IF(OR($I8="Attempted",$I8="Revisit"),"DUE",IF($M8="","",IF($M8&lt;=TODAY(),"DUE","")))</f>
        <v/>
      </c>
      <c r="O8" s="11"/>
    </row>
    <row r="9" customFormat="false" ht="15" hidden="false" customHeight="true" outlineLevel="0" collapsed="false">
      <c r="A9" s="12" t="n">
        <v>8</v>
      </c>
      <c r="B9" s="11" t="s">
        <v>91</v>
      </c>
      <c r="C9" s="11" t="s">
        <v>92</v>
      </c>
      <c r="D9" s="11" t="s">
        <v>105</v>
      </c>
      <c r="E9" s="19" t="s">
        <v>94</v>
      </c>
      <c r="F9" s="19" t="s">
        <v>95</v>
      </c>
      <c r="G9" s="12" t="s">
        <v>96</v>
      </c>
      <c r="H9" s="20" t="s">
        <v>97</v>
      </c>
      <c r="I9" s="19" t="s">
        <v>98</v>
      </c>
      <c r="J9" s="19"/>
      <c r="K9" s="12"/>
      <c r="L9" s="21"/>
      <c r="M9" s="21" t="str">
        <f aca="false">IF($L9="","",$L9+IF($J9="",Dashboard!$M$9,INDEX(Dashboard!$M$5:$M$9,$J9)))</f>
        <v/>
      </c>
      <c r="N9" s="22" t="str">
        <f aca="true">IF(OR($I9="Attempted",$I9="Revisit"),"DUE",IF($M9="","",IF($M9&lt;=TODAY(),"DUE","")))</f>
        <v/>
      </c>
      <c r="O9" s="11"/>
    </row>
    <row r="10" customFormat="false" ht="15" hidden="false" customHeight="true" outlineLevel="0" collapsed="false">
      <c r="A10" s="12" t="n">
        <v>9</v>
      </c>
      <c r="B10" s="11" t="s">
        <v>91</v>
      </c>
      <c r="C10" s="11" t="s">
        <v>92</v>
      </c>
      <c r="D10" s="11" t="s">
        <v>106</v>
      </c>
      <c r="E10" s="19" t="s">
        <v>94</v>
      </c>
      <c r="F10" s="19" t="s">
        <v>95</v>
      </c>
      <c r="G10" s="12" t="s">
        <v>107</v>
      </c>
      <c r="H10" s="20" t="s">
        <v>97</v>
      </c>
      <c r="I10" s="19" t="s">
        <v>98</v>
      </c>
      <c r="J10" s="19"/>
      <c r="K10" s="12"/>
      <c r="L10" s="21"/>
      <c r="M10" s="21" t="str">
        <f aca="false">IF($L10="","",$L10+IF($J10="",Dashboard!$M$9,INDEX(Dashboard!$M$5:$M$9,$J10)))</f>
        <v/>
      </c>
      <c r="N10" s="22" t="str">
        <f aca="true">IF(OR($I10="Attempted",$I10="Revisit"),"DUE",IF($M10="","",IF($M10&lt;=TODAY(),"DUE","")))</f>
        <v/>
      </c>
      <c r="O10" s="11"/>
    </row>
    <row r="11" customFormat="false" ht="15" hidden="false" customHeight="true" outlineLevel="0" collapsed="false">
      <c r="A11" s="12" t="n">
        <v>10</v>
      </c>
      <c r="B11" s="11" t="s">
        <v>91</v>
      </c>
      <c r="C11" s="11" t="s">
        <v>92</v>
      </c>
      <c r="D11" s="11" t="s">
        <v>108</v>
      </c>
      <c r="E11" s="19" t="s">
        <v>109</v>
      </c>
      <c r="F11" s="19" t="s">
        <v>95</v>
      </c>
      <c r="G11" s="12" t="s">
        <v>107</v>
      </c>
      <c r="H11" s="20" t="s">
        <v>97</v>
      </c>
      <c r="I11" s="19" t="s">
        <v>98</v>
      </c>
      <c r="J11" s="19"/>
      <c r="K11" s="12"/>
      <c r="L11" s="21"/>
      <c r="M11" s="21" t="str">
        <f aca="false">IF($L11="","",$L11+IF($J11="",Dashboard!$M$9,INDEX(Dashboard!$M$5:$M$9,$J11)))</f>
        <v/>
      </c>
      <c r="N11" s="22" t="str">
        <f aca="true">IF(OR($I11="Attempted",$I11="Revisit"),"DUE",IF($M11="","",IF($M11&lt;=TODAY(),"DUE","")))</f>
        <v/>
      </c>
      <c r="O11" s="11"/>
    </row>
    <row r="12" customFormat="false" ht="15" hidden="false" customHeight="true" outlineLevel="0" collapsed="false">
      <c r="A12" s="12" t="n">
        <v>11</v>
      </c>
      <c r="B12" s="11" t="s">
        <v>91</v>
      </c>
      <c r="C12" s="11" t="s">
        <v>110</v>
      </c>
      <c r="D12" s="11" t="s">
        <v>111</v>
      </c>
      <c r="E12" s="19" t="s">
        <v>109</v>
      </c>
      <c r="F12" s="19" t="s">
        <v>95</v>
      </c>
      <c r="G12" s="12" t="s">
        <v>96</v>
      </c>
      <c r="H12" s="20" t="s">
        <v>97</v>
      </c>
      <c r="I12" s="19" t="s">
        <v>98</v>
      </c>
      <c r="J12" s="19"/>
      <c r="K12" s="12"/>
      <c r="L12" s="21"/>
      <c r="M12" s="21" t="str">
        <f aca="false">IF($L12="","",$L12+IF($J12="",Dashboard!$M$9,INDEX(Dashboard!$M$5:$M$9,$J12)))</f>
        <v/>
      </c>
      <c r="N12" s="22" t="str">
        <f aca="true">IF(OR($I12="Attempted",$I12="Revisit"),"DUE",IF($M12="","",IF($M12&lt;=TODAY(),"DUE","")))</f>
        <v/>
      </c>
      <c r="O12" s="11"/>
    </row>
    <row r="13" customFormat="false" ht="15" hidden="false" customHeight="true" outlineLevel="0" collapsed="false">
      <c r="A13" s="12" t="n">
        <v>12</v>
      </c>
      <c r="B13" s="11" t="s">
        <v>91</v>
      </c>
      <c r="C13" s="11" t="s">
        <v>110</v>
      </c>
      <c r="D13" s="11" t="s">
        <v>112</v>
      </c>
      <c r="E13" s="19" t="s">
        <v>109</v>
      </c>
      <c r="F13" s="19" t="s">
        <v>95</v>
      </c>
      <c r="G13" s="12" t="s">
        <v>96</v>
      </c>
      <c r="H13" s="20" t="s">
        <v>97</v>
      </c>
      <c r="I13" s="19" t="s">
        <v>98</v>
      </c>
      <c r="J13" s="19"/>
      <c r="K13" s="12"/>
      <c r="L13" s="21"/>
      <c r="M13" s="21" t="str">
        <f aca="false">IF($L13="","",$L13+IF($J13="",Dashboard!$M$9,INDEX(Dashboard!$M$5:$M$9,$J13)))</f>
        <v/>
      </c>
      <c r="N13" s="22" t="str">
        <f aca="true">IF(OR($I13="Attempted",$I13="Revisit"),"DUE",IF($M13="","",IF($M13&lt;=TODAY(),"DUE","")))</f>
        <v/>
      </c>
      <c r="O13" s="11"/>
    </row>
    <row r="14" customFormat="false" ht="15" hidden="false" customHeight="true" outlineLevel="0" collapsed="false">
      <c r="A14" s="12" t="n">
        <v>13</v>
      </c>
      <c r="B14" s="11" t="s">
        <v>91</v>
      </c>
      <c r="C14" s="11" t="s">
        <v>110</v>
      </c>
      <c r="D14" s="11" t="s">
        <v>113</v>
      </c>
      <c r="E14" s="19" t="s">
        <v>109</v>
      </c>
      <c r="F14" s="19" t="s">
        <v>95</v>
      </c>
      <c r="G14" s="12" t="s">
        <v>96</v>
      </c>
      <c r="H14" s="20" t="s">
        <v>97</v>
      </c>
      <c r="I14" s="19" t="s">
        <v>98</v>
      </c>
      <c r="J14" s="19"/>
      <c r="K14" s="12"/>
      <c r="L14" s="21"/>
      <c r="M14" s="21" t="str">
        <f aca="false">IF($L14="","",$L14+IF($J14="",Dashboard!$M$9,INDEX(Dashboard!$M$5:$M$9,$J14)))</f>
        <v/>
      </c>
      <c r="N14" s="22" t="str">
        <f aca="true">IF(OR($I14="Attempted",$I14="Revisit"),"DUE",IF($M14="","",IF($M14&lt;=TODAY(),"DUE","")))</f>
        <v/>
      </c>
      <c r="O14" s="11"/>
    </row>
    <row r="15" customFormat="false" ht="15" hidden="false" customHeight="true" outlineLevel="0" collapsed="false">
      <c r="A15" s="12" t="n">
        <v>14</v>
      </c>
      <c r="B15" s="11" t="s">
        <v>91</v>
      </c>
      <c r="C15" s="11" t="s">
        <v>110</v>
      </c>
      <c r="D15" s="11" t="s">
        <v>114</v>
      </c>
      <c r="E15" s="19" t="s">
        <v>109</v>
      </c>
      <c r="F15" s="19" t="s">
        <v>95</v>
      </c>
      <c r="G15" s="12" t="s">
        <v>107</v>
      </c>
      <c r="H15" s="20" t="s">
        <v>97</v>
      </c>
      <c r="I15" s="19" t="s">
        <v>98</v>
      </c>
      <c r="J15" s="19"/>
      <c r="K15" s="12"/>
      <c r="L15" s="21"/>
      <c r="M15" s="21" t="str">
        <f aca="false">IF($L15="","",$L15+IF($J15="",Dashboard!$M$9,INDEX(Dashboard!$M$5:$M$9,$J15)))</f>
        <v/>
      </c>
      <c r="N15" s="22" t="str">
        <f aca="true">IF(OR($I15="Attempted",$I15="Revisit"),"DUE",IF($M15="","",IF($M15&lt;=TODAY(),"DUE","")))</f>
        <v/>
      </c>
      <c r="O15" s="11"/>
    </row>
    <row r="16" customFormat="false" ht="15" hidden="false" customHeight="true" outlineLevel="0" collapsed="false">
      <c r="A16" s="12" t="n">
        <v>15</v>
      </c>
      <c r="B16" s="11" t="s">
        <v>91</v>
      </c>
      <c r="C16" s="11" t="s">
        <v>110</v>
      </c>
      <c r="D16" s="11" t="s">
        <v>115</v>
      </c>
      <c r="E16" s="19" t="s">
        <v>94</v>
      </c>
      <c r="F16" s="19" t="s">
        <v>95</v>
      </c>
      <c r="G16" s="12" t="s">
        <v>107</v>
      </c>
      <c r="H16" s="20" t="s">
        <v>97</v>
      </c>
      <c r="I16" s="19" t="s">
        <v>98</v>
      </c>
      <c r="J16" s="19"/>
      <c r="K16" s="12"/>
      <c r="L16" s="21"/>
      <c r="M16" s="21" t="str">
        <f aca="false">IF($L16="","",$L16+IF($J16="",Dashboard!$M$9,INDEX(Dashboard!$M$5:$M$9,$J16)))</f>
        <v/>
      </c>
      <c r="N16" s="22" t="str">
        <f aca="true">IF(OR($I16="Attempted",$I16="Revisit"),"DUE",IF($M16="","",IF($M16&lt;=TODAY(),"DUE","")))</f>
        <v/>
      </c>
      <c r="O16" s="11"/>
    </row>
    <row r="17" customFormat="false" ht="15" hidden="false" customHeight="true" outlineLevel="0" collapsed="false">
      <c r="A17" s="12" t="n">
        <v>16</v>
      </c>
      <c r="B17" s="11" t="s">
        <v>116</v>
      </c>
      <c r="C17" s="11" t="s">
        <v>117</v>
      </c>
      <c r="D17" s="11" t="s">
        <v>118</v>
      </c>
      <c r="E17" s="19" t="s">
        <v>94</v>
      </c>
      <c r="F17" s="19" t="s">
        <v>95</v>
      </c>
      <c r="G17" s="12" t="s">
        <v>107</v>
      </c>
      <c r="H17" s="20" t="s">
        <v>97</v>
      </c>
      <c r="I17" s="19" t="s">
        <v>98</v>
      </c>
      <c r="J17" s="19"/>
      <c r="K17" s="12"/>
      <c r="L17" s="21"/>
      <c r="M17" s="21" t="str">
        <f aca="false">IF($L17="","",$L17+IF($J17="",Dashboard!$M$9,INDEX(Dashboard!$M$5:$M$9,$J17)))</f>
        <v/>
      </c>
      <c r="N17" s="22" t="str">
        <f aca="true">IF(OR($I17="Attempted",$I17="Revisit"),"DUE",IF($M17="","",IF($M17&lt;=TODAY(),"DUE","")))</f>
        <v/>
      </c>
      <c r="O17" s="11"/>
    </row>
    <row r="18" customFormat="false" ht="15" hidden="false" customHeight="true" outlineLevel="0" collapsed="false">
      <c r="A18" s="12" t="n">
        <v>17</v>
      </c>
      <c r="B18" s="11" t="s">
        <v>116</v>
      </c>
      <c r="C18" s="11" t="s">
        <v>119</v>
      </c>
      <c r="D18" s="11" t="s">
        <v>120</v>
      </c>
      <c r="E18" s="19" t="s">
        <v>109</v>
      </c>
      <c r="F18" s="19" t="s">
        <v>121</v>
      </c>
      <c r="G18" s="12" t="s">
        <v>107</v>
      </c>
      <c r="H18" s="20" t="s">
        <v>97</v>
      </c>
      <c r="I18" s="19" t="s">
        <v>98</v>
      </c>
      <c r="J18" s="19"/>
      <c r="K18" s="12"/>
      <c r="L18" s="21"/>
      <c r="M18" s="21" t="str">
        <f aca="false">IF($L18="","",$L18+IF($J18="",Dashboard!$M$9,INDEX(Dashboard!$M$5:$M$9,$J18)))</f>
        <v/>
      </c>
      <c r="N18" s="22" t="str">
        <f aca="true">IF(OR($I18="Attempted",$I18="Revisit"),"DUE",IF($M18="","",IF($M18&lt;=TODAY(),"DUE","")))</f>
        <v/>
      </c>
      <c r="O18" s="11"/>
    </row>
    <row r="19" customFormat="false" ht="15" hidden="false" customHeight="true" outlineLevel="0" collapsed="false">
      <c r="A19" s="12" t="n">
        <v>18</v>
      </c>
      <c r="B19" s="11" t="s">
        <v>116</v>
      </c>
      <c r="C19" s="11" t="s">
        <v>119</v>
      </c>
      <c r="D19" s="11" t="s">
        <v>122</v>
      </c>
      <c r="E19" s="19" t="s">
        <v>94</v>
      </c>
      <c r="F19" s="19" t="s">
        <v>95</v>
      </c>
      <c r="G19" s="12" t="s">
        <v>107</v>
      </c>
      <c r="H19" s="20" t="s">
        <v>97</v>
      </c>
      <c r="I19" s="19" t="s">
        <v>98</v>
      </c>
      <c r="J19" s="19"/>
      <c r="K19" s="12"/>
      <c r="L19" s="21"/>
      <c r="M19" s="21" t="str">
        <f aca="false">IF($L19="","",$L19+IF($J19="",Dashboard!$M$9,INDEX(Dashboard!$M$5:$M$9,$J19)))</f>
        <v/>
      </c>
      <c r="N19" s="22" t="str">
        <f aca="true">IF(OR($I19="Attempted",$I19="Revisit"),"DUE",IF($M19="","",IF($M19&lt;=TODAY(),"DUE","")))</f>
        <v/>
      </c>
      <c r="O19" s="11"/>
    </row>
    <row r="20" customFormat="false" ht="15" hidden="false" customHeight="true" outlineLevel="0" collapsed="false">
      <c r="A20" s="12" t="n">
        <v>19</v>
      </c>
      <c r="B20" s="11" t="s">
        <v>116</v>
      </c>
      <c r="C20" s="11" t="s">
        <v>119</v>
      </c>
      <c r="D20" s="11" t="s">
        <v>123</v>
      </c>
      <c r="E20" s="19" t="s">
        <v>109</v>
      </c>
      <c r="F20" s="19" t="s">
        <v>121</v>
      </c>
      <c r="G20" s="12" t="s">
        <v>107</v>
      </c>
      <c r="H20" s="20" t="s">
        <v>97</v>
      </c>
      <c r="I20" s="19" t="s">
        <v>98</v>
      </c>
      <c r="J20" s="19"/>
      <c r="K20" s="12"/>
      <c r="L20" s="21"/>
      <c r="M20" s="21" t="str">
        <f aca="false">IF($L20="","",$L20+IF($J20="",Dashboard!$M$9,INDEX(Dashboard!$M$5:$M$9,$J20)))</f>
        <v/>
      </c>
      <c r="N20" s="22" t="str">
        <f aca="true">IF(OR($I20="Attempted",$I20="Revisit"),"DUE",IF($M20="","",IF($M20&lt;=TODAY(),"DUE","")))</f>
        <v/>
      </c>
      <c r="O20" s="11"/>
    </row>
    <row r="21" customFormat="false" ht="15" hidden="false" customHeight="true" outlineLevel="0" collapsed="false">
      <c r="A21" s="12" t="n">
        <v>20</v>
      </c>
      <c r="B21" s="11" t="s">
        <v>116</v>
      </c>
      <c r="C21" s="11" t="s">
        <v>119</v>
      </c>
      <c r="D21" s="11" t="s">
        <v>124</v>
      </c>
      <c r="E21" s="19" t="s">
        <v>94</v>
      </c>
      <c r="F21" s="19" t="s">
        <v>95</v>
      </c>
      <c r="G21" s="12" t="s">
        <v>107</v>
      </c>
      <c r="H21" s="20" t="s">
        <v>97</v>
      </c>
      <c r="I21" s="19" t="s">
        <v>98</v>
      </c>
      <c r="J21" s="19"/>
      <c r="K21" s="12"/>
      <c r="L21" s="21"/>
      <c r="M21" s="21" t="str">
        <f aca="false">IF($L21="","",$L21+IF($J21="",Dashboard!$M$9,INDEX(Dashboard!$M$5:$M$9,$J21)))</f>
        <v/>
      </c>
      <c r="N21" s="22" t="str">
        <f aca="true">IF(OR($I21="Attempted",$I21="Revisit"),"DUE",IF($M21="","",IF($M21&lt;=TODAY(),"DUE","")))</f>
        <v/>
      </c>
      <c r="O21" s="11"/>
    </row>
    <row r="22" customFormat="false" ht="15" hidden="false" customHeight="true" outlineLevel="0" collapsed="false">
      <c r="A22" s="12" t="n">
        <v>21</v>
      </c>
      <c r="B22" s="11" t="s">
        <v>116</v>
      </c>
      <c r="C22" s="11" t="s">
        <v>119</v>
      </c>
      <c r="D22" s="11" t="s">
        <v>125</v>
      </c>
      <c r="E22" s="19" t="s">
        <v>94</v>
      </c>
      <c r="F22" s="19" t="s">
        <v>121</v>
      </c>
      <c r="G22" s="12" t="s">
        <v>107</v>
      </c>
      <c r="H22" s="20" t="s">
        <v>97</v>
      </c>
      <c r="I22" s="19" t="s">
        <v>98</v>
      </c>
      <c r="J22" s="19"/>
      <c r="K22" s="12"/>
      <c r="L22" s="21"/>
      <c r="M22" s="21" t="str">
        <f aca="false">IF($L22="","",$L22+IF($J22="",Dashboard!$M$9,INDEX(Dashboard!$M$5:$M$9,$J22)))</f>
        <v/>
      </c>
      <c r="N22" s="22" t="str">
        <f aca="true">IF(OR($I22="Attempted",$I22="Revisit"),"DUE",IF($M22="","",IF($M22&lt;=TODAY(),"DUE","")))</f>
        <v/>
      </c>
      <c r="O22" s="11"/>
    </row>
    <row r="23" customFormat="false" ht="15" hidden="false" customHeight="true" outlineLevel="0" collapsed="false">
      <c r="A23" s="12" t="n">
        <v>22</v>
      </c>
      <c r="B23" s="11" t="s">
        <v>116</v>
      </c>
      <c r="C23" s="11" t="s">
        <v>119</v>
      </c>
      <c r="D23" s="11" t="s">
        <v>126</v>
      </c>
      <c r="E23" s="19" t="s">
        <v>94</v>
      </c>
      <c r="F23" s="19" t="s">
        <v>121</v>
      </c>
      <c r="G23" s="12" t="s">
        <v>107</v>
      </c>
      <c r="H23" s="20" t="s">
        <v>97</v>
      </c>
      <c r="I23" s="19" t="s">
        <v>98</v>
      </c>
      <c r="J23" s="19"/>
      <c r="K23" s="12"/>
      <c r="L23" s="21"/>
      <c r="M23" s="21" t="str">
        <f aca="false">IF($L23="","",$L23+IF($J23="",Dashboard!$M$9,INDEX(Dashboard!$M$5:$M$9,$J23)))</f>
        <v/>
      </c>
      <c r="N23" s="22" t="str">
        <f aca="true">IF(OR($I23="Attempted",$I23="Revisit"),"DUE",IF($M23="","",IF($M23&lt;=TODAY(),"DUE","")))</f>
        <v/>
      </c>
      <c r="O23" s="11"/>
    </row>
    <row r="24" customFormat="false" ht="15" hidden="false" customHeight="true" outlineLevel="0" collapsed="false">
      <c r="A24" s="12" t="n">
        <v>23</v>
      </c>
      <c r="B24" s="11" t="s">
        <v>116</v>
      </c>
      <c r="C24" s="11" t="s">
        <v>119</v>
      </c>
      <c r="D24" s="11" t="s">
        <v>127</v>
      </c>
      <c r="E24" s="19" t="s">
        <v>94</v>
      </c>
      <c r="F24" s="19" t="s">
        <v>121</v>
      </c>
      <c r="G24" s="12" t="s">
        <v>107</v>
      </c>
      <c r="H24" s="20" t="s">
        <v>97</v>
      </c>
      <c r="I24" s="19" t="s">
        <v>98</v>
      </c>
      <c r="J24" s="19"/>
      <c r="K24" s="12"/>
      <c r="L24" s="21"/>
      <c r="M24" s="21" t="str">
        <f aca="false">IF($L24="","",$L24+IF($J24="",Dashboard!$M$9,INDEX(Dashboard!$M$5:$M$9,$J24)))</f>
        <v/>
      </c>
      <c r="N24" s="22" t="str">
        <f aca="true">IF(OR($I24="Attempted",$I24="Revisit"),"DUE",IF($M24="","",IF($M24&lt;=TODAY(),"DUE","")))</f>
        <v/>
      </c>
      <c r="O24" s="11"/>
    </row>
    <row r="25" customFormat="false" ht="15" hidden="false" customHeight="true" outlineLevel="0" collapsed="false">
      <c r="A25" s="12" t="n">
        <v>24</v>
      </c>
      <c r="B25" s="11" t="s">
        <v>116</v>
      </c>
      <c r="C25" s="11" t="s">
        <v>119</v>
      </c>
      <c r="D25" s="11" t="s">
        <v>128</v>
      </c>
      <c r="E25" s="19" t="s">
        <v>94</v>
      </c>
      <c r="F25" s="19" t="s">
        <v>121</v>
      </c>
      <c r="G25" s="12" t="s">
        <v>107</v>
      </c>
      <c r="H25" s="20" t="s">
        <v>97</v>
      </c>
      <c r="I25" s="19" t="s">
        <v>98</v>
      </c>
      <c r="J25" s="19"/>
      <c r="K25" s="12"/>
      <c r="L25" s="21"/>
      <c r="M25" s="21" t="str">
        <f aca="false">IF($L25="","",$L25+IF($J25="",Dashboard!$M$9,INDEX(Dashboard!$M$5:$M$9,$J25)))</f>
        <v/>
      </c>
      <c r="N25" s="22" t="str">
        <f aca="true">IF(OR($I25="Attempted",$I25="Revisit"),"DUE",IF($M25="","",IF($M25&lt;=TODAY(),"DUE","")))</f>
        <v/>
      </c>
      <c r="O25" s="11"/>
    </row>
    <row r="26" customFormat="false" ht="15" hidden="false" customHeight="true" outlineLevel="0" collapsed="false">
      <c r="A26" s="12" t="n">
        <v>25</v>
      </c>
      <c r="B26" s="11" t="s">
        <v>116</v>
      </c>
      <c r="C26" s="11" t="s">
        <v>119</v>
      </c>
      <c r="D26" s="11" t="s">
        <v>129</v>
      </c>
      <c r="E26" s="19" t="s">
        <v>94</v>
      </c>
      <c r="F26" s="19" t="s">
        <v>121</v>
      </c>
      <c r="G26" s="12" t="s">
        <v>107</v>
      </c>
      <c r="H26" s="20" t="s">
        <v>97</v>
      </c>
      <c r="I26" s="19" t="s">
        <v>98</v>
      </c>
      <c r="J26" s="19"/>
      <c r="K26" s="12"/>
      <c r="L26" s="21"/>
      <c r="M26" s="21" t="str">
        <f aca="false">IF($L26="","",$L26+IF($J26="",Dashboard!$M$9,INDEX(Dashboard!$M$5:$M$9,$J26)))</f>
        <v/>
      </c>
      <c r="N26" s="22" t="str">
        <f aca="true">IF(OR($I26="Attempted",$I26="Revisit"),"DUE",IF($M26="","",IF($M26&lt;=TODAY(),"DUE","")))</f>
        <v/>
      </c>
      <c r="O26" s="11"/>
    </row>
    <row r="27" customFormat="false" ht="15" hidden="false" customHeight="true" outlineLevel="0" collapsed="false">
      <c r="A27" s="12" t="n">
        <v>26</v>
      </c>
      <c r="B27" s="11" t="s">
        <v>116</v>
      </c>
      <c r="C27" s="11" t="s">
        <v>130</v>
      </c>
      <c r="D27" s="11" t="s">
        <v>131</v>
      </c>
      <c r="E27" s="19" t="s">
        <v>109</v>
      </c>
      <c r="F27" s="19" t="s">
        <v>95</v>
      </c>
      <c r="G27" s="12" t="s">
        <v>107</v>
      </c>
      <c r="H27" s="20" t="s">
        <v>97</v>
      </c>
      <c r="I27" s="19" t="s">
        <v>98</v>
      </c>
      <c r="J27" s="19"/>
      <c r="K27" s="12"/>
      <c r="L27" s="21"/>
      <c r="M27" s="21" t="str">
        <f aca="false">IF($L27="","",$L27+IF($J27="",Dashboard!$M$9,INDEX(Dashboard!$M$5:$M$9,$J27)))</f>
        <v/>
      </c>
      <c r="N27" s="22" t="str">
        <f aca="true">IF(OR($I27="Attempted",$I27="Revisit"),"DUE",IF($M27="","",IF($M27&lt;=TODAY(),"DUE","")))</f>
        <v/>
      </c>
      <c r="O27" s="11"/>
    </row>
    <row r="28" customFormat="false" ht="15" hidden="false" customHeight="true" outlineLevel="0" collapsed="false">
      <c r="A28" s="12" t="n">
        <v>27</v>
      </c>
      <c r="B28" s="11" t="s">
        <v>116</v>
      </c>
      <c r="C28" s="11" t="s">
        <v>130</v>
      </c>
      <c r="D28" s="11" t="s">
        <v>132</v>
      </c>
      <c r="E28" s="19" t="s">
        <v>94</v>
      </c>
      <c r="F28" s="19" t="s">
        <v>95</v>
      </c>
      <c r="G28" s="12" t="s">
        <v>96</v>
      </c>
      <c r="H28" s="20" t="s">
        <v>97</v>
      </c>
      <c r="I28" s="19" t="s">
        <v>98</v>
      </c>
      <c r="J28" s="19"/>
      <c r="K28" s="12"/>
      <c r="L28" s="21"/>
      <c r="M28" s="21" t="str">
        <f aca="false">IF($L28="","",$L28+IF($J28="",Dashboard!$M$9,INDEX(Dashboard!$M$5:$M$9,$J28)))</f>
        <v/>
      </c>
      <c r="N28" s="22" t="str">
        <f aca="true">IF(OR($I28="Attempted",$I28="Revisit"),"DUE",IF($M28="","",IF($M28&lt;=TODAY(),"DUE","")))</f>
        <v/>
      </c>
      <c r="O28" s="11"/>
    </row>
    <row r="29" customFormat="false" ht="15" hidden="false" customHeight="true" outlineLevel="0" collapsed="false">
      <c r="A29" s="12" t="n">
        <v>28</v>
      </c>
      <c r="B29" s="11" t="s">
        <v>116</v>
      </c>
      <c r="C29" s="11" t="s">
        <v>119</v>
      </c>
      <c r="D29" s="11" t="s">
        <v>133</v>
      </c>
      <c r="E29" s="19" t="s">
        <v>109</v>
      </c>
      <c r="F29" s="19" t="s">
        <v>121</v>
      </c>
      <c r="G29" s="12" t="s">
        <v>107</v>
      </c>
      <c r="H29" s="20" t="s">
        <v>97</v>
      </c>
      <c r="I29" s="19" t="s">
        <v>98</v>
      </c>
      <c r="J29" s="19"/>
      <c r="K29" s="12"/>
      <c r="L29" s="21"/>
      <c r="M29" s="21" t="str">
        <f aca="false">IF($L29="","",$L29+IF($J29="",Dashboard!$M$9,INDEX(Dashboard!$M$5:$M$9,$J29)))</f>
        <v/>
      </c>
      <c r="N29" s="22" t="str">
        <f aca="true">IF(OR($I29="Attempted",$I29="Revisit"),"DUE",IF($M29="","",IF($M29&lt;=TODAY(),"DUE","")))</f>
        <v/>
      </c>
      <c r="O29" s="11"/>
    </row>
    <row r="30" customFormat="false" ht="15" hidden="false" customHeight="true" outlineLevel="0" collapsed="false">
      <c r="A30" s="12" t="n">
        <v>29</v>
      </c>
      <c r="B30" s="11" t="s">
        <v>116</v>
      </c>
      <c r="C30" s="11" t="s">
        <v>119</v>
      </c>
      <c r="D30" s="11" t="s">
        <v>134</v>
      </c>
      <c r="E30" s="19" t="s">
        <v>135</v>
      </c>
      <c r="F30" s="19" t="s">
        <v>136</v>
      </c>
      <c r="G30" s="12" t="s">
        <v>107</v>
      </c>
      <c r="H30" s="20" t="s">
        <v>97</v>
      </c>
      <c r="I30" s="19" t="s">
        <v>98</v>
      </c>
      <c r="J30" s="19"/>
      <c r="K30" s="12"/>
      <c r="L30" s="21"/>
      <c r="M30" s="21" t="str">
        <f aca="false">IF($L30="","",$L30+IF($J30="",Dashboard!$M$9,INDEX(Dashboard!$M$5:$M$9,$J30)))</f>
        <v/>
      </c>
      <c r="N30" s="22" t="str">
        <f aca="true">IF(OR($I30="Attempted",$I30="Revisit"),"DUE",IF($M30="","",IF($M30&lt;=TODAY(),"DUE","")))</f>
        <v/>
      </c>
      <c r="O30" s="11"/>
    </row>
    <row r="31" customFormat="false" ht="15" hidden="false" customHeight="true" outlineLevel="0" collapsed="false">
      <c r="A31" s="12" t="n">
        <v>30</v>
      </c>
      <c r="B31" s="11" t="s">
        <v>116</v>
      </c>
      <c r="C31" s="11" t="s">
        <v>137</v>
      </c>
      <c r="D31" s="11" t="s">
        <v>138</v>
      </c>
      <c r="E31" s="19" t="s">
        <v>109</v>
      </c>
      <c r="F31" s="19" t="s">
        <v>95</v>
      </c>
      <c r="G31" s="12" t="s">
        <v>107</v>
      </c>
      <c r="H31" s="20" t="s">
        <v>97</v>
      </c>
      <c r="I31" s="19" t="s">
        <v>98</v>
      </c>
      <c r="J31" s="19"/>
      <c r="K31" s="12"/>
      <c r="L31" s="21"/>
      <c r="M31" s="21" t="str">
        <f aca="false">IF($L31="","",$L31+IF($J31="",Dashboard!$M$9,INDEX(Dashboard!$M$5:$M$9,$J31)))</f>
        <v/>
      </c>
      <c r="N31" s="22" t="str">
        <f aca="true">IF(OR($I31="Attempted",$I31="Revisit"),"DUE",IF($M31="","",IF($M31&lt;=TODAY(),"DUE","")))</f>
        <v/>
      </c>
      <c r="O31" s="11"/>
    </row>
    <row r="32" customFormat="false" ht="15" hidden="false" customHeight="true" outlineLevel="0" collapsed="false">
      <c r="A32" s="12" t="n">
        <v>31</v>
      </c>
      <c r="B32" s="11" t="s">
        <v>116</v>
      </c>
      <c r="C32" s="11" t="s">
        <v>137</v>
      </c>
      <c r="D32" s="11" t="s">
        <v>139</v>
      </c>
      <c r="E32" s="19" t="s">
        <v>109</v>
      </c>
      <c r="F32" s="19" t="s">
        <v>95</v>
      </c>
      <c r="G32" s="12" t="s">
        <v>107</v>
      </c>
      <c r="H32" s="20" t="s">
        <v>97</v>
      </c>
      <c r="I32" s="19" t="s">
        <v>98</v>
      </c>
      <c r="J32" s="19"/>
      <c r="K32" s="12"/>
      <c r="L32" s="21"/>
      <c r="M32" s="21" t="str">
        <f aca="false">IF($L32="","",$L32+IF($J32="",Dashboard!$M$9,INDEX(Dashboard!$M$5:$M$9,$J32)))</f>
        <v/>
      </c>
      <c r="N32" s="22" t="str">
        <f aca="true">IF(OR($I32="Attempted",$I32="Revisit"),"DUE",IF($M32="","",IF($M32&lt;=TODAY(),"DUE","")))</f>
        <v/>
      </c>
      <c r="O32" s="11"/>
    </row>
    <row r="33" customFormat="false" ht="15" hidden="false" customHeight="true" outlineLevel="0" collapsed="false">
      <c r="A33" s="12" t="n">
        <v>32</v>
      </c>
      <c r="B33" s="11" t="s">
        <v>116</v>
      </c>
      <c r="C33" s="11" t="s">
        <v>137</v>
      </c>
      <c r="D33" s="11" t="s">
        <v>140</v>
      </c>
      <c r="E33" s="19" t="s">
        <v>109</v>
      </c>
      <c r="F33" s="19" t="s">
        <v>121</v>
      </c>
      <c r="G33" s="12" t="s">
        <v>107</v>
      </c>
      <c r="H33" s="20" t="s">
        <v>97</v>
      </c>
      <c r="I33" s="19" t="s">
        <v>98</v>
      </c>
      <c r="J33" s="19"/>
      <c r="K33" s="12"/>
      <c r="L33" s="21"/>
      <c r="M33" s="21" t="str">
        <f aca="false">IF($L33="","",$L33+IF($J33="",Dashboard!$M$9,INDEX(Dashboard!$M$5:$M$9,$J33)))</f>
        <v/>
      </c>
      <c r="N33" s="22" t="str">
        <f aca="true">IF(OR($I33="Attempted",$I33="Revisit"),"DUE",IF($M33="","",IF($M33&lt;=TODAY(),"DUE","")))</f>
        <v/>
      </c>
      <c r="O33" s="11"/>
    </row>
    <row r="34" customFormat="false" ht="15" hidden="false" customHeight="true" outlineLevel="0" collapsed="false">
      <c r="A34" s="12" t="n">
        <v>33</v>
      </c>
      <c r="B34" s="11" t="s">
        <v>116</v>
      </c>
      <c r="C34" s="11" t="s">
        <v>137</v>
      </c>
      <c r="D34" s="11" t="s">
        <v>141</v>
      </c>
      <c r="E34" s="19" t="s">
        <v>109</v>
      </c>
      <c r="F34" s="19" t="s">
        <v>121</v>
      </c>
      <c r="G34" s="12" t="s">
        <v>96</v>
      </c>
      <c r="H34" s="20" t="s">
        <v>97</v>
      </c>
      <c r="I34" s="19" t="s">
        <v>98</v>
      </c>
      <c r="J34" s="19"/>
      <c r="K34" s="12"/>
      <c r="L34" s="21"/>
      <c r="M34" s="21" t="str">
        <f aca="false">IF($L34="","",$L34+IF($J34="",Dashboard!$M$9,INDEX(Dashboard!$M$5:$M$9,$J34)))</f>
        <v/>
      </c>
      <c r="N34" s="22" t="str">
        <f aca="true">IF(OR($I34="Attempted",$I34="Revisit"),"DUE",IF($M34="","",IF($M34&lt;=TODAY(),"DUE","")))</f>
        <v/>
      </c>
      <c r="O34" s="11"/>
    </row>
    <row r="35" customFormat="false" ht="15" hidden="false" customHeight="true" outlineLevel="0" collapsed="false">
      <c r="A35" s="12" t="n">
        <v>34</v>
      </c>
      <c r="B35" s="11" t="s">
        <v>116</v>
      </c>
      <c r="C35" s="11" t="s">
        <v>119</v>
      </c>
      <c r="D35" s="11" t="s">
        <v>142</v>
      </c>
      <c r="E35" s="19" t="s">
        <v>109</v>
      </c>
      <c r="F35" s="19" t="s">
        <v>121</v>
      </c>
      <c r="G35" s="12" t="s">
        <v>107</v>
      </c>
      <c r="H35" s="20" t="s">
        <v>97</v>
      </c>
      <c r="I35" s="19" t="s">
        <v>98</v>
      </c>
      <c r="J35" s="19"/>
      <c r="K35" s="12"/>
      <c r="L35" s="21"/>
      <c r="M35" s="21" t="str">
        <f aca="false">IF($L35="","",$L35+IF($J35="",Dashboard!$M$9,INDEX(Dashboard!$M$5:$M$9,$J35)))</f>
        <v/>
      </c>
      <c r="N35" s="22" t="str">
        <f aca="true">IF(OR($I35="Attempted",$I35="Revisit"),"DUE",IF($M35="","",IF($M35&lt;=TODAY(),"DUE","")))</f>
        <v/>
      </c>
      <c r="O35" s="11"/>
    </row>
    <row r="36" customFormat="false" ht="15" hidden="false" customHeight="true" outlineLevel="0" collapsed="false">
      <c r="A36" s="12" t="n">
        <v>35</v>
      </c>
      <c r="B36" s="11" t="s">
        <v>116</v>
      </c>
      <c r="C36" s="11" t="s">
        <v>119</v>
      </c>
      <c r="D36" s="11" t="s">
        <v>143</v>
      </c>
      <c r="E36" s="19" t="s">
        <v>109</v>
      </c>
      <c r="F36" s="19" t="s">
        <v>121</v>
      </c>
      <c r="G36" s="12" t="s">
        <v>107</v>
      </c>
      <c r="H36" s="20" t="s">
        <v>97</v>
      </c>
      <c r="I36" s="19" t="s">
        <v>98</v>
      </c>
      <c r="J36" s="19"/>
      <c r="K36" s="12"/>
      <c r="L36" s="21"/>
      <c r="M36" s="21" t="str">
        <f aca="false">IF($L36="","",$L36+IF($J36="",Dashboard!$M$9,INDEX(Dashboard!$M$5:$M$9,$J36)))</f>
        <v/>
      </c>
      <c r="N36" s="22" t="str">
        <f aca="true">IF(OR($I36="Attempted",$I36="Revisit"),"DUE",IF($M36="","",IF($M36&lt;=TODAY(),"DUE","")))</f>
        <v/>
      </c>
      <c r="O36" s="11"/>
    </row>
    <row r="37" customFormat="false" ht="15" hidden="false" customHeight="true" outlineLevel="0" collapsed="false">
      <c r="A37" s="12" t="n">
        <v>36</v>
      </c>
      <c r="B37" s="11" t="s">
        <v>116</v>
      </c>
      <c r="C37" s="11" t="s">
        <v>144</v>
      </c>
      <c r="D37" s="11" t="s">
        <v>145</v>
      </c>
      <c r="E37" s="19" t="s">
        <v>109</v>
      </c>
      <c r="F37" s="19" t="s">
        <v>95</v>
      </c>
      <c r="G37" s="12" t="s">
        <v>107</v>
      </c>
      <c r="H37" s="20" t="s">
        <v>97</v>
      </c>
      <c r="I37" s="19" t="s">
        <v>98</v>
      </c>
      <c r="J37" s="19"/>
      <c r="K37" s="12"/>
      <c r="L37" s="21"/>
      <c r="M37" s="21" t="str">
        <f aca="false">IF($L37="","",$L37+IF($J37="",Dashboard!$M$9,INDEX(Dashboard!$M$5:$M$9,$J37)))</f>
        <v/>
      </c>
      <c r="N37" s="22" t="str">
        <f aca="true">IF(OR($I37="Attempted",$I37="Revisit"),"DUE",IF($M37="","",IF($M37&lt;=TODAY(),"DUE","")))</f>
        <v/>
      </c>
      <c r="O37" s="11"/>
    </row>
    <row r="38" customFormat="false" ht="15" hidden="false" customHeight="true" outlineLevel="0" collapsed="false">
      <c r="A38" s="12" t="n">
        <v>37</v>
      </c>
      <c r="B38" s="11" t="s">
        <v>116</v>
      </c>
      <c r="C38" s="11" t="s">
        <v>144</v>
      </c>
      <c r="D38" s="11" t="s">
        <v>146</v>
      </c>
      <c r="E38" s="19" t="s">
        <v>109</v>
      </c>
      <c r="F38" s="19" t="s">
        <v>95</v>
      </c>
      <c r="G38" s="12" t="s">
        <v>107</v>
      </c>
      <c r="H38" s="20" t="s">
        <v>97</v>
      </c>
      <c r="I38" s="19" t="s">
        <v>98</v>
      </c>
      <c r="J38" s="19"/>
      <c r="K38" s="12"/>
      <c r="L38" s="21"/>
      <c r="M38" s="21" t="str">
        <f aca="false">IF($L38="","",$L38+IF($J38="",Dashboard!$M$9,INDEX(Dashboard!$M$5:$M$9,$J38)))</f>
        <v/>
      </c>
      <c r="N38" s="22" t="str">
        <f aca="true">IF(OR($I38="Attempted",$I38="Revisit"),"DUE",IF($M38="","",IF($M38&lt;=TODAY(),"DUE","")))</f>
        <v/>
      </c>
      <c r="O38" s="11"/>
    </row>
    <row r="39" customFormat="false" ht="15" hidden="false" customHeight="true" outlineLevel="0" collapsed="false">
      <c r="A39" s="12" t="n">
        <v>38</v>
      </c>
      <c r="B39" s="11" t="s">
        <v>116</v>
      </c>
      <c r="C39" s="11" t="s">
        <v>144</v>
      </c>
      <c r="D39" s="11" t="s">
        <v>147</v>
      </c>
      <c r="E39" s="19" t="s">
        <v>109</v>
      </c>
      <c r="F39" s="19" t="s">
        <v>121</v>
      </c>
      <c r="G39" s="12" t="s">
        <v>107</v>
      </c>
      <c r="H39" s="20" t="s">
        <v>97</v>
      </c>
      <c r="I39" s="19" t="s">
        <v>98</v>
      </c>
      <c r="J39" s="19"/>
      <c r="K39" s="12"/>
      <c r="L39" s="21"/>
      <c r="M39" s="21" t="str">
        <f aca="false">IF($L39="","",$L39+IF($J39="",Dashboard!$M$9,INDEX(Dashboard!$M$5:$M$9,$J39)))</f>
        <v/>
      </c>
      <c r="N39" s="22" t="str">
        <f aca="true">IF(OR($I39="Attempted",$I39="Revisit"),"DUE",IF($M39="","",IF($M39&lt;=TODAY(),"DUE","")))</f>
        <v/>
      </c>
      <c r="O39" s="11"/>
    </row>
    <row r="40" customFormat="false" ht="15" hidden="false" customHeight="true" outlineLevel="0" collapsed="false">
      <c r="A40" s="12" t="n">
        <v>39</v>
      </c>
      <c r="B40" s="11" t="s">
        <v>116</v>
      </c>
      <c r="C40" s="11" t="s">
        <v>144</v>
      </c>
      <c r="D40" s="11" t="s">
        <v>148</v>
      </c>
      <c r="E40" s="19" t="s">
        <v>109</v>
      </c>
      <c r="F40" s="19" t="s">
        <v>121</v>
      </c>
      <c r="G40" s="12" t="s">
        <v>107</v>
      </c>
      <c r="H40" s="20" t="s">
        <v>97</v>
      </c>
      <c r="I40" s="19" t="s">
        <v>98</v>
      </c>
      <c r="J40" s="19"/>
      <c r="K40" s="12"/>
      <c r="L40" s="21"/>
      <c r="M40" s="21" t="str">
        <f aca="false">IF($L40="","",$L40+IF($J40="",Dashboard!$M$9,INDEX(Dashboard!$M$5:$M$9,$J40)))</f>
        <v/>
      </c>
      <c r="N40" s="22" t="str">
        <f aca="true">IF(OR($I40="Attempted",$I40="Revisit"),"DUE",IF($M40="","",IF($M40&lt;=TODAY(),"DUE","")))</f>
        <v/>
      </c>
      <c r="O40" s="11"/>
    </row>
    <row r="41" customFormat="false" ht="15" hidden="false" customHeight="true" outlineLevel="0" collapsed="false">
      <c r="A41" s="12" t="n">
        <v>40</v>
      </c>
      <c r="B41" s="11" t="s">
        <v>116</v>
      </c>
      <c r="C41" s="11" t="s">
        <v>149</v>
      </c>
      <c r="D41" s="11" t="s">
        <v>150</v>
      </c>
      <c r="E41" s="19" t="s">
        <v>109</v>
      </c>
      <c r="F41" s="19" t="s">
        <v>95</v>
      </c>
      <c r="G41" s="12" t="s">
        <v>107</v>
      </c>
      <c r="H41" s="20" t="s">
        <v>97</v>
      </c>
      <c r="I41" s="19" t="s">
        <v>98</v>
      </c>
      <c r="J41" s="19"/>
      <c r="K41" s="12"/>
      <c r="L41" s="21"/>
      <c r="M41" s="21" t="str">
        <f aca="false">IF($L41="","",$L41+IF($J41="",Dashboard!$M$9,INDEX(Dashboard!$M$5:$M$9,$J41)))</f>
        <v/>
      </c>
      <c r="N41" s="22" t="str">
        <f aca="true">IF(OR($I41="Attempted",$I41="Revisit"),"DUE",IF($M41="","",IF($M41&lt;=TODAY(),"DUE","")))</f>
        <v/>
      </c>
      <c r="O41" s="11"/>
    </row>
    <row r="42" customFormat="false" ht="15" hidden="false" customHeight="true" outlineLevel="0" collapsed="false">
      <c r="A42" s="12" t="n">
        <v>41</v>
      </c>
      <c r="B42" s="11" t="s">
        <v>116</v>
      </c>
      <c r="C42" s="11" t="s">
        <v>119</v>
      </c>
      <c r="D42" s="11" t="s">
        <v>151</v>
      </c>
      <c r="E42" s="19" t="s">
        <v>109</v>
      </c>
      <c r="F42" s="19" t="s">
        <v>121</v>
      </c>
      <c r="G42" s="12" t="s">
        <v>107</v>
      </c>
      <c r="H42" s="20" t="s">
        <v>97</v>
      </c>
      <c r="I42" s="19" t="s">
        <v>98</v>
      </c>
      <c r="J42" s="19"/>
      <c r="K42" s="12"/>
      <c r="L42" s="21"/>
      <c r="M42" s="21" t="str">
        <f aca="false">IF($L42="","",$L42+IF($J42="",Dashboard!$M$9,INDEX(Dashboard!$M$5:$M$9,$J42)))</f>
        <v/>
      </c>
      <c r="N42" s="22" t="str">
        <f aca="true">IF(OR($I42="Attempted",$I42="Revisit"),"DUE",IF($M42="","",IF($M42&lt;=TODAY(),"DUE","")))</f>
        <v/>
      </c>
      <c r="O42" s="11"/>
    </row>
    <row r="43" customFormat="false" ht="15" hidden="false" customHeight="true" outlineLevel="0" collapsed="false">
      <c r="A43" s="12" t="n">
        <v>42</v>
      </c>
      <c r="B43" s="11" t="s">
        <v>116</v>
      </c>
      <c r="C43" s="11" t="s">
        <v>119</v>
      </c>
      <c r="D43" s="11" t="s">
        <v>152</v>
      </c>
      <c r="E43" s="19" t="s">
        <v>94</v>
      </c>
      <c r="F43" s="19" t="s">
        <v>121</v>
      </c>
      <c r="G43" s="12" t="s">
        <v>107</v>
      </c>
      <c r="H43" s="20" t="s">
        <v>97</v>
      </c>
      <c r="I43" s="19" t="s">
        <v>98</v>
      </c>
      <c r="J43" s="19"/>
      <c r="K43" s="12"/>
      <c r="L43" s="21"/>
      <c r="M43" s="21" t="str">
        <f aca="false">IF($L43="","",$L43+IF($J43="",Dashboard!$M$9,INDEX(Dashboard!$M$5:$M$9,$J43)))</f>
        <v/>
      </c>
      <c r="N43" s="22" t="str">
        <f aca="true">IF(OR($I43="Attempted",$I43="Revisit"),"DUE",IF($M43="","",IF($M43&lt;=TODAY(),"DUE","")))</f>
        <v/>
      </c>
      <c r="O43" s="11"/>
    </row>
    <row r="44" customFormat="false" ht="15" hidden="false" customHeight="true" outlineLevel="0" collapsed="false">
      <c r="A44" s="12" t="n">
        <v>43</v>
      </c>
      <c r="B44" s="11" t="s">
        <v>116</v>
      </c>
      <c r="C44" s="11" t="s">
        <v>117</v>
      </c>
      <c r="D44" s="11" t="s">
        <v>153</v>
      </c>
      <c r="E44" s="19" t="s">
        <v>94</v>
      </c>
      <c r="F44" s="19" t="s">
        <v>95</v>
      </c>
      <c r="G44" s="12" t="s">
        <v>107</v>
      </c>
      <c r="H44" s="20" t="s">
        <v>97</v>
      </c>
      <c r="I44" s="19" t="s">
        <v>98</v>
      </c>
      <c r="J44" s="19"/>
      <c r="K44" s="12"/>
      <c r="L44" s="21"/>
      <c r="M44" s="21" t="str">
        <f aca="false">IF($L44="","",$L44+IF($J44="",Dashboard!$M$9,INDEX(Dashboard!$M$5:$M$9,$J44)))</f>
        <v/>
      </c>
      <c r="N44" s="22" t="str">
        <f aca="true">IF(OR($I44="Attempted",$I44="Revisit"),"DUE",IF($M44="","",IF($M44&lt;=TODAY(),"DUE","")))</f>
        <v/>
      </c>
      <c r="O44" s="11"/>
    </row>
    <row r="45" customFormat="false" ht="15" hidden="false" customHeight="true" outlineLevel="0" collapsed="false">
      <c r="A45" s="12" t="n">
        <v>44</v>
      </c>
      <c r="B45" s="11" t="s">
        <v>154</v>
      </c>
      <c r="C45" s="11" t="s">
        <v>155</v>
      </c>
      <c r="D45" s="11" t="s">
        <v>156</v>
      </c>
      <c r="E45" s="19" t="s">
        <v>94</v>
      </c>
      <c r="F45" s="19" t="s">
        <v>95</v>
      </c>
      <c r="G45" s="12" t="s">
        <v>107</v>
      </c>
      <c r="H45" s="20" t="s">
        <v>97</v>
      </c>
      <c r="I45" s="19" t="s">
        <v>98</v>
      </c>
      <c r="J45" s="19"/>
      <c r="K45" s="12"/>
      <c r="L45" s="21"/>
      <c r="M45" s="21" t="str">
        <f aca="false">IF($L45="","",$L45+IF($J45="",Dashboard!$M$9,INDEX(Dashboard!$M$5:$M$9,$J45)))</f>
        <v/>
      </c>
      <c r="N45" s="22" t="str">
        <f aca="true">IF(OR($I45="Attempted",$I45="Revisit"),"DUE",IF($M45="","",IF($M45&lt;=TODAY(),"DUE","")))</f>
        <v/>
      </c>
      <c r="O45" s="11"/>
    </row>
    <row r="46" customFormat="false" ht="15" hidden="false" customHeight="true" outlineLevel="0" collapsed="false">
      <c r="A46" s="12" t="n">
        <v>45</v>
      </c>
      <c r="B46" s="11" t="s">
        <v>154</v>
      </c>
      <c r="C46" s="11" t="s">
        <v>155</v>
      </c>
      <c r="D46" s="11" t="s">
        <v>157</v>
      </c>
      <c r="E46" s="19" t="s">
        <v>94</v>
      </c>
      <c r="F46" s="19" t="s">
        <v>95</v>
      </c>
      <c r="G46" s="12" t="s">
        <v>96</v>
      </c>
      <c r="H46" s="20" t="s">
        <v>97</v>
      </c>
      <c r="I46" s="19" t="s">
        <v>98</v>
      </c>
      <c r="J46" s="19"/>
      <c r="K46" s="12"/>
      <c r="L46" s="21"/>
      <c r="M46" s="21" t="str">
        <f aca="false">IF($L46="","",$L46+IF($J46="",Dashboard!$M$9,INDEX(Dashboard!$M$5:$M$9,$J46)))</f>
        <v/>
      </c>
      <c r="N46" s="22" t="str">
        <f aca="true">IF(OR($I46="Attempted",$I46="Revisit"),"DUE",IF($M46="","",IF($M46&lt;=TODAY(),"DUE","")))</f>
        <v/>
      </c>
      <c r="O46" s="11"/>
    </row>
    <row r="47" customFormat="false" ht="15" hidden="false" customHeight="true" outlineLevel="0" collapsed="false">
      <c r="A47" s="12" t="n">
        <v>46</v>
      </c>
      <c r="B47" s="11" t="s">
        <v>154</v>
      </c>
      <c r="C47" s="11" t="s">
        <v>155</v>
      </c>
      <c r="D47" s="11" t="s">
        <v>158</v>
      </c>
      <c r="E47" s="19" t="s">
        <v>109</v>
      </c>
      <c r="F47" s="19" t="s">
        <v>121</v>
      </c>
      <c r="G47" s="12" t="s">
        <v>107</v>
      </c>
      <c r="H47" s="20" t="s">
        <v>97</v>
      </c>
      <c r="I47" s="19" t="s">
        <v>98</v>
      </c>
      <c r="J47" s="19"/>
      <c r="K47" s="12"/>
      <c r="L47" s="21"/>
      <c r="M47" s="21" t="str">
        <f aca="false">IF($L47="","",$L47+IF($J47="",Dashboard!$M$9,INDEX(Dashboard!$M$5:$M$9,$J47)))</f>
        <v/>
      </c>
      <c r="N47" s="22" t="str">
        <f aca="true">IF(OR($I47="Attempted",$I47="Revisit"),"DUE",IF($M47="","",IF($M47&lt;=TODAY(),"DUE","")))</f>
        <v/>
      </c>
      <c r="O47" s="11"/>
    </row>
    <row r="48" customFormat="false" ht="15" hidden="false" customHeight="true" outlineLevel="0" collapsed="false">
      <c r="A48" s="12" t="n">
        <v>47</v>
      </c>
      <c r="B48" s="11" t="s">
        <v>154</v>
      </c>
      <c r="C48" s="11" t="s">
        <v>159</v>
      </c>
      <c r="D48" s="11" t="s">
        <v>160</v>
      </c>
      <c r="E48" s="19" t="s">
        <v>109</v>
      </c>
      <c r="F48" s="19" t="s">
        <v>95</v>
      </c>
      <c r="G48" s="12" t="s">
        <v>107</v>
      </c>
      <c r="H48" s="20" t="s">
        <v>97</v>
      </c>
      <c r="I48" s="19" t="s">
        <v>98</v>
      </c>
      <c r="J48" s="19"/>
      <c r="K48" s="12"/>
      <c r="L48" s="21"/>
      <c r="M48" s="21" t="str">
        <f aca="false">IF($L48="","",$L48+IF($J48="",Dashboard!$M$9,INDEX(Dashboard!$M$5:$M$9,$J48)))</f>
        <v/>
      </c>
      <c r="N48" s="22" t="str">
        <f aca="true">IF(OR($I48="Attempted",$I48="Revisit"),"DUE",IF($M48="","",IF($M48&lt;=TODAY(),"DUE","")))</f>
        <v/>
      </c>
      <c r="O48" s="11"/>
    </row>
    <row r="49" customFormat="false" ht="15" hidden="false" customHeight="true" outlineLevel="0" collapsed="false">
      <c r="A49" s="12" t="n">
        <v>48</v>
      </c>
      <c r="B49" s="11" t="s">
        <v>154</v>
      </c>
      <c r="C49" s="11" t="s">
        <v>159</v>
      </c>
      <c r="D49" s="11" t="s">
        <v>161</v>
      </c>
      <c r="E49" s="19" t="s">
        <v>109</v>
      </c>
      <c r="F49" s="19" t="s">
        <v>95</v>
      </c>
      <c r="G49" s="12" t="s">
        <v>107</v>
      </c>
      <c r="H49" s="20" t="s">
        <v>97</v>
      </c>
      <c r="I49" s="19" t="s">
        <v>98</v>
      </c>
      <c r="J49" s="19"/>
      <c r="K49" s="12"/>
      <c r="L49" s="21"/>
      <c r="M49" s="21" t="str">
        <f aca="false">IF($L49="","",$L49+IF($J49="",Dashboard!$M$9,INDEX(Dashboard!$M$5:$M$9,$J49)))</f>
        <v/>
      </c>
      <c r="N49" s="22" t="str">
        <f aca="true">IF(OR($I49="Attempted",$I49="Revisit"),"DUE",IF($M49="","",IF($M49&lt;=TODAY(),"DUE","")))</f>
        <v/>
      </c>
      <c r="O49" s="11"/>
    </row>
    <row r="50" customFormat="false" ht="15" hidden="false" customHeight="true" outlineLevel="0" collapsed="false">
      <c r="A50" s="12" t="n">
        <v>49</v>
      </c>
      <c r="B50" s="11" t="s">
        <v>154</v>
      </c>
      <c r="C50" s="11" t="s">
        <v>159</v>
      </c>
      <c r="D50" s="11" t="s">
        <v>162</v>
      </c>
      <c r="E50" s="19" t="s">
        <v>109</v>
      </c>
      <c r="F50" s="19" t="s">
        <v>121</v>
      </c>
      <c r="G50" s="12" t="s">
        <v>107</v>
      </c>
      <c r="H50" s="20" t="s">
        <v>97</v>
      </c>
      <c r="I50" s="19" t="s">
        <v>98</v>
      </c>
      <c r="J50" s="19"/>
      <c r="K50" s="12"/>
      <c r="L50" s="21"/>
      <c r="M50" s="21" t="str">
        <f aca="false">IF($L50="","",$L50+IF($J50="",Dashboard!$M$9,INDEX(Dashboard!$M$5:$M$9,$J50)))</f>
        <v/>
      </c>
      <c r="N50" s="22" t="str">
        <f aca="true">IF(OR($I50="Attempted",$I50="Revisit"),"DUE",IF($M50="","",IF($M50&lt;=TODAY(),"DUE","")))</f>
        <v/>
      </c>
      <c r="O50" s="11"/>
    </row>
    <row r="51" customFormat="false" ht="15" hidden="false" customHeight="true" outlineLevel="0" collapsed="false">
      <c r="A51" s="12" t="n">
        <v>50</v>
      </c>
      <c r="B51" s="11" t="s">
        <v>154</v>
      </c>
      <c r="C51" s="11" t="s">
        <v>159</v>
      </c>
      <c r="D51" s="11" t="s">
        <v>163</v>
      </c>
      <c r="E51" s="19" t="s">
        <v>109</v>
      </c>
      <c r="F51" s="19" t="s">
        <v>121</v>
      </c>
      <c r="G51" s="12" t="s">
        <v>107</v>
      </c>
      <c r="H51" s="20" t="s">
        <v>97</v>
      </c>
      <c r="I51" s="19" t="s">
        <v>98</v>
      </c>
      <c r="J51" s="19"/>
      <c r="K51" s="12"/>
      <c r="L51" s="21"/>
      <c r="M51" s="21" t="str">
        <f aca="false">IF($L51="","",$L51+IF($J51="",Dashboard!$M$9,INDEX(Dashboard!$M$5:$M$9,$J51)))</f>
        <v/>
      </c>
      <c r="N51" s="22" t="str">
        <f aca="true">IF(OR($I51="Attempted",$I51="Revisit"),"DUE",IF($M51="","",IF($M51&lt;=TODAY(),"DUE","")))</f>
        <v/>
      </c>
      <c r="O51" s="11"/>
    </row>
    <row r="52" customFormat="false" ht="15" hidden="false" customHeight="true" outlineLevel="0" collapsed="false">
      <c r="A52" s="12" t="n">
        <v>51</v>
      </c>
      <c r="B52" s="11" t="s">
        <v>154</v>
      </c>
      <c r="C52" s="11" t="s">
        <v>159</v>
      </c>
      <c r="D52" s="11" t="s">
        <v>164</v>
      </c>
      <c r="E52" s="19" t="s">
        <v>109</v>
      </c>
      <c r="F52" s="19" t="s">
        <v>121</v>
      </c>
      <c r="G52" s="12" t="s">
        <v>107</v>
      </c>
      <c r="H52" s="20" t="s">
        <v>97</v>
      </c>
      <c r="I52" s="19" t="s">
        <v>98</v>
      </c>
      <c r="J52" s="19"/>
      <c r="K52" s="12"/>
      <c r="L52" s="21"/>
      <c r="M52" s="21" t="str">
        <f aca="false">IF($L52="","",$L52+IF($J52="",Dashboard!$M$9,INDEX(Dashboard!$M$5:$M$9,$J52)))</f>
        <v/>
      </c>
      <c r="N52" s="22" t="str">
        <f aca="true">IF(OR($I52="Attempted",$I52="Revisit"),"DUE",IF($M52="","",IF($M52&lt;=TODAY(),"DUE","")))</f>
        <v/>
      </c>
      <c r="O52" s="11"/>
    </row>
    <row r="53" customFormat="false" ht="15" hidden="false" customHeight="true" outlineLevel="0" collapsed="false">
      <c r="A53" s="12" t="n">
        <v>52</v>
      </c>
      <c r="B53" s="11" t="s">
        <v>154</v>
      </c>
      <c r="C53" s="11" t="s">
        <v>159</v>
      </c>
      <c r="D53" s="11" t="s">
        <v>165</v>
      </c>
      <c r="E53" s="19" t="s">
        <v>109</v>
      </c>
      <c r="F53" s="19" t="s">
        <v>121</v>
      </c>
      <c r="G53" s="12" t="s">
        <v>96</v>
      </c>
      <c r="H53" s="20" t="s">
        <v>97</v>
      </c>
      <c r="I53" s="19" t="s">
        <v>98</v>
      </c>
      <c r="J53" s="19"/>
      <c r="K53" s="12"/>
      <c r="L53" s="21"/>
      <c r="M53" s="21" t="str">
        <f aca="false">IF($L53="","",$L53+IF($J53="",Dashboard!$M$9,INDEX(Dashboard!$M$5:$M$9,$J53)))</f>
        <v/>
      </c>
      <c r="N53" s="22" t="str">
        <f aca="true">IF(OR($I53="Attempted",$I53="Revisit"),"DUE",IF($M53="","",IF($M53&lt;=TODAY(),"DUE","")))</f>
        <v/>
      </c>
      <c r="O53" s="11"/>
    </row>
    <row r="54" customFormat="false" ht="15" hidden="false" customHeight="true" outlineLevel="0" collapsed="false">
      <c r="A54" s="12" t="n">
        <v>53</v>
      </c>
      <c r="B54" s="11" t="s">
        <v>154</v>
      </c>
      <c r="C54" s="11" t="s">
        <v>159</v>
      </c>
      <c r="D54" s="11" t="s">
        <v>166</v>
      </c>
      <c r="E54" s="19" t="s">
        <v>109</v>
      </c>
      <c r="F54" s="19" t="s">
        <v>121</v>
      </c>
      <c r="G54" s="12" t="s">
        <v>107</v>
      </c>
      <c r="H54" s="20" t="s">
        <v>97</v>
      </c>
      <c r="I54" s="19" t="s">
        <v>98</v>
      </c>
      <c r="J54" s="19"/>
      <c r="K54" s="12"/>
      <c r="L54" s="21"/>
      <c r="M54" s="21" t="str">
        <f aca="false">IF($L54="","",$L54+IF($J54="",Dashboard!$M$9,INDEX(Dashboard!$M$5:$M$9,$J54)))</f>
        <v/>
      </c>
      <c r="N54" s="22" t="str">
        <f aca="true">IF(OR($I54="Attempted",$I54="Revisit"),"DUE",IF($M54="","",IF($M54&lt;=TODAY(),"DUE","")))</f>
        <v/>
      </c>
      <c r="O54" s="11"/>
    </row>
    <row r="55" customFormat="false" ht="15" hidden="false" customHeight="true" outlineLevel="0" collapsed="false">
      <c r="A55" s="12" t="n">
        <v>54</v>
      </c>
      <c r="B55" s="11" t="s">
        <v>154</v>
      </c>
      <c r="C55" s="11" t="s">
        <v>159</v>
      </c>
      <c r="D55" s="11" t="s">
        <v>167</v>
      </c>
      <c r="E55" s="19" t="s">
        <v>109</v>
      </c>
      <c r="F55" s="19" t="s">
        <v>121</v>
      </c>
      <c r="G55" s="12" t="s">
        <v>107</v>
      </c>
      <c r="H55" s="20" t="s">
        <v>97</v>
      </c>
      <c r="I55" s="19" t="s">
        <v>98</v>
      </c>
      <c r="J55" s="19"/>
      <c r="K55" s="12"/>
      <c r="L55" s="21"/>
      <c r="M55" s="21" t="str">
        <f aca="false">IF($L55="","",$L55+IF($J55="",Dashboard!$M$9,INDEX(Dashboard!$M$5:$M$9,$J55)))</f>
        <v/>
      </c>
      <c r="N55" s="22" t="str">
        <f aca="true">IF(OR($I55="Attempted",$I55="Revisit"),"DUE",IF($M55="","",IF($M55&lt;=TODAY(),"DUE","")))</f>
        <v/>
      </c>
      <c r="O55" s="11"/>
    </row>
    <row r="56" customFormat="false" ht="15" hidden="false" customHeight="true" outlineLevel="0" collapsed="false">
      <c r="A56" s="12" t="n">
        <v>55</v>
      </c>
      <c r="B56" s="11" t="s">
        <v>154</v>
      </c>
      <c r="C56" s="11" t="s">
        <v>168</v>
      </c>
      <c r="D56" s="11" t="s">
        <v>169</v>
      </c>
      <c r="E56" s="19" t="s">
        <v>109</v>
      </c>
      <c r="F56" s="19" t="s">
        <v>95</v>
      </c>
      <c r="G56" s="12" t="s">
        <v>107</v>
      </c>
      <c r="H56" s="20" t="s">
        <v>97</v>
      </c>
      <c r="I56" s="19" t="s">
        <v>98</v>
      </c>
      <c r="J56" s="19"/>
      <c r="K56" s="12"/>
      <c r="L56" s="21"/>
      <c r="M56" s="21" t="str">
        <f aca="false">IF($L56="","",$L56+IF($J56="",Dashboard!$M$9,INDEX(Dashboard!$M$5:$M$9,$J56)))</f>
        <v/>
      </c>
      <c r="N56" s="22" t="str">
        <f aca="true">IF(OR($I56="Attempted",$I56="Revisit"),"DUE",IF($M56="","",IF($M56&lt;=TODAY(),"DUE","")))</f>
        <v/>
      </c>
      <c r="O56" s="11"/>
    </row>
    <row r="57" customFormat="false" ht="15" hidden="false" customHeight="true" outlineLevel="0" collapsed="false">
      <c r="A57" s="12" t="n">
        <v>56</v>
      </c>
      <c r="B57" s="11" t="s">
        <v>154</v>
      </c>
      <c r="C57" s="11" t="s">
        <v>168</v>
      </c>
      <c r="D57" s="11" t="s">
        <v>170</v>
      </c>
      <c r="E57" s="19" t="s">
        <v>109</v>
      </c>
      <c r="F57" s="19" t="s">
        <v>95</v>
      </c>
      <c r="G57" s="12" t="s">
        <v>107</v>
      </c>
      <c r="H57" s="20" t="s">
        <v>97</v>
      </c>
      <c r="I57" s="19" t="s">
        <v>98</v>
      </c>
      <c r="J57" s="19"/>
      <c r="K57" s="12"/>
      <c r="L57" s="21"/>
      <c r="M57" s="21" t="str">
        <f aca="false">IF($L57="","",$L57+IF($J57="",Dashboard!$M$9,INDEX(Dashboard!$M$5:$M$9,$J57)))</f>
        <v/>
      </c>
      <c r="N57" s="22" t="str">
        <f aca="true">IF(OR($I57="Attempted",$I57="Revisit"),"DUE",IF($M57="","",IF($M57&lt;=TODAY(),"DUE","")))</f>
        <v/>
      </c>
      <c r="O57" s="11"/>
    </row>
    <row r="58" customFormat="false" ht="15" hidden="false" customHeight="true" outlineLevel="0" collapsed="false">
      <c r="A58" s="12" t="n">
        <v>57</v>
      </c>
      <c r="B58" s="11" t="s">
        <v>154</v>
      </c>
      <c r="C58" s="11" t="s">
        <v>171</v>
      </c>
      <c r="D58" s="11" t="s">
        <v>172</v>
      </c>
      <c r="E58" s="19" t="s">
        <v>109</v>
      </c>
      <c r="F58" s="19" t="s">
        <v>95</v>
      </c>
      <c r="G58" s="12" t="s">
        <v>107</v>
      </c>
      <c r="H58" s="20" t="s">
        <v>97</v>
      </c>
      <c r="I58" s="19" t="s">
        <v>98</v>
      </c>
      <c r="J58" s="19"/>
      <c r="K58" s="12"/>
      <c r="L58" s="21"/>
      <c r="M58" s="21" t="str">
        <f aca="false">IF($L58="","",$L58+IF($J58="",Dashboard!$M$9,INDEX(Dashboard!$M$5:$M$9,$J58)))</f>
        <v/>
      </c>
      <c r="N58" s="22" t="str">
        <f aca="true">IF(OR($I58="Attempted",$I58="Revisit"),"DUE",IF($M58="","",IF($M58&lt;=TODAY(),"DUE","")))</f>
        <v/>
      </c>
      <c r="O58" s="11"/>
    </row>
    <row r="59" customFormat="false" ht="15" hidden="false" customHeight="true" outlineLevel="0" collapsed="false">
      <c r="A59" s="12" t="n">
        <v>58</v>
      </c>
      <c r="B59" s="11" t="s">
        <v>154</v>
      </c>
      <c r="C59" s="11" t="s">
        <v>171</v>
      </c>
      <c r="D59" s="11" t="s">
        <v>173</v>
      </c>
      <c r="E59" s="19" t="s">
        <v>109</v>
      </c>
      <c r="F59" s="19" t="s">
        <v>95</v>
      </c>
      <c r="G59" s="12" t="s">
        <v>107</v>
      </c>
      <c r="H59" s="20" t="s">
        <v>97</v>
      </c>
      <c r="I59" s="19" t="s">
        <v>98</v>
      </c>
      <c r="J59" s="19"/>
      <c r="K59" s="12"/>
      <c r="L59" s="21"/>
      <c r="M59" s="21" t="str">
        <f aca="false">IF($L59="","",$L59+IF($J59="",Dashboard!$M$9,INDEX(Dashboard!$M$5:$M$9,$J59)))</f>
        <v/>
      </c>
      <c r="N59" s="22" t="str">
        <f aca="true">IF(OR($I59="Attempted",$I59="Revisit"),"DUE",IF($M59="","",IF($M59&lt;=TODAY(),"DUE","")))</f>
        <v/>
      </c>
      <c r="O59" s="11"/>
    </row>
    <row r="60" customFormat="false" ht="15" hidden="false" customHeight="true" outlineLevel="0" collapsed="false">
      <c r="A60" s="12" t="n">
        <v>59</v>
      </c>
      <c r="B60" s="11" t="s">
        <v>154</v>
      </c>
      <c r="C60" s="11" t="s">
        <v>171</v>
      </c>
      <c r="D60" s="11" t="s">
        <v>174</v>
      </c>
      <c r="E60" s="19" t="s">
        <v>135</v>
      </c>
      <c r="F60" s="19" t="s">
        <v>136</v>
      </c>
      <c r="G60" s="12" t="s">
        <v>107</v>
      </c>
      <c r="H60" s="20" t="s">
        <v>97</v>
      </c>
      <c r="I60" s="19" t="s">
        <v>98</v>
      </c>
      <c r="J60" s="19"/>
      <c r="K60" s="12"/>
      <c r="L60" s="21"/>
      <c r="M60" s="21" t="str">
        <f aca="false">IF($L60="","",$L60+IF($J60="",Dashboard!$M$9,INDEX(Dashboard!$M$5:$M$9,$J60)))</f>
        <v/>
      </c>
      <c r="N60" s="22" t="str">
        <f aca="true">IF(OR($I60="Attempted",$I60="Revisit"),"DUE",IF($M60="","",IF($M60&lt;=TODAY(),"DUE","")))</f>
        <v/>
      </c>
      <c r="O60" s="11"/>
    </row>
    <row r="61" customFormat="false" ht="15" hidden="false" customHeight="true" outlineLevel="0" collapsed="false">
      <c r="A61" s="12" t="n">
        <v>60</v>
      </c>
      <c r="B61" s="11" t="s">
        <v>154</v>
      </c>
      <c r="C61" s="11" t="s">
        <v>171</v>
      </c>
      <c r="D61" s="11" t="s">
        <v>175</v>
      </c>
      <c r="E61" s="19" t="s">
        <v>109</v>
      </c>
      <c r="F61" s="19" t="s">
        <v>121</v>
      </c>
      <c r="G61" s="12" t="s">
        <v>107</v>
      </c>
      <c r="H61" s="20" t="s">
        <v>97</v>
      </c>
      <c r="I61" s="19" t="s">
        <v>98</v>
      </c>
      <c r="J61" s="19"/>
      <c r="K61" s="12"/>
      <c r="L61" s="21"/>
      <c r="M61" s="21" t="str">
        <f aca="false">IF($L61="","",$L61+IF($J61="",Dashboard!$M$9,INDEX(Dashboard!$M$5:$M$9,$J61)))</f>
        <v/>
      </c>
      <c r="N61" s="22" t="str">
        <f aca="true">IF(OR($I61="Attempted",$I61="Revisit"),"DUE",IF($M61="","",IF($M61&lt;=TODAY(),"DUE","")))</f>
        <v/>
      </c>
      <c r="O61" s="11"/>
    </row>
    <row r="62" customFormat="false" ht="15" hidden="false" customHeight="true" outlineLevel="0" collapsed="false">
      <c r="A62" s="12" t="n">
        <v>61</v>
      </c>
      <c r="B62" s="11" t="s">
        <v>154</v>
      </c>
      <c r="C62" s="11" t="s">
        <v>176</v>
      </c>
      <c r="D62" s="11" t="s">
        <v>177</v>
      </c>
      <c r="E62" s="19" t="s">
        <v>135</v>
      </c>
      <c r="F62" s="19" t="s">
        <v>95</v>
      </c>
      <c r="G62" s="12" t="s">
        <v>107</v>
      </c>
      <c r="H62" s="20" t="s">
        <v>97</v>
      </c>
      <c r="I62" s="19" t="s">
        <v>98</v>
      </c>
      <c r="J62" s="19"/>
      <c r="K62" s="12"/>
      <c r="L62" s="21"/>
      <c r="M62" s="21" t="str">
        <f aca="false">IF($L62="","",$L62+IF($J62="",Dashboard!$M$9,INDEX(Dashboard!$M$5:$M$9,$J62)))</f>
        <v/>
      </c>
      <c r="N62" s="22" t="str">
        <f aca="true">IF(OR($I62="Attempted",$I62="Revisit"),"DUE",IF($M62="","",IF($M62&lt;=TODAY(),"DUE","")))</f>
        <v/>
      </c>
      <c r="O62" s="11"/>
    </row>
    <row r="63" customFormat="false" ht="15" hidden="false" customHeight="true" outlineLevel="0" collapsed="false">
      <c r="A63" s="12" t="n">
        <v>62</v>
      </c>
      <c r="B63" s="11" t="s">
        <v>154</v>
      </c>
      <c r="C63" s="11" t="s">
        <v>176</v>
      </c>
      <c r="D63" s="11" t="s">
        <v>178</v>
      </c>
      <c r="E63" s="19" t="s">
        <v>135</v>
      </c>
      <c r="F63" s="19" t="s">
        <v>95</v>
      </c>
      <c r="G63" s="12" t="s">
        <v>107</v>
      </c>
      <c r="H63" s="20" t="s">
        <v>97</v>
      </c>
      <c r="I63" s="19" t="s">
        <v>98</v>
      </c>
      <c r="J63" s="19"/>
      <c r="K63" s="12"/>
      <c r="L63" s="21"/>
      <c r="M63" s="21" t="str">
        <f aca="false">IF($L63="","",$L63+IF($J63="",Dashboard!$M$9,INDEX(Dashboard!$M$5:$M$9,$J63)))</f>
        <v/>
      </c>
      <c r="N63" s="22" t="str">
        <f aca="true">IF(OR($I63="Attempted",$I63="Revisit"),"DUE",IF($M63="","",IF($M63&lt;=TODAY(),"DUE","")))</f>
        <v/>
      </c>
      <c r="O63" s="11"/>
    </row>
    <row r="64" customFormat="false" ht="15" hidden="false" customHeight="true" outlineLevel="0" collapsed="false">
      <c r="A64" s="12" t="n">
        <v>63</v>
      </c>
      <c r="B64" s="11" t="s">
        <v>154</v>
      </c>
      <c r="C64" s="11" t="s">
        <v>179</v>
      </c>
      <c r="D64" s="11" t="s">
        <v>180</v>
      </c>
      <c r="E64" s="19" t="s">
        <v>135</v>
      </c>
      <c r="F64" s="19" t="s">
        <v>95</v>
      </c>
      <c r="G64" s="12" t="s">
        <v>107</v>
      </c>
      <c r="H64" s="20" t="s">
        <v>97</v>
      </c>
      <c r="I64" s="19" t="s">
        <v>98</v>
      </c>
      <c r="J64" s="19"/>
      <c r="K64" s="12"/>
      <c r="L64" s="21"/>
      <c r="M64" s="21" t="str">
        <f aca="false">IF($L64="","",$L64+IF($J64="",Dashboard!$M$9,INDEX(Dashboard!$M$5:$M$9,$J64)))</f>
        <v/>
      </c>
      <c r="N64" s="22" t="str">
        <f aca="true">IF(OR($I64="Attempted",$I64="Revisit"),"DUE",IF($M64="","",IF($M64&lt;=TODAY(),"DUE","")))</f>
        <v/>
      </c>
      <c r="O64" s="11"/>
    </row>
    <row r="65" customFormat="false" ht="15" hidden="false" customHeight="true" outlineLevel="0" collapsed="false">
      <c r="A65" s="12" t="n">
        <v>64</v>
      </c>
      <c r="B65" s="11" t="s">
        <v>181</v>
      </c>
      <c r="C65" s="11" t="s">
        <v>182</v>
      </c>
      <c r="D65" s="11" t="s">
        <v>183</v>
      </c>
      <c r="E65" s="19" t="s">
        <v>94</v>
      </c>
      <c r="F65" s="19" t="s">
        <v>95</v>
      </c>
      <c r="G65" s="12" t="s">
        <v>107</v>
      </c>
      <c r="H65" s="20" t="s">
        <v>97</v>
      </c>
      <c r="I65" s="19" t="s">
        <v>98</v>
      </c>
      <c r="J65" s="19"/>
      <c r="K65" s="12"/>
      <c r="L65" s="21"/>
      <c r="M65" s="21" t="str">
        <f aca="false">IF($L65="","",$L65+IF($J65="",Dashboard!$M$9,INDEX(Dashboard!$M$5:$M$9,$J65)))</f>
        <v/>
      </c>
      <c r="N65" s="22" t="str">
        <f aca="true">IF(OR($I65="Attempted",$I65="Revisit"),"DUE",IF($M65="","",IF($M65&lt;=TODAY(),"DUE","")))</f>
        <v/>
      </c>
      <c r="O65" s="11"/>
    </row>
    <row r="66" customFormat="false" ht="15" hidden="false" customHeight="true" outlineLevel="0" collapsed="false">
      <c r="A66" s="12" t="n">
        <v>65</v>
      </c>
      <c r="B66" s="11" t="s">
        <v>181</v>
      </c>
      <c r="C66" s="11" t="s">
        <v>182</v>
      </c>
      <c r="D66" s="11" t="s">
        <v>184</v>
      </c>
      <c r="E66" s="19" t="s">
        <v>94</v>
      </c>
      <c r="F66" s="19" t="s">
        <v>95</v>
      </c>
      <c r="G66" s="12" t="s">
        <v>107</v>
      </c>
      <c r="H66" s="20" t="s">
        <v>97</v>
      </c>
      <c r="I66" s="19" t="s">
        <v>98</v>
      </c>
      <c r="J66" s="19"/>
      <c r="K66" s="12"/>
      <c r="L66" s="21"/>
      <c r="M66" s="21" t="str">
        <f aca="false">IF($L66="","",$L66+IF($J66="",Dashboard!$M$9,INDEX(Dashboard!$M$5:$M$9,$J66)))</f>
        <v/>
      </c>
      <c r="N66" s="22" t="str">
        <f aca="true">IF(OR($I66="Attempted",$I66="Revisit"),"DUE",IF($M66="","",IF($M66&lt;=TODAY(),"DUE","")))</f>
        <v/>
      </c>
      <c r="O66" s="11"/>
    </row>
    <row r="67" customFormat="false" ht="15" hidden="false" customHeight="true" outlineLevel="0" collapsed="false">
      <c r="A67" s="12" t="n">
        <v>66</v>
      </c>
      <c r="B67" s="11" t="s">
        <v>181</v>
      </c>
      <c r="C67" s="11" t="s">
        <v>182</v>
      </c>
      <c r="D67" s="11" t="s">
        <v>185</v>
      </c>
      <c r="E67" s="19" t="s">
        <v>109</v>
      </c>
      <c r="F67" s="19" t="s">
        <v>121</v>
      </c>
      <c r="G67" s="12" t="s">
        <v>107</v>
      </c>
      <c r="H67" s="20" t="s">
        <v>97</v>
      </c>
      <c r="I67" s="19" t="s">
        <v>98</v>
      </c>
      <c r="J67" s="19"/>
      <c r="K67" s="12"/>
      <c r="L67" s="21"/>
      <c r="M67" s="21" t="str">
        <f aca="false">IF($L67="","",$L67+IF($J67="",Dashboard!$M$9,INDEX(Dashboard!$M$5:$M$9,$J67)))</f>
        <v/>
      </c>
      <c r="N67" s="22" t="str">
        <f aca="true">IF(OR($I67="Attempted",$I67="Revisit"),"DUE",IF($M67="","",IF($M67&lt;=TODAY(),"DUE","")))</f>
        <v/>
      </c>
      <c r="O67" s="11"/>
    </row>
    <row r="68" customFormat="false" ht="15" hidden="false" customHeight="true" outlineLevel="0" collapsed="false">
      <c r="A68" s="12" t="n">
        <v>67</v>
      </c>
      <c r="B68" s="11" t="s">
        <v>181</v>
      </c>
      <c r="C68" s="11" t="s">
        <v>182</v>
      </c>
      <c r="D68" s="11" t="s">
        <v>186</v>
      </c>
      <c r="E68" s="19" t="s">
        <v>94</v>
      </c>
      <c r="F68" s="19" t="s">
        <v>121</v>
      </c>
      <c r="G68" s="12" t="s">
        <v>107</v>
      </c>
      <c r="H68" s="20" t="s">
        <v>97</v>
      </c>
      <c r="I68" s="19" t="s">
        <v>98</v>
      </c>
      <c r="J68" s="19"/>
      <c r="K68" s="12"/>
      <c r="L68" s="21"/>
      <c r="M68" s="21" t="str">
        <f aca="false">IF($L68="","",$L68+IF($J68="",Dashboard!$M$9,INDEX(Dashboard!$M$5:$M$9,$J68)))</f>
        <v/>
      </c>
      <c r="N68" s="22" t="str">
        <f aca="true">IF(OR($I68="Attempted",$I68="Revisit"),"DUE",IF($M68="","",IF($M68&lt;=TODAY(),"DUE","")))</f>
        <v/>
      </c>
      <c r="O68" s="11"/>
    </row>
    <row r="69" customFormat="false" ht="15" hidden="false" customHeight="true" outlineLevel="0" collapsed="false">
      <c r="A69" s="12" t="n">
        <v>68</v>
      </c>
      <c r="B69" s="11" t="s">
        <v>181</v>
      </c>
      <c r="C69" s="11" t="s">
        <v>182</v>
      </c>
      <c r="D69" s="11" t="s">
        <v>187</v>
      </c>
      <c r="E69" s="19" t="s">
        <v>109</v>
      </c>
      <c r="F69" s="19" t="s">
        <v>121</v>
      </c>
      <c r="G69" s="12" t="s">
        <v>107</v>
      </c>
      <c r="H69" s="20" t="s">
        <v>97</v>
      </c>
      <c r="I69" s="19" t="s">
        <v>98</v>
      </c>
      <c r="J69" s="19"/>
      <c r="K69" s="12"/>
      <c r="L69" s="21"/>
      <c r="M69" s="21" t="str">
        <f aca="false">IF($L69="","",$L69+IF($J69="",Dashboard!$M$9,INDEX(Dashboard!$M$5:$M$9,$J69)))</f>
        <v/>
      </c>
      <c r="N69" s="22" t="str">
        <f aca="true">IF(OR($I69="Attempted",$I69="Revisit"),"DUE",IF($M69="","",IF($M69&lt;=TODAY(),"DUE","")))</f>
        <v/>
      </c>
      <c r="O69" s="11"/>
    </row>
    <row r="70" customFormat="false" ht="15" hidden="false" customHeight="true" outlineLevel="0" collapsed="false">
      <c r="A70" s="12" t="n">
        <v>69</v>
      </c>
      <c r="B70" s="11" t="s">
        <v>181</v>
      </c>
      <c r="C70" s="11" t="s">
        <v>188</v>
      </c>
      <c r="D70" s="11" t="s">
        <v>189</v>
      </c>
      <c r="E70" s="19" t="s">
        <v>109</v>
      </c>
      <c r="F70" s="19" t="s">
        <v>95</v>
      </c>
      <c r="G70" s="12" t="s">
        <v>107</v>
      </c>
      <c r="H70" s="20" t="s">
        <v>97</v>
      </c>
      <c r="I70" s="19" t="s">
        <v>98</v>
      </c>
      <c r="J70" s="19"/>
      <c r="K70" s="12"/>
      <c r="L70" s="21"/>
      <c r="M70" s="21" t="str">
        <f aca="false">IF($L70="","",$L70+IF($J70="",Dashboard!$M$9,INDEX(Dashboard!$M$5:$M$9,$J70)))</f>
        <v/>
      </c>
      <c r="N70" s="22" t="str">
        <f aca="true">IF(OR($I70="Attempted",$I70="Revisit"),"DUE",IF($M70="","",IF($M70&lt;=TODAY(),"DUE","")))</f>
        <v/>
      </c>
      <c r="O70" s="11"/>
    </row>
    <row r="71" customFormat="false" ht="15" hidden="false" customHeight="true" outlineLevel="0" collapsed="false">
      <c r="A71" s="12" t="n">
        <v>70</v>
      </c>
      <c r="B71" s="11" t="s">
        <v>181</v>
      </c>
      <c r="C71" s="11" t="s">
        <v>188</v>
      </c>
      <c r="D71" s="11" t="s">
        <v>190</v>
      </c>
      <c r="E71" s="19" t="s">
        <v>109</v>
      </c>
      <c r="F71" s="19" t="s">
        <v>95</v>
      </c>
      <c r="G71" s="12" t="s">
        <v>107</v>
      </c>
      <c r="H71" s="20" t="s">
        <v>97</v>
      </c>
      <c r="I71" s="19" t="s">
        <v>98</v>
      </c>
      <c r="J71" s="19"/>
      <c r="K71" s="12"/>
      <c r="L71" s="21"/>
      <c r="M71" s="21" t="str">
        <f aca="false">IF($L71="","",$L71+IF($J71="",Dashboard!$M$9,INDEX(Dashboard!$M$5:$M$9,$J71)))</f>
        <v/>
      </c>
      <c r="N71" s="22" t="str">
        <f aca="true">IF(OR($I71="Attempted",$I71="Revisit"),"DUE",IF($M71="","",IF($M71&lt;=TODAY(),"DUE","")))</f>
        <v/>
      </c>
      <c r="O71" s="11"/>
    </row>
    <row r="72" customFormat="false" ht="15" hidden="false" customHeight="true" outlineLevel="0" collapsed="false">
      <c r="A72" s="12" t="n">
        <v>71</v>
      </c>
      <c r="B72" s="11" t="s">
        <v>181</v>
      </c>
      <c r="C72" s="11" t="s">
        <v>188</v>
      </c>
      <c r="D72" s="11" t="s">
        <v>191</v>
      </c>
      <c r="E72" s="19" t="s">
        <v>109</v>
      </c>
      <c r="F72" s="19" t="s">
        <v>121</v>
      </c>
      <c r="G72" s="12" t="s">
        <v>107</v>
      </c>
      <c r="H72" s="20" t="s">
        <v>97</v>
      </c>
      <c r="I72" s="19" t="s">
        <v>98</v>
      </c>
      <c r="J72" s="19"/>
      <c r="K72" s="12"/>
      <c r="L72" s="21"/>
      <c r="M72" s="21" t="str">
        <f aca="false">IF($L72="","",$L72+IF($J72="",Dashboard!$M$9,INDEX(Dashboard!$M$5:$M$9,$J72)))</f>
        <v/>
      </c>
      <c r="N72" s="22" t="str">
        <f aca="true">IF(OR($I72="Attempted",$I72="Revisit"),"DUE",IF($M72="","",IF($M72&lt;=TODAY(),"DUE","")))</f>
        <v/>
      </c>
      <c r="O72" s="11"/>
    </row>
    <row r="73" customFormat="false" ht="15" hidden="false" customHeight="true" outlineLevel="0" collapsed="false">
      <c r="A73" s="12" t="n">
        <v>72</v>
      </c>
      <c r="B73" s="11" t="s">
        <v>181</v>
      </c>
      <c r="C73" s="11" t="s">
        <v>188</v>
      </c>
      <c r="D73" s="11" t="s">
        <v>192</v>
      </c>
      <c r="E73" s="19" t="s">
        <v>109</v>
      </c>
      <c r="F73" s="19" t="s">
        <v>121</v>
      </c>
      <c r="G73" s="12" t="s">
        <v>107</v>
      </c>
      <c r="H73" s="20" t="s">
        <v>97</v>
      </c>
      <c r="I73" s="19" t="s">
        <v>98</v>
      </c>
      <c r="J73" s="19"/>
      <c r="K73" s="12"/>
      <c r="L73" s="21"/>
      <c r="M73" s="21" t="str">
        <f aca="false">IF($L73="","",$L73+IF($J73="",Dashboard!$M$9,INDEX(Dashboard!$M$5:$M$9,$J73)))</f>
        <v/>
      </c>
      <c r="N73" s="22" t="str">
        <f aca="true">IF(OR($I73="Attempted",$I73="Revisit"),"DUE",IF($M73="","",IF($M73&lt;=TODAY(),"DUE","")))</f>
        <v/>
      </c>
      <c r="O73" s="11"/>
    </row>
    <row r="74" customFormat="false" ht="15" hidden="false" customHeight="true" outlineLevel="0" collapsed="false">
      <c r="A74" s="12" t="n">
        <v>73</v>
      </c>
      <c r="B74" s="11" t="s">
        <v>181</v>
      </c>
      <c r="C74" s="11" t="s">
        <v>188</v>
      </c>
      <c r="D74" s="11" t="s">
        <v>193</v>
      </c>
      <c r="E74" s="19" t="s">
        <v>109</v>
      </c>
      <c r="F74" s="19" t="s">
        <v>121</v>
      </c>
      <c r="G74" s="12" t="s">
        <v>96</v>
      </c>
      <c r="H74" s="20" t="s">
        <v>97</v>
      </c>
      <c r="I74" s="19" t="s">
        <v>98</v>
      </c>
      <c r="J74" s="19"/>
      <c r="K74" s="12"/>
      <c r="L74" s="21"/>
      <c r="M74" s="21" t="str">
        <f aca="false">IF($L74="","",$L74+IF($J74="",Dashboard!$M$9,INDEX(Dashboard!$M$5:$M$9,$J74)))</f>
        <v/>
      </c>
      <c r="N74" s="22" t="str">
        <f aca="true">IF(OR($I74="Attempted",$I74="Revisit"),"DUE",IF($M74="","",IF($M74&lt;=TODAY(),"DUE","")))</f>
        <v/>
      </c>
      <c r="O74" s="11"/>
    </row>
    <row r="75" customFormat="false" ht="15" hidden="false" customHeight="true" outlineLevel="0" collapsed="false">
      <c r="A75" s="12" t="n">
        <v>74</v>
      </c>
      <c r="B75" s="11" t="s">
        <v>181</v>
      </c>
      <c r="C75" s="11" t="s">
        <v>194</v>
      </c>
      <c r="D75" s="11" t="s">
        <v>195</v>
      </c>
      <c r="E75" s="19" t="s">
        <v>109</v>
      </c>
      <c r="F75" s="19" t="s">
        <v>95</v>
      </c>
      <c r="G75" s="12" t="s">
        <v>107</v>
      </c>
      <c r="H75" s="20" t="s">
        <v>97</v>
      </c>
      <c r="I75" s="19" t="s">
        <v>98</v>
      </c>
      <c r="J75" s="19"/>
      <c r="K75" s="12"/>
      <c r="L75" s="21"/>
      <c r="M75" s="21" t="str">
        <f aca="false">IF($L75="","",$L75+IF($J75="",Dashboard!$M$9,INDEX(Dashboard!$M$5:$M$9,$J75)))</f>
        <v/>
      </c>
      <c r="N75" s="22" t="str">
        <f aca="true">IF(OR($I75="Attempted",$I75="Revisit"),"DUE",IF($M75="","",IF($M75&lt;=TODAY(),"DUE","")))</f>
        <v/>
      </c>
      <c r="O75" s="11"/>
    </row>
    <row r="76" customFormat="false" ht="15" hidden="false" customHeight="true" outlineLevel="0" collapsed="false">
      <c r="A76" s="12" t="n">
        <v>75</v>
      </c>
      <c r="B76" s="11" t="s">
        <v>181</v>
      </c>
      <c r="C76" s="11" t="s">
        <v>194</v>
      </c>
      <c r="D76" s="11" t="s">
        <v>196</v>
      </c>
      <c r="E76" s="19" t="s">
        <v>109</v>
      </c>
      <c r="F76" s="19" t="s">
        <v>95</v>
      </c>
      <c r="G76" s="12" t="s">
        <v>107</v>
      </c>
      <c r="H76" s="20" t="s">
        <v>97</v>
      </c>
      <c r="I76" s="19" t="s">
        <v>98</v>
      </c>
      <c r="J76" s="19"/>
      <c r="K76" s="12"/>
      <c r="L76" s="21"/>
      <c r="M76" s="21" t="str">
        <f aca="false">IF($L76="","",$L76+IF($J76="",Dashboard!$M$9,INDEX(Dashboard!$M$5:$M$9,$J76)))</f>
        <v/>
      </c>
      <c r="N76" s="22" t="str">
        <f aca="true">IF(OR($I76="Attempted",$I76="Revisit"),"DUE",IF($M76="","",IF($M76&lt;=TODAY(),"DUE","")))</f>
        <v/>
      </c>
      <c r="O76" s="11"/>
    </row>
    <row r="77" customFormat="false" ht="15" hidden="false" customHeight="true" outlineLevel="0" collapsed="false">
      <c r="A77" s="12" t="n">
        <v>76</v>
      </c>
      <c r="B77" s="11" t="s">
        <v>181</v>
      </c>
      <c r="C77" s="11" t="s">
        <v>197</v>
      </c>
      <c r="D77" s="11" t="s">
        <v>198</v>
      </c>
      <c r="E77" s="19" t="s">
        <v>109</v>
      </c>
      <c r="F77" s="19" t="s">
        <v>95</v>
      </c>
      <c r="G77" s="12" t="s">
        <v>107</v>
      </c>
      <c r="H77" s="20" t="s">
        <v>97</v>
      </c>
      <c r="I77" s="19" t="s">
        <v>98</v>
      </c>
      <c r="J77" s="19"/>
      <c r="K77" s="12"/>
      <c r="L77" s="21"/>
      <c r="M77" s="21" t="str">
        <f aca="false">IF($L77="","",$L77+IF($J77="",Dashboard!$M$9,INDEX(Dashboard!$M$5:$M$9,$J77)))</f>
        <v/>
      </c>
      <c r="N77" s="22" t="str">
        <f aca="true">IF(OR($I77="Attempted",$I77="Revisit"),"DUE",IF($M77="","",IF($M77&lt;=TODAY(),"DUE","")))</f>
        <v/>
      </c>
      <c r="O77" s="11"/>
    </row>
    <row r="78" customFormat="false" ht="15" hidden="false" customHeight="true" outlineLevel="0" collapsed="false">
      <c r="A78" s="12" t="n">
        <v>77</v>
      </c>
      <c r="B78" s="11" t="s">
        <v>181</v>
      </c>
      <c r="C78" s="11" t="s">
        <v>197</v>
      </c>
      <c r="D78" s="11" t="s">
        <v>199</v>
      </c>
      <c r="E78" s="19" t="s">
        <v>94</v>
      </c>
      <c r="F78" s="19" t="s">
        <v>95</v>
      </c>
      <c r="G78" s="12" t="s">
        <v>96</v>
      </c>
      <c r="H78" s="20" t="s">
        <v>97</v>
      </c>
      <c r="I78" s="19" t="s">
        <v>98</v>
      </c>
      <c r="J78" s="19"/>
      <c r="K78" s="12"/>
      <c r="L78" s="21"/>
      <c r="M78" s="21" t="str">
        <f aca="false">IF($L78="","",$L78+IF($J78="",Dashboard!$M$9,INDEX(Dashboard!$M$5:$M$9,$J78)))</f>
        <v/>
      </c>
      <c r="N78" s="22" t="str">
        <f aca="true">IF(OR($I78="Attempted",$I78="Revisit"),"DUE",IF($M78="","",IF($M78&lt;=TODAY(),"DUE","")))</f>
        <v/>
      </c>
      <c r="O78" s="11"/>
    </row>
    <row r="79" customFormat="false" ht="15" hidden="false" customHeight="true" outlineLevel="0" collapsed="false">
      <c r="A79" s="12" t="n">
        <v>78</v>
      </c>
      <c r="B79" s="11" t="s">
        <v>181</v>
      </c>
      <c r="C79" s="11" t="s">
        <v>197</v>
      </c>
      <c r="D79" s="11" t="s">
        <v>200</v>
      </c>
      <c r="E79" s="19" t="s">
        <v>109</v>
      </c>
      <c r="F79" s="19" t="s">
        <v>121</v>
      </c>
      <c r="G79" s="12" t="s">
        <v>107</v>
      </c>
      <c r="H79" s="20" t="s">
        <v>97</v>
      </c>
      <c r="I79" s="19" t="s">
        <v>98</v>
      </c>
      <c r="J79" s="19"/>
      <c r="K79" s="12"/>
      <c r="L79" s="21"/>
      <c r="M79" s="21" t="str">
        <f aca="false">IF($L79="","",$L79+IF($J79="",Dashboard!$M$9,INDEX(Dashboard!$M$5:$M$9,$J79)))</f>
        <v/>
      </c>
      <c r="N79" s="22" t="str">
        <f aca="true">IF(OR($I79="Attempted",$I79="Revisit"),"DUE",IF($M79="","",IF($M79&lt;=TODAY(),"DUE","")))</f>
        <v/>
      </c>
      <c r="O79" s="11"/>
    </row>
    <row r="80" customFormat="false" ht="15" hidden="false" customHeight="true" outlineLevel="0" collapsed="false">
      <c r="A80" s="12" t="n">
        <v>79</v>
      </c>
      <c r="B80" s="11" t="s">
        <v>181</v>
      </c>
      <c r="C80" s="11" t="s">
        <v>197</v>
      </c>
      <c r="D80" s="11" t="s">
        <v>201</v>
      </c>
      <c r="E80" s="19" t="s">
        <v>109</v>
      </c>
      <c r="F80" s="19" t="s">
        <v>121</v>
      </c>
      <c r="G80" s="12" t="s">
        <v>107</v>
      </c>
      <c r="H80" s="20" t="s">
        <v>97</v>
      </c>
      <c r="I80" s="19" t="s">
        <v>98</v>
      </c>
      <c r="J80" s="19"/>
      <c r="K80" s="12"/>
      <c r="L80" s="21"/>
      <c r="M80" s="21" t="str">
        <f aca="false">IF($L80="","",$L80+IF($J80="",Dashboard!$M$9,INDEX(Dashboard!$M$5:$M$9,$J80)))</f>
        <v/>
      </c>
      <c r="N80" s="22" t="str">
        <f aca="true">IF(OR($I80="Attempted",$I80="Revisit"),"DUE",IF($M80="","",IF($M80&lt;=TODAY(),"DUE","")))</f>
        <v/>
      </c>
      <c r="O80" s="11"/>
    </row>
    <row r="81" customFormat="false" ht="15" hidden="false" customHeight="true" outlineLevel="0" collapsed="false">
      <c r="A81" s="12" t="n">
        <v>80</v>
      </c>
      <c r="B81" s="11" t="s">
        <v>181</v>
      </c>
      <c r="C81" s="11" t="s">
        <v>197</v>
      </c>
      <c r="D81" s="11" t="s">
        <v>202</v>
      </c>
      <c r="E81" s="19" t="s">
        <v>109</v>
      </c>
      <c r="F81" s="19" t="s">
        <v>121</v>
      </c>
      <c r="G81" s="12" t="s">
        <v>107</v>
      </c>
      <c r="H81" s="20" t="s">
        <v>97</v>
      </c>
      <c r="I81" s="19" t="s">
        <v>98</v>
      </c>
      <c r="J81" s="19"/>
      <c r="K81" s="12"/>
      <c r="L81" s="21"/>
      <c r="M81" s="21" t="str">
        <f aca="false">IF($L81="","",$L81+IF($J81="",Dashboard!$M$9,INDEX(Dashboard!$M$5:$M$9,$J81)))</f>
        <v/>
      </c>
      <c r="N81" s="22" t="str">
        <f aca="true">IF(OR($I81="Attempted",$I81="Revisit"),"DUE",IF($M81="","",IF($M81&lt;=TODAY(),"DUE","")))</f>
        <v/>
      </c>
      <c r="O81" s="11"/>
    </row>
    <row r="82" customFormat="false" ht="15" hidden="false" customHeight="true" outlineLevel="0" collapsed="false">
      <c r="A82" s="12" t="n">
        <v>81</v>
      </c>
      <c r="B82" s="11" t="s">
        <v>181</v>
      </c>
      <c r="C82" s="11" t="s">
        <v>197</v>
      </c>
      <c r="D82" s="11" t="s">
        <v>203</v>
      </c>
      <c r="E82" s="19" t="s">
        <v>109</v>
      </c>
      <c r="F82" s="19" t="s">
        <v>121</v>
      </c>
      <c r="G82" s="12" t="s">
        <v>107</v>
      </c>
      <c r="H82" s="20" t="s">
        <v>97</v>
      </c>
      <c r="I82" s="19" t="s">
        <v>98</v>
      </c>
      <c r="J82" s="19"/>
      <c r="K82" s="12"/>
      <c r="L82" s="21"/>
      <c r="M82" s="21" t="str">
        <f aca="false">IF($L82="","",$L82+IF($J82="",Dashboard!$M$9,INDEX(Dashboard!$M$5:$M$9,$J82)))</f>
        <v/>
      </c>
      <c r="N82" s="22" t="str">
        <f aca="true">IF(OR($I82="Attempted",$I82="Revisit"),"DUE",IF($M82="","",IF($M82&lt;=TODAY(),"DUE","")))</f>
        <v/>
      </c>
      <c r="O82" s="11"/>
    </row>
    <row r="83" customFormat="false" ht="15" hidden="false" customHeight="true" outlineLevel="0" collapsed="false">
      <c r="A83" s="12" t="n">
        <v>82</v>
      </c>
      <c r="B83" s="11" t="s">
        <v>181</v>
      </c>
      <c r="C83" s="11" t="s">
        <v>204</v>
      </c>
      <c r="D83" s="11" t="s">
        <v>205</v>
      </c>
      <c r="E83" s="19" t="s">
        <v>135</v>
      </c>
      <c r="F83" s="19" t="s">
        <v>95</v>
      </c>
      <c r="G83" s="12" t="s">
        <v>107</v>
      </c>
      <c r="H83" s="20" t="s">
        <v>97</v>
      </c>
      <c r="I83" s="19" t="s">
        <v>98</v>
      </c>
      <c r="J83" s="19"/>
      <c r="K83" s="12"/>
      <c r="L83" s="21"/>
      <c r="M83" s="21" t="str">
        <f aca="false">IF($L83="","",$L83+IF($J83="",Dashboard!$M$9,INDEX(Dashboard!$M$5:$M$9,$J83)))</f>
        <v/>
      </c>
      <c r="N83" s="22" t="str">
        <f aca="true">IF(OR($I83="Attempted",$I83="Revisit"),"DUE",IF($M83="","",IF($M83&lt;=TODAY(),"DUE","")))</f>
        <v/>
      </c>
      <c r="O83" s="11"/>
    </row>
    <row r="84" customFormat="false" ht="15" hidden="false" customHeight="true" outlineLevel="0" collapsed="false">
      <c r="A84" s="12" t="n">
        <v>83</v>
      </c>
      <c r="B84" s="11" t="s">
        <v>181</v>
      </c>
      <c r="C84" s="11" t="s">
        <v>206</v>
      </c>
      <c r="D84" s="11" t="s">
        <v>207</v>
      </c>
      <c r="E84" s="19" t="s">
        <v>135</v>
      </c>
      <c r="F84" s="19" t="s">
        <v>95</v>
      </c>
      <c r="G84" s="12" t="s">
        <v>107</v>
      </c>
      <c r="H84" s="20" t="s">
        <v>97</v>
      </c>
      <c r="I84" s="19" t="s">
        <v>98</v>
      </c>
      <c r="J84" s="19"/>
      <c r="K84" s="12"/>
      <c r="L84" s="21"/>
      <c r="M84" s="21" t="str">
        <f aca="false">IF($L84="","",$L84+IF($J84="",Dashboard!$M$9,INDEX(Dashboard!$M$5:$M$9,$J84)))</f>
        <v/>
      </c>
      <c r="N84" s="22" t="str">
        <f aca="true">IF(OR($I84="Attempted",$I84="Revisit"),"DUE",IF($M84="","",IF($M84&lt;=TODAY(),"DUE","")))</f>
        <v/>
      </c>
      <c r="O84" s="11"/>
    </row>
    <row r="85" customFormat="false" ht="15" hidden="false" customHeight="true" outlineLevel="0" collapsed="false">
      <c r="A85" s="12" t="n">
        <v>84</v>
      </c>
      <c r="B85" s="11" t="s">
        <v>208</v>
      </c>
      <c r="C85" s="11" t="s">
        <v>209</v>
      </c>
      <c r="D85" s="11" t="s">
        <v>210</v>
      </c>
      <c r="E85" s="19" t="s">
        <v>94</v>
      </c>
      <c r="F85" s="19" t="s">
        <v>95</v>
      </c>
      <c r="G85" s="12" t="s">
        <v>107</v>
      </c>
      <c r="H85" s="20" t="s">
        <v>97</v>
      </c>
      <c r="I85" s="19" t="s">
        <v>98</v>
      </c>
      <c r="J85" s="19"/>
      <c r="K85" s="12"/>
      <c r="L85" s="21"/>
      <c r="M85" s="21" t="str">
        <f aca="false">IF($L85="","",$L85+IF($J85="",Dashboard!$M$9,INDEX(Dashboard!$M$5:$M$9,$J85)))</f>
        <v/>
      </c>
      <c r="N85" s="22" t="str">
        <f aca="true">IF(OR($I85="Attempted",$I85="Revisit"),"DUE",IF($M85="","",IF($M85&lt;=TODAY(),"DUE","")))</f>
        <v/>
      </c>
      <c r="O85" s="11"/>
    </row>
    <row r="86" customFormat="false" ht="15" hidden="false" customHeight="true" outlineLevel="0" collapsed="false">
      <c r="A86" s="12" t="n">
        <v>85</v>
      </c>
      <c r="B86" s="11" t="s">
        <v>208</v>
      </c>
      <c r="C86" s="11" t="s">
        <v>209</v>
      </c>
      <c r="D86" s="11" t="s">
        <v>211</v>
      </c>
      <c r="E86" s="19" t="s">
        <v>94</v>
      </c>
      <c r="F86" s="19" t="s">
        <v>95</v>
      </c>
      <c r="G86" s="12" t="s">
        <v>107</v>
      </c>
      <c r="H86" s="20" t="s">
        <v>97</v>
      </c>
      <c r="I86" s="19" t="s">
        <v>98</v>
      </c>
      <c r="J86" s="19"/>
      <c r="K86" s="12"/>
      <c r="L86" s="21"/>
      <c r="M86" s="21" t="str">
        <f aca="false">IF($L86="","",$L86+IF($J86="",Dashboard!$M$9,INDEX(Dashboard!$M$5:$M$9,$J86)))</f>
        <v/>
      </c>
      <c r="N86" s="22" t="str">
        <f aca="true">IF(OR($I86="Attempted",$I86="Revisit"),"DUE",IF($M86="","",IF($M86&lt;=TODAY(),"DUE","")))</f>
        <v/>
      </c>
      <c r="O86" s="11"/>
    </row>
    <row r="87" customFormat="false" ht="15" hidden="false" customHeight="true" outlineLevel="0" collapsed="false">
      <c r="A87" s="12" t="n">
        <v>86</v>
      </c>
      <c r="B87" s="11" t="s">
        <v>208</v>
      </c>
      <c r="C87" s="11" t="s">
        <v>209</v>
      </c>
      <c r="D87" s="11" t="s">
        <v>212</v>
      </c>
      <c r="E87" s="19" t="s">
        <v>109</v>
      </c>
      <c r="F87" s="19" t="s">
        <v>121</v>
      </c>
      <c r="G87" s="12" t="s">
        <v>107</v>
      </c>
      <c r="H87" s="20" t="s">
        <v>97</v>
      </c>
      <c r="I87" s="19" t="s">
        <v>98</v>
      </c>
      <c r="J87" s="19"/>
      <c r="K87" s="12"/>
      <c r="L87" s="21"/>
      <c r="M87" s="21" t="str">
        <f aca="false">IF($L87="","",$L87+IF($J87="",Dashboard!$M$9,INDEX(Dashboard!$M$5:$M$9,$J87)))</f>
        <v/>
      </c>
      <c r="N87" s="22" t="str">
        <f aca="true">IF(OR($I87="Attempted",$I87="Revisit"),"DUE",IF($M87="","",IF($M87&lt;=TODAY(),"DUE","")))</f>
        <v/>
      </c>
      <c r="O87" s="11"/>
    </row>
    <row r="88" customFormat="false" ht="15" hidden="false" customHeight="true" outlineLevel="0" collapsed="false">
      <c r="A88" s="12" t="n">
        <v>87</v>
      </c>
      <c r="B88" s="11" t="s">
        <v>208</v>
      </c>
      <c r="C88" s="11" t="s">
        <v>209</v>
      </c>
      <c r="D88" s="11" t="s">
        <v>213</v>
      </c>
      <c r="E88" s="19" t="s">
        <v>94</v>
      </c>
      <c r="F88" s="19" t="s">
        <v>121</v>
      </c>
      <c r="G88" s="12" t="s">
        <v>107</v>
      </c>
      <c r="H88" s="20" t="s">
        <v>97</v>
      </c>
      <c r="I88" s="19" t="s">
        <v>98</v>
      </c>
      <c r="J88" s="19"/>
      <c r="K88" s="12"/>
      <c r="L88" s="21"/>
      <c r="M88" s="21" t="str">
        <f aca="false">IF($L88="","",$L88+IF($J88="",Dashboard!$M$9,INDEX(Dashboard!$M$5:$M$9,$J88)))</f>
        <v/>
      </c>
      <c r="N88" s="22" t="str">
        <f aca="true">IF(OR($I88="Attempted",$I88="Revisit"),"DUE",IF($M88="","",IF($M88&lt;=TODAY(),"DUE","")))</f>
        <v/>
      </c>
      <c r="O88" s="11"/>
    </row>
    <row r="89" customFormat="false" ht="15" hidden="false" customHeight="true" outlineLevel="0" collapsed="false">
      <c r="A89" s="12" t="n">
        <v>88</v>
      </c>
      <c r="B89" s="11" t="s">
        <v>208</v>
      </c>
      <c r="C89" s="11" t="s">
        <v>209</v>
      </c>
      <c r="D89" s="11" t="s">
        <v>214</v>
      </c>
      <c r="E89" s="19" t="s">
        <v>135</v>
      </c>
      <c r="F89" s="19" t="s">
        <v>136</v>
      </c>
      <c r="G89" s="12" t="s">
        <v>107</v>
      </c>
      <c r="H89" s="20" t="s">
        <v>97</v>
      </c>
      <c r="I89" s="19" t="s">
        <v>98</v>
      </c>
      <c r="J89" s="19"/>
      <c r="K89" s="12"/>
      <c r="L89" s="21"/>
      <c r="M89" s="21" t="str">
        <f aca="false">IF($L89="","",$L89+IF($J89="",Dashboard!$M$9,INDEX(Dashboard!$M$5:$M$9,$J89)))</f>
        <v/>
      </c>
      <c r="N89" s="22" t="str">
        <f aca="true">IF(OR($I89="Attempted",$I89="Revisit"),"DUE",IF($M89="","",IF($M89&lt;=TODAY(),"DUE","")))</f>
        <v/>
      </c>
      <c r="O89" s="11"/>
    </row>
    <row r="90" customFormat="false" ht="15" hidden="false" customHeight="true" outlineLevel="0" collapsed="false">
      <c r="A90" s="12" t="n">
        <v>89</v>
      </c>
      <c r="B90" s="11" t="s">
        <v>208</v>
      </c>
      <c r="C90" s="11" t="s">
        <v>209</v>
      </c>
      <c r="D90" s="11" t="s">
        <v>215</v>
      </c>
      <c r="E90" s="19" t="s">
        <v>109</v>
      </c>
      <c r="F90" s="19" t="s">
        <v>121</v>
      </c>
      <c r="G90" s="12" t="s">
        <v>107</v>
      </c>
      <c r="H90" s="20" t="s">
        <v>97</v>
      </c>
      <c r="I90" s="19" t="s">
        <v>98</v>
      </c>
      <c r="J90" s="19"/>
      <c r="K90" s="12"/>
      <c r="L90" s="21"/>
      <c r="M90" s="21" t="str">
        <f aca="false">IF($L90="","",$L90+IF($J90="",Dashboard!$M$9,INDEX(Dashboard!$M$5:$M$9,$J90)))</f>
        <v/>
      </c>
      <c r="N90" s="22" t="str">
        <f aca="true">IF(OR($I90="Attempted",$I90="Revisit"),"DUE",IF($M90="","",IF($M90&lt;=TODAY(),"DUE","")))</f>
        <v/>
      </c>
      <c r="O90" s="11"/>
    </row>
    <row r="91" customFormat="false" ht="15" hidden="false" customHeight="true" outlineLevel="0" collapsed="false">
      <c r="A91" s="12" t="n">
        <v>90</v>
      </c>
      <c r="B91" s="11" t="s">
        <v>208</v>
      </c>
      <c r="C91" s="11" t="s">
        <v>216</v>
      </c>
      <c r="D91" s="11" t="s">
        <v>217</v>
      </c>
      <c r="E91" s="19" t="s">
        <v>109</v>
      </c>
      <c r="F91" s="19" t="s">
        <v>95</v>
      </c>
      <c r="G91" s="12" t="s">
        <v>107</v>
      </c>
      <c r="H91" s="20" t="s">
        <v>97</v>
      </c>
      <c r="I91" s="19" t="s">
        <v>98</v>
      </c>
      <c r="J91" s="19"/>
      <c r="K91" s="12"/>
      <c r="L91" s="21"/>
      <c r="M91" s="21" t="str">
        <f aca="false">IF($L91="","",$L91+IF($J91="",Dashboard!$M$9,INDEX(Dashboard!$M$5:$M$9,$J91)))</f>
        <v/>
      </c>
      <c r="N91" s="22" t="str">
        <f aca="true">IF(OR($I91="Attempted",$I91="Revisit"),"DUE",IF($M91="","",IF($M91&lt;=TODAY(),"DUE","")))</f>
        <v/>
      </c>
      <c r="O91" s="11"/>
    </row>
    <row r="92" customFormat="false" ht="15" hidden="false" customHeight="true" outlineLevel="0" collapsed="false">
      <c r="A92" s="12" t="n">
        <v>91</v>
      </c>
      <c r="B92" s="11" t="s">
        <v>208</v>
      </c>
      <c r="C92" s="11" t="s">
        <v>216</v>
      </c>
      <c r="D92" s="11" t="s">
        <v>218</v>
      </c>
      <c r="E92" s="19" t="s">
        <v>109</v>
      </c>
      <c r="F92" s="19" t="s">
        <v>121</v>
      </c>
      <c r="G92" s="12" t="s">
        <v>107</v>
      </c>
      <c r="H92" s="20" t="s">
        <v>97</v>
      </c>
      <c r="I92" s="19" t="s">
        <v>98</v>
      </c>
      <c r="J92" s="19"/>
      <c r="K92" s="12"/>
      <c r="L92" s="21"/>
      <c r="M92" s="21" t="str">
        <f aca="false">IF($L92="","",$L92+IF($J92="",Dashboard!$M$9,INDEX(Dashboard!$M$5:$M$9,$J92)))</f>
        <v/>
      </c>
      <c r="N92" s="22" t="str">
        <f aca="true">IF(OR($I92="Attempted",$I92="Revisit"),"DUE",IF($M92="","",IF($M92&lt;=TODAY(),"DUE","")))</f>
        <v/>
      </c>
      <c r="O92" s="11"/>
    </row>
    <row r="93" customFormat="false" ht="15" hidden="false" customHeight="true" outlineLevel="0" collapsed="false">
      <c r="A93" s="12" t="n">
        <v>92</v>
      </c>
      <c r="B93" s="11" t="s">
        <v>208</v>
      </c>
      <c r="C93" s="11" t="s">
        <v>216</v>
      </c>
      <c r="D93" s="11" t="s">
        <v>219</v>
      </c>
      <c r="E93" s="19" t="s">
        <v>94</v>
      </c>
      <c r="F93" s="19" t="s">
        <v>95</v>
      </c>
      <c r="G93" s="12" t="s">
        <v>107</v>
      </c>
      <c r="H93" s="20" t="s">
        <v>97</v>
      </c>
      <c r="I93" s="19" t="s">
        <v>98</v>
      </c>
      <c r="J93" s="19"/>
      <c r="K93" s="12"/>
      <c r="L93" s="21"/>
      <c r="M93" s="21" t="str">
        <f aca="false">IF($L93="","",$L93+IF($J93="",Dashboard!$M$9,INDEX(Dashboard!$M$5:$M$9,$J93)))</f>
        <v/>
      </c>
      <c r="N93" s="22" t="str">
        <f aca="true">IF(OR($I93="Attempted",$I93="Revisit"),"DUE",IF($M93="","",IF($M93&lt;=TODAY(),"DUE","")))</f>
        <v/>
      </c>
      <c r="O93" s="11"/>
    </row>
    <row r="94" customFormat="false" ht="15" hidden="false" customHeight="true" outlineLevel="0" collapsed="false">
      <c r="A94" s="12" t="n">
        <v>93</v>
      </c>
      <c r="B94" s="11" t="s">
        <v>208</v>
      </c>
      <c r="C94" s="11" t="s">
        <v>216</v>
      </c>
      <c r="D94" s="11" t="s">
        <v>220</v>
      </c>
      <c r="E94" s="19" t="s">
        <v>109</v>
      </c>
      <c r="F94" s="19" t="s">
        <v>121</v>
      </c>
      <c r="G94" s="12" t="s">
        <v>107</v>
      </c>
      <c r="H94" s="20" t="s">
        <v>97</v>
      </c>
      <c r="I94" s="19" t="s">
        <v>98</v>
      </c>
      <c r="J94" s="19"/>
      <c r="K94" s="12"/>
      <c r="L94" s="21"/>
      <c r="M94" s="21" t="str">
        <f aca="false">IF($L94="","",$L94+IF($J94="",Dashboard!$M$9,INDEX(Dashboard!$M$5:$M$9,$J94)))</f>
        <v/>
      </c>
      <c r="N94" s="22" t="str">
        <f aca="true">IF(OR($I94="Attempted",$I94="Revisit"),"DUE",IF($M94="","",IF($M94&lt;=TODAY(),"DUE","")))</f>
        <v/>
      </c>
      <c r="O94" s="11"/>
    </row>
    <row r="95" customFormat="false" ht="15" hidden="false" customHeight="true" outlineLevel="0" collapsed="false">
      <c r="A95" s="12" t="n">
        <v>94</v>
      </c>
      <c r="B95" s="11" t="s">
        <v>208</v>
      </c>
      <c r="C95" s="11" t="s">
        <v>221</v>
      </c>
      <c r="D95" s="11" t="s">
        <v>222</v>
      </c>
      <c r="E95" s="19" t="s">
        <v>94</v>
      </c>
      <c r="F95" s="19" t="s">
        <v>95</v>
      </c>
      <c r="G95" s="12" t="s">
        <v>107</v>
      </c>
      <c r="H95" s="20" t="s">
        <v>97</v>
      </c>
      <c r="I95" s="19" t="s">
        <v>98</v>
      </c>
      <c r="J95" s="19"/>
      <c r="K95" s="12"/>
      <c r="L95" s="21"/>
      <c r="M95" s="21" t="str">
        <f aca="false">IF($L95="","",$L95+IF($J95="",Dashboard!$M$9,INDEX(Dashboard!$M$5:$M$9,$J95)))</f>
        <v/>
      </c>
      <c r="N95" s="22" t="str">
        <f aca="true">IF(OR($I95="Attempted",$I95="Revisit"),"DUE",IF($M95="","",IF($M95&lt;=TODAY(),"DUE","")))</f>
        <v/>
      </c>
      <c r="O95" s="11"/>
    </row>
    <row r="96" customFormat="false" ht="15" hidden="false" customHeight="true" outlineLevel="0" collapsed="false">
      <c r="A96" s="12" t="n">
        <v>95</v>
      </c>
      <c r="B96" s="11" t="s">
        <v>208</v>
      </c>
      <c r="C96" s="11" t="s">
        <v>223</v>
      </c>
      <c r="D96" s="11" t="s">
        <v>224</v>
      </c>
      <c r="E96" s="19" t="s">
        <v>109</v>
      </c>
      <c r="F96" s="19" t="s">
        <v>95</v>
      </c>
      <c r="G96" s="12" t="s">
        <v>107</v>
      </c>
      <c r="H96" s="20" t="s">
        <v>97</v>
      </c>
      <c r="I96" s="19" t="s">
        <v>98</v>
      </c>
      <c r="J96" s="19"/>
      <c r="K96" s="12"/>
      <c r="L96" s="21"/>
      <c r="M96" s="21" t="str">
        <f aca="false">IF($L96="","",$L96+IF($J96="",Dashboard!$M$9,INDEX(Dashboard!$M$5:$M$9,$J96)))</f>
        <v/>
      </c>
      <c r="N96" s="22" t="str">
        <f aca="true">IF(OR($I96="Attempted",$I96="Revisit"),"DUE",IF($M96="","",IF($M96&lt;=TODAY(),"DUE","")))</f>
        <v/>
      </c>
      <c r="O96" s="11"/>
    </row>
    <row r="97" customFormat="false" ht="15" hidden="false" customHeight="true" outlineLevel="0" collapsed="false">
      <c r="A97" s="12" t="n">
        <v>96</v>
      </c>
      <c r="B97" s="11" t="s">
        <v>208</v>
      </c>
      <c r="C97" s="11" t="s">
        <v>223</v>
      </c>
      <c r="D97" s="11" t="s">
        <v>225</v>
      </c>
      <c r="E97" s="19" t="s">
        <v>109</v>
      </c>
      <c r="F97" s="19" t="s">
        <v>95</v>
      </c>
      <c r="G97" s="12" t="s">
        <v>107</v>
      </c>
      <c r="H97" s="20" t="s">
        <v>97</v>
      </c>
      <c r="I97" s="19" t="s">
        <v>98</v>
      </c>
      <c r="J97" s="19"/>
      <c r="K97" s="12"/>
      <c r="L97" s="21"/>
      <c r="M97" s="21" t="str">
        <f aca="false">IF($L97="","",$L97+IF($J97="",Dashboard!$M$9,INDEX(Dashboard!$M$5:$M$9,$J97)))</f>
        <v/>
      </c>
      <c r="N97" s="22" t="str">
        <f aca="true">IF(OR($I97="Attempted",$I97="Revisit"),"DUE",IF($M97="","",IF($M97&lt;=TODAY(),"DUE","")))</f>
        <v/>
      </c>
      <c r="O97" s="11"/>
    </row>
    <row r="98" customFormat="false" ht="15" hidden="false" customHeight="true" outlineLevel="0" collapsed="false">
      <c r="A98" s="12" t="n">
        <v>97</v>
      </c>
      <c r="B98" s="11" t="s">
        <v>208</v>
      </c>
      <c r="C98" s="11" t="s">
        <v>223</v>
      </c>
      <c r="D98" s="11" t="s">
        <v>226</v>
      </c>
      <c r="E98" s="19" t="s">
        <v>109</v>
      </c>
      <c r="F98" s="19" t="s">
        <v>121</v>
      </c>
      <c r="G98" s="12" t="s">
        <v>107</v>
      </c>
      <c r="H98" s="20" t="s">
        <v>97</v>
      </c>
      <c r="I98" s="19" t="s">
        <v>98</v>
      </c>
      <c r="J98" s="19"/>
      <c r="K98" s="12"/>
      <c r="L98" s="21"/>
      <c r="M98" s="21" t="str">
        <f aca="false">IF($L98="","",$L98+IF($J98="",Dashboard!$M$9,INDEX(Dashboard!$M$5:$M$9,$J98)))</f>
        <v/>
      </c>
      <c r="N98" s="22" t="str">
        <f aca="true">IF(OR($I98="Attempted",$I98="Revisit"),"DUE",IF($M98="","",IF($M98&lt;=TODAY(),"DUE","")))</f>
        <v/>
      </c>
      <c r="O98" s="11"/>
    </row>
    <row r="99" customFormat="false" ht="15" hidden="false" customHeight="true" outlineLevel="0" collapsed="false">
      <c r="A99" s="12" t="n">
        <v>98</v>
      </c>
      <c r="B99" s="11" t="s">
        <v>227</v>
      </c>
      <c r="C99" s="11" t="s">
        <v>228</v>
      </c>
      <c r="D99" s="11" t="s">
        <v>229</v>
      </c>
      <c r="E99" s="19" t="s">
        <v>94</v>
      </c>
      <c r="F99" s="19" t="s">
        <v>95</v>
      </c>
      <c r="G99" s="12" t="s">
        <v>107</v>
      </c>
      <c r="H99" s="20" t="s">
        <v>97</v>
      </c>
      <c r="I99" s="19" t="s">
        <v>98</v>
      </c>
      <c r="J99" s="19"/>
      <c r="K99" s="12"/>
      <c r="L99" s="21"/>
      <c r="M99" s="21" t="str">
        <f aca="false">IF($L99="","",$L99+IF($J99="",Dashboard!$M$9,INDEX(Dashboard!$M$5:$M$9,$J99)))</f>
        <v/>
      </c>
      <c r="N99" s="22" t="str">
        <f aca="true">IF(OR($I99="Attempted",$I99="Revisit"),"DUE",IF($M99="","",IF($M99&lt;=TODAY(),"DUE","")))</f>
        <v/>
      </c>
      <c r="O99" s="11"/>
    </row>
    <row r="100" customFormat="false" ht="15" hidden="false" customHeight="true" outlineLevel="0" collapsed="false">
      <c r="A100" s="12" t="n">
        <v>99</v>
      </c>
      <c r="B100" s="11" t="s">
        <v>227</v>
      </c>
      <c r="C100" s="11" t="s">
        <v>228</v>
      </c>
      <c r="D100" s="11" t="s">
        <v>230</v>
      </c>
      <c r="E100" s="19" t="s">
        <v>94</v>
      </c>
      <c r="F100" s="19" t="s">
        <v>95</v>
      </c>
      <c r="G100" s="12" t="s">
        <v>107</v>
      </c>
      <c r="H100" s="20" t="s">
        <v>97</v>
      </c>
      <c r="I100" s="19" t="s">
        <v>98</v>
      </c>
      <c r="J100" s="19"/>
      <c r="K100" s="12"/>
      <c r="L100" s="21"/>
      <c r="M100" s="21" t="str">
        <f aca="false">IF($L100="","",$L100+IF($J100="",Dashboard!$M$9,INDEX(Dashboard!$M$5:$M$9,$J100)))</f>
        <v/>
      </c>
      <c r="N100" s="22" t="str">
        <f aca="true">IF(OR($I100="Attempted",$I100="Revisit"),"DUE",IF($M100="","",IF($M100&lt;=TODAY(),"DUE","")))</f>
        <v/>
      </c>
      <c r="O100" s="11"/>
    </row>
    <row r="101" customFormat="false" ht="15" hidden="false" customHeight="true" outlineLevel="0" collapsed="false">
      <c r="A101" s="12" t="n">
        <v>100</v>
      </c>
      <c r="B101" s="11" t="s">
        <v>227</v>
      </c>
      <c r="C101" s="11" t="s">
        <v>231</v>
      </c>
      <c r="D101" s="11" t="s">
        <v>232</v>
      </c>
      <c r="E101" s="19" t="s">
        <v>109</v>
      </c>
      <c r="F101" s="19" t="s">
        <v>121</v>
      </c>
      <c r="G101" s="12" t="s">
        <v>107</v>
      </c>
      <c r="H101" s="20" t="s">
        <v>97</v>
      </c>
      <c r="I101" s="19" t="s">
        <v>98</v>
      </c>
      <c r="J101" s="19"/>
      <c r="K101" s="12"/>
      <c r="L101" s="21"/>
      <c r="M101" s="21" t="str">
        <f aca="false">IF($L101="","",$L101+IF($J101="",Dashboard!$M$9,INDEX(Dashboard!$M$5:$M$9,$J101)))</f>
        <v/>
      </c>
      <c r="N101" s="22" t="str">
        <f aca="true">IF(OR($I101="Attempted",$I101="Revisit"),"DUE",IF($M101="","",IF($M101&lt;=TODAY(),"DUE","")))</f>
        <v/>
      </c>
      <c r="O101" s="11"/>
    </row>
    <row r="102" customFormat="false" ht="15" hidden="false" customHeight="true" outlineLevel="0" collapsed="false">
      <c r="A102" s="12" t="n">
        <v>101</v>
      </c>
      <c r="B102" s="11" t="s">
        <v>227</v>
      </c>
      <c r="C102" s="11" t="s">
        <v>231</v>
      </c>
      <c r="D102" s="11" t="s">
        <v>233</v>
      </c>
      <c r="E102" s="19" t="s">
        <v>94</v>
      </c>
      <c r="F102" s="19" t="s">
        <v>95</v>
      </c>
      <c r="G102" s="12" t="s">
        <v>96</v>
      </c>
      <c r="H102" s="20" t="s">
        <v>97</v>
      </c>
      <c r="I102" s="19" t="s">
        <v>98</v>
      </c>
      <c r="J102" s="19"/>
      <c r="K102" s="12"/>
      <c r="L102" s="21"/>
      <c r="M102" s="21" t="str">
        <f aca="false">IF($L102="","",$L102+IF($J102="",Dashboard!$M$9,INDEX(Dashboard!$M$5:$M$9,$J102)))</f>
        <v/>
      </c>
      <c r="N102" s="22" t="str">
        <f aca="true">IF(OR($I102="Attempted",$I102="Revisit"),"DUE",IF($M102="","",IF($M102&lt;=TODAY(),"DUE","")))</f>
        <v/>
      </c>
      <c r="O102" s="11"/>
    </row>
    <row r="103" customFormat="false" ht="15" hidden="false" customHeight="true" outlineLevel="0" collapsed="false">
      <c r="A103" s="12" t="n">
        <v>102</v>
      </c>
      <c r="B103" s="11" t="s">
        <v>227</v>
      </c>
      <c r="C103" s="11" t="s">
        <v>231</v>
      </c>
      <c r="D103" s="11" t="s">
        <v>234</v>
      </c>
      <c r="E103" s="19" t="s">
        <v>94</v>
      </c>
      <c r="F103" s="19" t="s">
        <v>95</v>
      </c>
      <c r="G103" s="12" t="s">
        <v>96</v>
      </c>
      <c r="H103" s="20" t="s">
        <v>97</v>
      </c>
      <c r="I103" s="19" t="s">
        <v>98</v>
      </c>
      <c r="J103" s="19"/>
      <c r="K103" s="12"/>
      <c r="L103" s="21"/>
      <c r="M103" s="21" t="str">
        <f aca="false">IF($L103="","",$L103+IF($J103="",Dashboard!$M$9,INDEX(Dashboard!$M$5:$M$9,$J103)))</f>
        <v/>
      </c>
      <c r="N103" s="22" t="str">
        <f aca="true">IF(OR($I103="Attempted",$I103="Revisit"),"DUE",IF($M103="","",IF($M103&lt;=TODAY(),"DUE","")))</f>
        <v/>
      </c>
      <c r="O103" s="11"/>
    </row>
    <row r="104" customFormat="false" ht="15" hidden="false" customHeight="true" outlineLevel="0" collapsed="false">
      <c r="A104" s="12" t="n">
        <v>103</v>
      </c>
      <c r="B104" s="11" t="s">
        <v>227</v>
      </c>
      <c r="C104" s="11" t="s">
        <v>231</v>
      </c>
      <c r="D104" s="11" t="s">
        <v>235</v>
      </c>
      <c r="E104" s="19" t="s">
        <v>94</v>
      </c>
      <c r="F104" s="19" t="s">
        <v>121</v>
      </c>
      <c r="G104" s="12" t="s">
        <v>96</v>
      </c>
      <c r="H104" s="20" t="s">
        <v>97</v>
      </c>
      <c r="I104" s="19" t="s">
        <v>98</v>
      </c>
      <c r="J104" s="19"/>
      <c r="K104" s="12"/>
      <c r="L104" s="21"/>
      <c r="M104" s="21" t="str">
        <f aca="false">IF($L104="","",$L104+IF($J104="",Dashboard!$M$9,INDEX(Dashboard!$M$5:$M$9,$J104)))</f>
        <v/>
      </c>
      <c r="N104" s="22" t="str">
        <f aca="true">IF(OR($I104="Attempted",$I104="Revisit"),"DUE",IF($M104="","",IF($M104&lt;=TODAY(),"DUE","")))</f>
        <v/>
      </c>
      <c r="O104" s="11"/>
    </row>
    <row r="105" customFormat="false" ht="15" hidden="false" customHeight="true" outlineLevel="0" collapsed="false">
      <c r="A105" s="12" t="n">
        <v>104</v>
      </c>
      <c r="B105" s="11" t="s">
        <v>227</v>
      </c>
      <c r="C105" s="11" t="s">
        <v>236</v>
      </c>
      <c r="D105" s="11" t="s">
        <v>237</v>
      </c>
      <c r="E105" s="19" t="s">
        <v>94</v>
      </c>
      <c r="F105" s="19" t="s">
        <v>95</v>
      </c>
      <c r="G105" s="12" t="s">
        <v>107</v>
      </c>
      <c r="H105" s="20" t="s">
        <v>97</v>
      </c>
      <c r="I105" s="19" t="s">
        <v>98</v>
      </c>
      <c r="J105" s="19"/>
      <c r="K105" s="12"/>
      <c r="L105" s="21"/>
      <c r="M105" s="21" t="str">
        <f aca="false">IF($L105="","",$L105+IF($J105="",Dashboard!$M$9,INDEX(Dashboard!$M$5:$M$9,$J105)))</f>
        <v/>
      </c>
      <c r="N105" s="22" t="str">
        <f aca="true">IF(OR($I105="Attempted",$I105="Revisit"),"DUE",IF($M105="","",IF($M105&lt;=TODAY(),"DUE","")))</f>
        <v/>
      </c>
      <c r="O105" s="11"/>
    </row>
    <row r="106" customFormat="false" ht="15" hidden="false" customHeight="true" outlineLevel="0" collapsed="false">
      <c r="A106" s="12" t="n">
        <v>105</v>
      </c>
      <c r="B106" s="11" t="s">
        <v>227</v>
      </c>
      <c r="C106" s="11" t="s">
        <v>236</v>
      </c>
      <c r="D106" s="11" t="s">
        <v>238</v>
      </c>
      <c r="E106" s="19" t="s">
        <v>94</v>
      </c>
      <c r="F106" s="19" t="s">
        <v>95</v>
      </c>
      <c r="G106" s="12" t="s">
        <v>107</v>
      </c>
      <c r="H106" s="20" t="s">
        <v>97</v>
      </c>
      <c r="I106" s="19" t="s">
        <v>98</v>
      </c>
      <c r="J106" s="19"/>
      <c r="K106" s="12"/>
      <c r="L106" s="21"/>
      <c r="M106" s="21" t="str">
        <f aca="false">IF($L106="","",$L106+IF($J106="",Dashboard!$M$9,INDEX(Dashboard!$M$5:$M$9,$J106)))</f>
        <v/>
      </c>
      <c r="N106" s="22" t="str">
        <f aca="true">IF(OR($I106="Attempted",$I106="Revisit"),"DUE",IF($M106="","",IF($M106&lt;=TODAY(),"DUE","")))</f>
        <v/>
      </c>
      <c r="O106" s="11"/>
    </row>
    <row r="107" customFormat="false" ht="15" hidden="false" customHeight="true" outlineLevel="0" collapsed="false">
      <c r="A107" s="12" t="n">
        <v>106</v>
      </c>
      <c r="B107" s="11" t="s">
        <v>227</v>
      </c>
      <c r="C107" s="11" t="s">
        <v>239</v>
      </c>
      <c r="D107" s="11" t="s">
        <v>240</v>
      </c>
      <c r="E107" s="19" t="s">
        <v>94</v>
      </c>
      <c r="F107" s="19" t="s">
        <v>95</v>
      </c>
      <c r="G107" s="12" t="s">
        <v>107</v>
      </c>
      <c r="H107" s="20" t="s">
        <v>97</v>
      </c>
      <c r="I107" s="19" t="s">
        <v>98</v>
      </c>
      <c r="J107" s="19"/>
      <c r="K107" s="12"/>
      <c r="L107" s="21"/>
      <c r="M107" s="21" t="str">
        <f aca="false">IF($L107="","",$L107+IF($J107="",Dashboard!$M$9,INDEX(Dashboard!$M$5:$M$9,$J107)))</f>
        <v/>
      </c>
      <c r="N107" s="22" t="str">
        <f aca="true">IF(OR($I107="Attempted",$I107="Revisit"),"DUE",IF($M107="","",IF($M107&lt;=TODAY(),"DUE","")))</f>
        <v/>
      </c>
      <c r="O107" s="11"/>
    </row>
    <row r="108" customFormat="false" ht="15" hidden="false" customHeight="true" outlineLevel="0" collapsed="false">
      <c r="A108" s="12" t="n">
        <v>107</v>
      </c>
      <c r="B108" s="11" t="s">
        <v>227</v>
      </c>
      <c r="C108" s="11" t="s">
        <v>241</v>
      </c>
      <c r="D108" s="11" t="s">
        <v>242</v>
      </c>
      <c r="E108" s="19" t="s">
        <v>109</v>
      </c>
      <c r="F108" s="19" t="s">
        <v>95</v>
      </c>
      <c r="G108" s="12" t="s">
        <v>107</v>
      </c>
      <c r="H108" s="20" t="s">
        <v>97</v>
      </c>
      <c r="I108" s="19" t="s">
        <v>98</v>
      </c>
      <c r="J108" s="19"/>
      <c r="K108" s="12"/>
      <c r="L108" s="21"/>
      <c r="M108" s="21" t="str">
        <f aca="false">IF($L108="","",$L108+IF($J108="",Dashboard!$M$9,INDEX(Dashboard!$M$5:$M$9,$J108)))</f>
        <v/>
      </c>
      <c r="N108" s="22" t="str">
        <f aca="true">IF(OR($I108="Attempted",$I108="Revisit"),"DUE",IF($M108="","",IF($M108&lt;=TODAY(),"DUE","")))</f>
        <v/>
      </c>
      <c r="O108" s="11"/>
    </row>
    <row r="109" customFormat="false" ht="15" hidden="false" customHeight="true" outlineLevel="0" collapsed="false">
      <c r="A109" s="12" t="n">
        <v>108</v>
      </c>
      <c r="B109" s="11" t="s">
        <v>227</v>
      </c>
      <c r="C109" s="11" t="s">
        <v>241</v>
      </c>
      <c r="D109" s="11" t="s">
        <v>243</v>
      </c>
      <c r="E109" s="19" t="s">
        <v>109</v>
      </c>
      <c r="F109" s="19" t="s">
        <v>121</v>
      </c>
      <c r="G109" s="12" t="s">
        <v>107</v>
      </c>
      <c r="H109" s="20" t="s">
        <v>97</v>
      </c>
      <c r="I109" s="19" t="s">
        <v>98</v>
      </c>
      <c r="J109" s="19"/>
      <c r="K109" s="12"/>
      <c r="L109" s="21"/>
      <c r="M109" s="21" t="str">
        <f aca="false">IF($L109="","",$L109+IF($J109="",Dashboard!$M$9,INDEX(Dashboard!$M$5:$M$9,$J109)))</f>
        <v/>
      </c>
      <c r="N109" s="22" t="str">
        <f aca="true">IF(OR($I109="Attempted",$I109="Revisit"),"DUE",IF($M109="","",IF($M109&lt;=TODAY(),"DUE","")))</f>
        <v/>
      </c>
      <c r="O109" s="11"/>
    </row>
    <row r="110" customFormat="false" ht="15" hidden="false" customHeight="true" outlineLevel="0" collapsed="false">
      <c r="A110" s="12" t="n">
        <v>109</v>
      </c>
      <c r="B110" s="11" t="s">
        <v>227</v>
      </c>
      <c r="C110" s="11" t="s">
        <v>241</v>
      </c>
      <c r="D110" s="11" t="s">
        <v>244</v>
      </c>
      <c r="E110" s="19" t="s">
        <v>109</v>
      </c>
      <c r="F110" s="19" t="s">
        <v>121</v>
      </c>
      <c r="G110" s="12" t="s">
        <v>107</v>
      </c>
      <c r="H110" s="20" t="s">
        <v>97</v>
      </c>
      <c r="I110" s="19" t="s">
        <v>98</v>
      </c>
      <c r="J110" s="19"/>
      <c r="K110" s="12"/>
      <c r="L110" s="21"/>
      <c r="M110" s="21" t="str">
        <f aca="false">IF($L110="","",$L110+IF($J110="",Dashboard!$M$9,INDEX(Dashboard!$M$5:$M$9,$J110)))</f>
        <v/>
      </c>
      <c r="N110" s="22" t="str">
        <f aca="true">IF(OR($I110="Attempted",$I110="Revisit"),"DUE",IF($M110="","",IF($M110&lt;=TODAY(),"DUE","")))</f>
        <v/>
      </c>
      <c r="O110" s="11"/>
    </row>
    <row r="111" customFormat="false" ht="15" hidden="false" customHeight="true" outlineLevel="0" collapsed="false">
      <c r="A111" s="12" t="n">
        <v>110</v>
      </c>
      <c r="B111" s="11" t="s">
        <v>227</v>
      </c>
      <c r="C111" s="11" t="s">
        <v>241</v>
      </c>
      <c r="D111" s="11" t="s">
        <v>245</v>
      </c>
      <c r="E111" s="19" t="s">
        <v>135</v>
      </c>
      <c r="F111" s="19" t="s">
        <v>136</v>
      </c>
      <c r="G111" s="12" t="s">
        <v>107</v>
      </c>
      <c r="H111" s="20" t="s">
        <v>97</v>
      </c>
      <c r="I111" s="19" t="s">
        <v>98</v>
      </c>
      <c r="J111" s="19"/>
      <c r="K111" s="12"/>
      <c r="L111" s="21"/>
      <c r="M111" s="21" t="str">
        <f aca="false">IF($L111="","",$L111+IF($J111="",Dashboard!$M$9,INDEX(Dashboard!$M$5:$M$9,$J111)))</f>
        <v/>
      </c>
      <c r="N111" s="22" t="str">
        <f aca="true">IF(OR($I111="Attempted",$I111="Revisit"),"DUE",IF($M111="","",IF($M111&lt;=TODAY(),"DUE","")))</f>
        <v/>
      </c>
      <c r="O111" s="11"/>
    </row>
    <row r="112" customFormat="false" ht="15" hidden="false" customHeight="true" outlineLevel="0" collapsed="false">
      <c r="A112" s="12" t="n">
        <v>111</v>
      </c>
      <c r="B112" s="11" t="s">
        <v>227</v>
      </c>
      <c r="C112" s="11" t="s">
        <v>241</v>
      </c>
      <c r="D112" s="11" t="s">
        <v>246</v>
      </c>
      <c r="E112" s="19" t="s">
        <v>94</v>
      </c>
      <c r="F112" s="19" t="s">
        <v>95</v>
      </c>
      <c r="G112" s="12" t="s">
        <v>96</v>
      </c>
      <c r="H112" s="20" t="s">
        <v>97</v>
      </c>
      <c r="I112" s="19" t="s">
        <v>98</v>
      </c>
      <c r="J112" s="19"/>
      <c r="K112" s="12"/>
      <c r="L112" s="21"/>
      <c r="M112" s="21" t="str">
        <f aca="false">IF($L112="","",$L112+IF($J112="",Dashboard!$M$9,INDEX(Dashboard!$M$5:$M$9,$J112)))</f>
        <v/>
      </c>
      <c r="N112" s="22" t="str">
        <f aca="true">IF(OR($I112="Attempted",$I112="Revisit"),"DUE",IF($M112="","",IF($M112&lt;=TODAY(),"DUE","")))</f>
        <v/>
      </c>
      <c r="O112" s="11"/>
    </row>
    <row r="113" customFormat="false" ht="15" hidden="false" customHeight="true" outlineLevel="0" collapsed="false">
      <c r="A113" s="12" t="n">
        <v>112</v>
      </c>
      <c r="B113" s="11" t="s">
        <v>227</v>
      </c>
      <c r="C113" s="11" t="s">
        <v>247</v>
      </c>
      <c r="D113" s="11" t="s">
        <v>248</v>
      </c>
      <c r="E113" s="19" t="s">
        <v>109</v>
      </c>
      <c r="F113" s="19" t="s">
        <v>95</v>
      </c>
      <c r="G113" s="12" t="s">
        <v>107</v>
      </c>
      <c r="H113" s="20" t="s">
        <v>97</v>
      </c>
      <c r="I113" s="19" t="s">
        <v>98</v>
      </c>
      <c r="J113" s="19"/>
      <c r="K113" s="12"/>
      <c r="L113" s="21"/>
      <c r="M113" s="21" t="str">
        <f aca="false">IF($L113="","",$L113+IF($J113="",Dashboard!$M$9,INDEX(Dashboard!$M$5:$M$9,$J113)))</f>
        <v/>
      </c>
      <c r="N113" s="22" t="str">
        <f aca="true">IF(OR($I113="Attempted",$I113="Revisit"),"DUE",IF($M113="","",IF($M113&lt;=TODAY(),"DUE","")))</f>
        <v/>
      </c>
      <c r="O113" s="11"/>
    </row>
    <row r="114" customFormat="false" ht="15" hidden="false" customHeight="true" outlineLevel="0" collapsed="false">
      <c r="A114" s="12" t="n">
        <v>113</v>
      </c>
      <c r="B114" s="11" t="s">
        <v>227</v>
      </c>
      <c r="C114" s="11" t="s">
        <v>247</v>
      </c>
      <c r="D114" s="11" t="s">
        <v>249</v>
      </c>
      <c r="E114" s="19" t="s">
        <v>109</v>
      </c>
      <c r="F114" s="19" t="s">
        <v>95</v>
      </c>
      <c r="G114" s="12" t="s">
        <v>107</v>
      </c>
      <c r="H114" s="20" t="s">
        <v>97</v>
      </c>
      <c r="I114" s="19" t="s">
        <v>98</v>
      </c>
      <c r="J114" s="19"/>
      <c r="K114" s="12"/>
      <c r="L114" s="21"/>
      <c r="M114" s="21" t="str">
        <f aca="false">IF($L114="","",$L114+IF($J114="",Dashboard!$M$9,INDEX(Dashboard!$M$5:$M$9,$J114)))</f>
        <v/>
      </c>
      <c r="N114" s="22" t="str">
        <f aca="true">IF(OR($I114="Attempted",$I114="Revisit"),"DUE",IF($M114="","",IF($M114&lt;=TODAY(),"DUE","")))</f>
        <v/>
      </c>
      <c r="O114" s="11"/>
    </row>
    <row r="115" customFormat="false" ht="15" hidden="false" customHeight="true" outlineLevel="0" collapsed="false">
      <c r="A115" s="12" t="n">
        <v>114</v>
      </c>
      <c r="B115" s="11" t="s">
        <v>227</v>
      </c>
      <c r="C115" s="11" t="s">
        <v>250</v>
      </c>
      <c r="D115" s="11" t="s">
        <v>251</v>
      </c>
      <c r="E115" s="19" t="s">
        <v>109</v>
      </c>
      <c r="F115" s="19" t="s">
        <v>95</v>
      </c>
      <c r="G115" s="12" t="s">
        <v>107</v>
      </c>
      <c r="H115" s="20" t="s">
        <v>97</v>
      </c>
      <c r="I115" s="19" t="s">
        <v>98</v>
      </c>
      <c r="J115" s="19"/>
      <c r="K115" s="12"/>
      <c r="L115" s="21"/>
      <c r="M115" s="21" t="str">
        <f aca="false">IF($L115="","",$L115+IF($J115="",Dashboard!$M$9,INDEX(Dashboard!$M$5:$M$9,$J115)))</f>
        <v/>
      </c>
      <c r="N115" s="22" t="str">
        <f aca="true">IF(OR($I115="Attempted",$I115="Revisit"),"DUE",IF($M115="","",IF($M115&lt;=TODAY(),"DUE","")))</f>
        <v/>
      </c>
      <c r="O115" s="11"/>
    </row>
    <row r="116" customFormat="false" ht="15" hidden="false" customHeight="true" outlineLevel="0" collapsed="false">
      <c r="A116" s="12" t="n">
        <v>115</v>
      </c>
      <c r="B116" s="11" t="s">
        <v>227</v>
      </c>
      <c r="C116" s="11" t="s">
        <v>252</v>
      </c>
      <c r="D116" s="11" t="s">
        <v>253</v>
      </c>
      <c r="E116" s="19" t="s">
        <v>109</v>
      </c>
      <c r="F116" s="19" t="s">
        <v>95</v>
      </c>
      <c r="G116" s="12" t="s">
        <v>96</v>
      </c>
      <c r="H116" s="20" t="s">
        <v>97</v>
      </c>
      <c r="I116" s="19" t="s">
        <v>98</v>
      </c>
      <c r="J116" s="19"/>
      <c r="K116" s="12"/>
      <c r="L116" s="21"/>
      <c r="M116" s="21" t="str">
        <f aca="false">IF($L116="","",$L116+IF($J116="",Dashboard!$M$9,INDEX(Dashboard!$M$5:$M$9,$J116)))</f>
        <v/>
      </c>
      <c r="N116" s="22" t="str">
        <f aca="true">IF(OR($I116="Attempted",$I116="Revisit"),"DUE",IF($M116="","",IF($M116&lt;=TODAY(),"DUE","")))</f>
        <v/>
      </c>
      <c r="O116" s="11"/>
    </row>
    <row r="117" customFormat="false" ht="15" hidden="false" customHeight="true" outlineLevel="0" collapsed="false">
      <c r="A117" s="12" t="n">
        <v>116</v>
      </c>
      <c r="B117" s="11" t="s">
        <v>227</v>
      </c>
      <c r="C117" s="11" t="s">
        <v>254</v>
      </c>
      <c r="D117" s="11" t="s">
        <v>255</v>
      </c>
      <c r="E117" s="19" t="s">
        <v>109</v>
      </c>
      <c r="F117" s="19" t="s">
        <v>95</v>
      </c>
      <c r="G117" s="12" t="s">
        <v>107</v>
      </c>
      <c r="H117" s="20" t="s">
        <v>97</v>
      </c>
      <c r="I117" s="19" t="s">
        <v>98</v>
      </c>
      <c r="J117" s="19"/>
      <c r="K117" s="12"/>
      <c r="L117" s="21"/>
      <c r="M117" s="21" t="str">
        <f aca="false">IF($L117="","",$L117+IF($J117="",Dashboard!$M$9,INDEX(Dashboard!$M$5:$M$9,$J117)))</f>
        <v/>
      </c>
      <c r="N117" s="22" t="str">
        <f aca="true">IF(OR($I117="Attempted",$I117="Revisit"),"DUE",IF($M117="","",IF($M117&lt;=TODAY(),"DUE","")))</f>
        <v/>
      </c>
      <c r="O117" s="11"/>
    </row>
    <row r="118" customFormat="false" ht="15" hidden="false" customHeight="true" outlineLevel="0" collapsed="false">
      <c r="A118" s="12" t="n">
        <v>117</v>
      </c>
      <c r="B118" s="11" t="s">
        <v>227</v>
      </c>
      <c r="C118" s="11" t="s">
        <v>254</v>
      </c>
      <c r="D118" s="11" t="s">
        <v>256</v>
      </c>
      <c r="E118" s="19" t="s">
        <v>109</v>
      </c>
      <c r="F118" s="19" t="s">
        <v>95</v>
      </c>
      <c r="G118" s="12" t="s">
        <v>107</v>
      </c>
      <c r="H118" s="20" t="s">
        <v>97</v>
      </c>
      <c r="I118" s="19" t="s">
        <v>98</v>
      </c>
      <c r="J118" s="19"/>
      <c r="K118" s="12"/>
      <c r="L118" s="21"/>
      <c r="M118" s="21" t="str">
        <f aca="false">IF($L118="","",$L118+IF($J118="",Dashboard!$M$9,INDEX(Dashboard!$M$5:$M$9,$J118)))</f>
        <v/>
      </c>
      <c r="N118" s="22" t="str">
        <f aca="true">IF(OR($I118="Attempted",$I118="Revisit"),"DUE",IF($M118="","",IF($M118&lt;=TODAY(),"DUE","")))</f>
        <v/>
      </c>
      <c r="O118" s="11"/>
    </row>
    <row r="119" customFormat="false" ht="15" hidden="false" customHeight="true" outlineLevel="0" collapsed="false">
      <c r="A119" s="12" t="n">
        <v>118</v>
      </c>
      <c r="B119" s="11" t="s">
        <v>227</v>
      </c>
      <c r="C119" s="11" t="s">
        <v>254</v>
      </c>
      <c r="D119" s="11" t="s">
        <v>257</v>
      </c>
      <c r="E119" s="19" t="s">
        <v>109</v>
      </c>
      <c r="F119" s="19" t="s">
        <v>121</v>
      </c>
      <c r="G119" s="12" t="s">
        <v>107</v>
      </c>
      <c r="H119" s="20" t="s">
        <v>97</v>
      </c>
      <c r="I119" s="19" t="s">
        <v>98</v>
      </c>
      <c r="J119" s="19"/>
      <c r="K119" s="12"/>
      <c r="L119" s="21"/>
      <c r="M119" s="21" t="str">
        <f aca="false">IF($L119="","",$L119+IF($J119="",Dashboard!$M$9,INDEX(Dashboard!$M$5:$M$9,$J119)))</f>
        <v/>
      </c>
      <c r="N119" s="22" t="str">
        <f aca="true">IF(OR($I119="Attempted",$I119="Revisit"),"DUE",IF($M119="","",IF($M119&lt;=TODAY(),"DUE","")))</f>
        <v/>
      </c>
      <c r="O119" s="11"/>
    </row>
    <row r="120" customFormat="false" ht="15" hidden="false" customHeight="true" outlineLevel="0" collapsed="false">
      <c r="A120" s="12" t="n">
        <v>119</v>
      </c>
      <c r="B120" s="11" t="s">
        <v>227</v>
      </c>
      <c r="C120" s="11" t="s">
        <v>254</v>
      </c>
      <c r="D120" s="11" t="s">
        <v>258</v>
      </c>
      <c r="E120" s="19" t="s">
        <v>135</v>
      </c>
      <c r="F120" s="19" t="s">
        <v>136</v>
      </c>
      <c r="G120" s="12" t="s">
        <v>107</v>
      </c>
      <c r="H120" s="20" t="s">
        <v>97</v>
      </c>
      <c r="I120" s="19" t="s">
        <v>98</v>
      </c>
      <c r="J120" s="19"/>
      <c r="K120" s="12"/>
      <c r="L120" s="21"/>
      <c r="M120" s="21" t="str">
        <f aca="false">IF($L120="","",$L120+IF($J120="",Dashboard!$M$9,INDEX(Dashboard!$M$5:$M$9,$J120)))</f>
        <v/>
      </c>
      <c r="N120" s="22" t="str">
        <f aca="true">IF(OR($I120="Attempted",$I120="Revisit"),"DUE",IF($M120="","",IF($M120&lt;=TODAY(),"DUE","")))</f>
        <v/>
      </c>
      <c r="O120" s="11"/>
    </row>
    <row r="121" customFormat="false" ht="15" hidden="false" customHeight="true" outlineLevel="0" collapsed="false">
      <c r="A121" s="12" t="n">
        <v>120</v>
      </c>
      <c r="B121" s="11" t="s">
        <v>227</v>
      </c>
      <c r="C121" s="11" t="s">
        <v>254</v>
      </c>
      <c r="D121" s="11" t="s">
        <v>259</v>
      </c>
      <c r="E121" s="19" t="s">
        <v>135</v>
      </c>
      <c r="F121" s="19" t="s">
        <v>136</v>
      </c>
      <c r="G121" s="12" t="s">
        <v>96</v>
      </c>
      <c r="H121" s="20" t="s">
        <v>97</v>
      </c>
      <c r="I121" s="19" t="s">
        <v>98</v>
      </c>
      <c r="J121" s="19"/>
      <c r="K121" s="12"/>
      <c r="L121" s="21"/>
      <c r="M121" s="21" t="str">
        <f aca="false">IF($L121="","",$L121+IF($J121="",Dashboard!$M$9,INDEX(Dashboard!$M$5:$M$9,$J121)))</f>
        <v/>
      </c>
      <c r="N121" s="22" t="str">
        <f aca="true">IF(OR($I121="Attempted",$I121="Revisit"),"DUE",IF($M121="","",IF($M121&lt;=TODAY(),"DUE","")))</f>
        <v/>
      </c>
      <c r="O121" s="11"/>
    </row>
    <row r="122" customFormat="false" ht="15" hidden="false" customHeight="true" outlineLevel="0" collapsed="false">
      <c r="A122" s="12" t="n">
        <v>121</v>
      </c>
      <c r="B122" s="11" t="s">
        <v>227</v>
      </c>
      <c r="C122" s="11" t="s">
        <v>260</v>
      </c>
      <c r="D122" s="11" t="s">
        <v>261</v>
      </c>
      <c r="E122" s="19" t="s">
        <v>135</v>
      </c>
      <c r="F122" s="19" t="s">
        <v>95</v>
      </c>
      <c r="G122" s="12" t="s">
        <v>107</v>
      </c>
      <c r="H122" s="20" t="s">
        <v>97</v>
      </c>
      <c r="I122" s="19" t="s">
        <v>98</v>
      </c>
      <c r="J122" s="19"/>
      <c r="K122" s="12"/>
      <c r="L122" s="21"/>
      <c r="M122" s="21" t="str">
        <f aca="false">IF($L122="","",$L122+IF($J122="",Dashboard!$M$9,INDEX(Dashboard!$M$5:$M$9,$J122)))</f>
        <v/>
      </c>
      <c r="N122" s="22" t="str">
        <f aca="true">IF(OR($I122="Attempted",$I122="Revisit"),"DUE",IF($M122="","",IF($M122&lt;=TODAY(),"DUE","")))</f>
        <v/>
      </c>
      <c r="O122" s="11"/>
    </row>
    <row r="123" customFormat="false" ht="15" hidden="false" customHeight="true" outlineLevel="0" collapsed="false">
      <c r="A123" s="12" t="n">
        <v>122</v>
      </c>
      <c r="B123" s="11" t="s">
        <v>227</v>
      </c>
      <c r="C123" s="11" t="s">
        <v>260</v>
      </c>
      <c r="D123" s="11" t="s">
        <v>262</v>
      </c>
      <c r="E123" s="19" t="s">
        <v>135</v>
      </c>
      <c r="F123" s="19" t="s">
        <v>95</v>
      </c>
      <c r="G123" s="12" t="s">
        <v>96</v>
      </c>
      <c r="H123" s="20" t="s">
        <v>97</v>
      </c>
      <c r="I123" s="19" t="s">
        <v>98</v>
      </c>
      <c r="J123" s="19"/>
      <c r="K123" s="12"/>
      <c r="L123" s="21"/>
      <c r="M123" s="21" t="str">
        <f aca="false">IF($L123="","",$L123+IF($J123="",Dashboard!$M$9,INDEX(Dashboard!$M$5:$M$9,$J123)))</f>
        <v/>
      </c>
      <c r="N123" s="22" t="str">
        <f aca="true">IF(OR($I123="Attempted",$I123="Revisit"),"DUE",IF($M123="","",IF($M123&lt;=TODAY(),"DUE","")))</f>
        <v/>
      </c>
      <c r="O123" s="11"/>
    </row>
    <row r="124" customFormat="false" ht="15" hidden="false" customHeight="true" outlineLevel="0" collapsed="false">
      <c r="A124" s="12" t="n">
        <v>123</v>
      </c>
      <c r="B124" s="11" t="s">
        <v>227</v>
      </c>
      <c r="C124" s="11" t="s">
        <v>236</v>
      </c>
      <c r="D124" s="11" t="s">
        <v>263</v>
      </c>
      <c r="E124" s="19" t="s">
        <v>109</v>
      </c>
      <c r="F124" s="19" t="s">
        <v>121</v>
      </c>
      <c r="G124" s="12" t="s">
        <v>107</v>
      </c>
      <c r="H124" s="20" t="s">
        <v>97</v>
      </c>
      <c r="I124" s="19" t="s">
        <v>98</v>
      </c>
      <c r="J124" s="19"/>
      <c r="K124" s="12"/>
      <c r="L124" s="21"/>
      <c r="M124" s="21" t="str">
        <f aca="false">IF($L124="","",$L124+IF($J124="",Dashboard!$M$9,INDEX(Dashboard!$M$5:$M$9,$J124)))</f>
        <v/>
      </c>
      <c r="N124" s="22" t="str">
        <f aca="true">IF(OR($I124="Attempted",$I124="Revisit"),"DUE",IF($M124="","",IF($M124&lt;=TODAY(),"DUE","")))</f>
        <v/>
      </c>
      <c r="O124" s="11"/>
    </row>
    <row r="125" customFormat="false" ht="15" hidden="false" customHeight="true" outlineLevel="0" collapsed="false">
      <c r="A125" s="12" t="n">
        <v>124</v>
      </c>
      <c r="B125" s="11" t="s">
        <v>227</v>
      </c>
      <c r="C125" s="11" t="s">
        <v>236</v>
      </c>
      <c r="D125" s="11" t="s">
        <v>264</v>
      </c>
      <c r="E125" s="19" t="s">
        <v>109</v>
      </c>
      <c r="F125" s="19" t="s">
        <v>121</v>
      </c>
      <c r="G125" s="12" t="s">
        <v>107</v>
      </c>
      <c r="H125" s="20" t="s">
        <v>97</v>
      </c>
      <c r="I125" s="19" t="s">
        <v>98</v>
      </c>
      <c r="J125" s="19"/>
      <c r="K125" s="12"/>
      <c r="L125" s="21"/>
      <c r="M125" s="21" t="str">
        <f aca="false">IF($L125="","",$L125+IF($J125="",Dashboard!$M$9,INDEX(Dashboard!$M$5:$M$9,$J125)))</f>
        <v/>
      </c>
      <c r="N125" s="22" t="str">
        <f aca="true">IF(OR($I125="Attempted",$I125="Revisit"),"DUE",IF($M125="","",IF($M125&lt;=TODAY(),"DUE","")))</f>
        <v/>
      </c>
      <c r="O125" s="11"/>
    </row>
    <row r="126" customFormat="false" ht="15" hidden="false" customHeight="true" outlineLevel="0" collapsed="false">
      <c r="A126" s="12" t="n">
        <v>125</v>
      </c>
      <c r="B126" s="11" t="s">
        <v>227</v>
      </c>
      <c r="C126" s="11" t="s">
        <v>236</v>
      </c>
      <c r="D126" s="11" t="s">
        <v>265</v>
      </c>
      <c r="E126" s="19" t="s">
        <v>109</v>
      </c>
      <c r="F126" s="19" t="s">
        <v>121</v>
      </c>
      <c r="G126" s="12" t="s">
        <v>107</v>
      </c>
      <c r="H126" s="20" t="s">
        <v>97</v>
      </c>
      <c r="I126" s="19" t="s">
        <v>98</v>
      </c>
      <c r="J126" s="19"/>
      <c r="K126" s="12"/>
      <c r="L126" s="21"/>
      <c r="M126" s="21" t="str">
        <f aca="false">IF($L126="","",$L126+IF($J126="",Dashboard!$M$9,INDEX(Dashboard!$M$5:$M$9,$J126)))</f>
        <v/>
      </c>
      <c r="N126" s="22" t="str">
        <f aca="true">IF(OR($I126="Attempted",$I126="Revisit"),"DUE",IF($M126="","",IF($M126&lt;=TODAY(),"DUE","")))</f>
        <v/>
      </c>
      <c r="O126" s="11"/>
    </row>
    <row r="127" customFormat="false" ht="15" hidden="false" customHeight="true" outlineLevel="0" collapsed="false">
      <c r="A127" s="12" t="n">
        <v>126</v>
      </c>
      <c r="B127" s="11" t="s">
        <v>227</v>
      </c>
      <c r="C127" s="11" t="s">
        <v>236</v>
      </c>
      <c r="D127" s="11" t="s">
        <v>266</v>
      </c>
      <c r="E127" s="19" t="s">
        <v>109</v>
      </c>
      <c r="F127" s="19" t="s">
        <v>121</v>
      </c>
      <c r="G127" s="12" t="s">
        <v>107</v>
      </c>
      <c r="H127" s="20" t="s">
        <v>97</v>
      </c>
      <c r="I127" s="19" t="s">
        <v>98</v>
      </c>
      <c r="J127" s="19"/>
      <c r="K127" s="12"/>
      <c r="L127" s="21"/>
      <c r="M127" s="21" t="str">
        <f aca="false">IF($L127="","",$L127+IF($J127="",Dashboard!$M$9,INDEX(Dashboard!$M$5:$M$9,$J127)))</f>
        <v/>
      </c>
      <c r="N127" s="22" t="str">
        <f aca="true">IF(OR($I127="Attempted",$I127="Revisit"),"DUE",IF($M127="","",IF($M127&lt;=TODAY(),"DUE","")))</f>
        <v/>
      </c>
      <c r="O127" s="11"/>
    </row>
    <row r="128" customFormat="false" ht="15" hidden="false" customHeight="true" outlineLevel="0" collapsed="false">
      <c r="A128" s="12" t="n">
        <v>127</v>
      </c>
      <c r="B128" s="11" t="s">
        <v>227</v>
      </c>
      <c r="C128" s="11" t="s">
        <v>236</v>
      </c>
      <c r="D128" s="11" t="s">
        <v>267</v>
      </c>
      <c r="E128" s="19" t="s">
        <v>109</v>
      </c>
      <c r="F128" s="19" t="s">
        <v>121</v>
      </c>
      <c r="G128" s="12" t="s">
        <v>107</v>
      </c>
      <c r="H128" s="20" t="s">
        <v>97</v>
      </c>
      <c r="I128" s="19" t="s">
        <v>98</v>
      </c>
      <c r="J128" s="19"/>
      <c r="K128" s="12"/>
      <c r="L128" s="21"/>
      <c r="M128" s="21" t="str">
        <f aca="false">IF($L128="","",$L128+IF($J128="",Dashboard!$M$9,INDEX(Dashboard!$M$5:$M$9,$J128)))</f>
        <v/>
      </c>
      <c r="N128" s="22" t="str">
        <f aca="true">IF(OR($I128="Attempted",$I128="Revisit"),"DUE",IF($M128="","",IF($M128&lt;=TODAY(),"DUE","")))</f>
        <v/>
      </c>
      <c r="O128" s="11"/>
    </row>
    <row r="129" customFormat="false" ht="15" hidden="false" customHeight="true" outlineLevel="0" collapsed="false">
      <c r="A129" s="12" t="n">
        <v>128</v>
      </c>
      <c r="B129" s="11" t="s">
        <v>227</v>
      </c>
      <c r="C129" s="11" t="s">
        <v>236</v>
      </c>
      <c r="D129" s="11" t="s">
        <v>268</v>
      </c>
      <c r="E129" s="19" t="s">
        <v>109</v>
      </c>
      <c r="F129" s="19" t="s">
        <v>121</v>
      </c>
      <c r="G129" s="12" t="s">
        <v>107</v>
      </c>
      <c r="H129" s="20" t="s">
        <v>97</v>
      </c>
      <c r="I129" s="19" t="s">
        <v>98</v>
      </c>
      <c r="J129" s="19"/>
      <c r="K129" s="12"/>
      <c r="L129" s="21"/>
      <c r="M129" s="21" t="str">
        <f aca="false">IF($L129="","",$L129+IF($J129="",Dashboard!$M$9,INDEX(Dashboard!$M$5:$M$9,$J129)))</f>
        <v/>
      </c>
      <c r="N129" s="22" t="str">
        <f aca="true">IF(OR($I129="Attempted",$I129="Revisit"),"DUE",IF($M129="","",IF($M129&lt;=TODAY(),"DUE","")))</f>
        <v/>
      </c>
      <c r="O129" s="11"/>
    </row>
    <row r="130" customFormat="false" ht="15" hidden="false" customHeight="true" outlineLevel="0" collapsed="false">
      <c r="A130" s="12" t="n">
        <v>129</v>
      </c>
      <c r="B130" s="11" t="s">
        <v>227</v>
      </c>
      <c r="C130" s="11" t="s">
        <v>236</v>
      </c>
      <c r="D130" s="11" t="s">
        <v>269</v>
      </c>
      <c r="E130" s="19" t="s">
        <v>135</v>
      </c>
      <c r="F130" s="19" t="s">
        <v>136</v>
      </c>
      <c r="G130" s="12" t="s">
        <v>107</v>
      </c>
      <c r="H130" s="20" t="s">
        <v>97</v>
      </c>
      <c r="I130" s="19" t="s">
        <v>98</v>
      </c>
      <c r="J130" s="19"/>
      <c r="K130" s="12"/>
      <c r="L130" s="21"/>
      <c r="M130" s="21" t="str">
        <f aca="false">IF($L130="","",$L130+IF($J130="",Dashboard!$M$9,INDEX(Dashboard!$M$5:$M$9,$J130)))</f>
        <v/>
      </c>
      <c r="N130" s="22" t="str">
        <f aca="true">IF(OR($I130="Attempted",$I130="Revisit"),"DUE",IF($M130="","",IF($M130&lt;=TODAY(),"DUE","")))</f>
        <v/>
      </c>
      <c r="O130" s="11"/>
    </row>
    <row r="131" customFormat="false" ht="15" hidden="false" customHeight="true" outlineLevel="0" collapsed="false">
      <c r="A131" s="12" t="n">
        <v>130</v>
      </c>
      <c r="B131" s="11" t="s">
        <v>227</v>
      </c>
      <c r="C131" s="11" t="s">
        <v>236</v>
      </c>
      <c r="D131" s="11" t="s">
        <v>270</v>
      </c>
      <c r="E131" s="19" t="s">
        <v>135</v>
      </c>
      <c r="F131" s="19" t="s">
        <v>136</v>
      </c>
      <c r="G131" s="12" t="s">
        <v>96</v>
      </c>
      <c r="H131" s="20" t="s">
        <v>97</v>
      </c>
      <c r="I131" s="19" t="s">
        <v>98</v>
      </c>
      <c r="J131" s="19"/>
      <c r="K131" s="12"/>
      <c r="L131" s="21"/>
      <c r="M131" s="21" t="str">
        <f aca="false">IF($L131="","",$L131+IF($J131="",Dashboard!$M$9,INDEX(Dashboard!$M$5:$M$9,$J131)))</f>
        <v/>
      </c>
      <c r="N131" s="22" t="str">
        <f aca="true">IF(OR($I131="Attempted",$I131="Revisit"),"DUE",IF($M131="","",IF($M131&lt;=TODAY(),"DUE","")))</f>
        <v/>
      </c>
      <c r="O131" s="11"/>
    </row>
    <row r="132" customFormat="false" ht="15" hidden="false" customHeight="true" outlineLevel="0" collapsed="false">
      <c r="A132" s="12" t="n">
        <v>131</v>
      </c>
      <c r="B132" s="11" t="s">
        <v>227</v>
      </c>
      <c r="C132" s="11" t="s">
        <v>236</v>
      </c>
      <c r="D132" s="11" t="s">
        <v>271</v>
      </c>
      <c r="E132" s="19" t="s">
        <v>135</v>
      </c>
      <c r="F132" s="19" t="s">
        <v>136</v>
      </c>
      <c r="G132" s="12" t="s">
        <v>96</v>
      </c>
      <c r="H132" s="20" t="s">
        <v>97</v>
      </c>
      <c r="I132" s="19" t="s">
        <v>98</v>
      </c>
      <c r="J132" s="19"/>
      <c r="K132" s="12"/>
      <c r="L132" s="21"/>
      <c r="M132" s="21" t="str">
        <f aca="false">IF($L132="","",$L132+IF($J132="",Dashboard!$M$9,INDEX(Dashboard!$M$5:$M$9,$J132)))</f>
        <v/>
      </c>
      <c r="N132" s="22" t="str">
        <f aca="true">IF(OR($I132="Attempted",$I132="Revisit"),"DUE",IF($M132="","",IF($M132&lt;=TODAY(),"DUE","")))</f>
        <v/>
      </c>
      <c r="O132" s="11"/>
    </row>
    <row r="133" customFormat="false" ht="15" hidden="false" customHeight="true" outlineLevel="0" collapsed="false">
      <c r="A133" s="12" t="n">
        <v>132</v>
      </c>
      <c r="B133" s="11" t="s">
        <v>227</v>
      </c>
      <c r="C133" s="11" t="s">
        <v>236</v>
      </c>
      <c r="D133" s="11" t="s">
        <v>272</v>
      </c>
      <c r="E133" s="19" t="s">
        <v>109</v>
      </c>
      <c r="F133" s="19" t="s">
        <v>121</v>
      </c>
      <c r="G133" s="12" t="s">
        <v>107</v>
      </c>
      <c r="H133" s="20" t="s">
        <v>97</v>
      </c>
      <c r="I133" s="19" t="s">
        <v>98</v>
      </c>
      <c r="J133" s="19"/>
      <c r="K133" s="12"/>
      <c r="L133" s="21"/>
      <c r="M133" s="21" t="str">
        <f aca="false">IF($L133="","",$L133+IF($J133="",Dashboard!$M$9,INDEX(Dashboard!$M$5:$M$9,$J133)))</f>
        <v/>
      </c>
      <c r="N133" s="22" t="str">
        <f aca="true">IF(OR($I133="Attempted",$I133="Revisit"),"DUE",IF($M133="","",IF($M133&lt;=TODAY(),"DUE","")))</f>
        <v/>
      </c>
      <c r="O133" s="11"/>
    </row>
    <row r="134" customFormat="false" ht="15" hidden="false" customHeight="true" outlineLevel="0" collapsed="false">
      <c r="A134" s="12" t="n">
        <v>133</v>
      </c>
      <c r="B134" s="11" t="s">
        <v>227</v>
      </c>
      <c r="C134" s="11" t="s">
        <v>236</v>
      </c>
      <c r="D134" s="11" t="s">
        <v>273</v>
      </c>
      <c r="E134" s="19" t="s">
        <v>109</v>
      </c>
      <c r="F134" s="19" t="s">
        <v>121</v>
      </c>
      <c r="G134" s="12" t="s">
        <v>107</v>
      </c>
      <c r="H134" s="20" t="s">
        <v>97</v>
      </c>
      <c r="I134" s="19" t="s">
        <v>98</v>
      </c>
      <c r="J134" s="19"/>
      <c r="K134" s="12"/>
      <c r="L134" s="21"/>
      <c r="M134" s="21" t="str">
        <f aca="false">IF($L134="","",$L134+IF($J134="",Dashboard!$M$9,INDEX(Dashboard!$M$5:$M$9,$J134)))</f>
        <v/>
      </c>
      <c r="N134" s="22" t="str">
        <f aca="true">IF(OR($I134="Attempted",$I134="Revisit"),"DUE",IF($M134="","",IF($M134&lt;=TODAY(),"DUE","")))</f>
        <v/>
      </c>
      <c r="O134" s="11"/>
    </row>
    <row r="135" customFormat="false" ht="15" hidden="false" customHeight="true" outlineLevel="0" collapsed="false">
      <c r="A135" s="12" t="n">
        <v>134</v>
      </c>
      <c r="B135" s="11" t="s">
        <v>227</v>
      </c>
      <c r="C135" s="11" t="s">
        <v>236</v>
      </c>
      <c r="D135" s="11" t="s">
        <v>274</v>
      </c>
      <c r="E135" s="19" t="s">
        <v>135</v>
      </c>
      <c r="F135" s="19" t="s">
        <v>136</v>
      </c>
      <c r="G135" s="12" t="s">
        <v>96</v>
      </c>
      <c r="H135" s="20" t="s">
        <v>97</v>
      </c>
      <c r="I135" s="19" t="s">
        <v>98</v>
      </c>
      <c r="J135" s="19"/>
      <c r="K135" s="12"/>
      <c r="L135" s="21"/>
      <c r="M135" s="21" t="str">
        <f aca="false">IF($L135="","",$L135+IF($J135="",Dashboard!$M$9,INDEX(Dashboard!$M$5:$M$9,$J135)))</f>
        <v/>
      </c>
      <c r="N135" s="22" t="str">
        <f aca="true">IF(OR($I135="Attempted",$I135="Revisit"),"DUE",IF($M135="","",IF($M135&lt;=TODAY(),"DUE","")))</f>
        <v/>
      </c>
      <c r="O135" s="11"/>
    </row>
    <row r="136" customFormat="false" ht="15" hidden="false" customHeight="true" outlineLevel="0" collapsed="false">
      <c r="A136" s="12" t="n">
        <v>135</v>
      </c>
      <c r="B136" s="11" t="s">
        <v>227</v>
      </c>
      <c r="C136" s="11" t="s">
        <v>236</v>
      </c>
      <c r="D136" s="11" t="s">
        <v>275</v>
      </c>
      <c r="E136" s="19" t="s">
        <v>109</v>
      </c>
      <c r="F136" s="19" t="s">
        <v>121</v>
      </c>
      <c r="G136" s="12" t="s">
        <v>107</v>
      </c>
      <c r="H136" s="20" t="s">
        <v>97</v>
      </c>
      <c r="I136" s="19" t="s">
        <v>98</v>
      </c>
      <c r="J136" s="19"/>
      <c r="K136" s="12"/>
      <c r="L136" s="21"/>
      <c r="M136" s="21" t="str">
        <f aca="false">IF($L136="","",$L136+IF($J136="",Dashboard!$M$9,INDEX(Dashboard!$M$5:$M$9,$J136)))</f>
        <v/>
      </c>
      <c r="N136" s="22" t="str">
        <f aca="true">IF(OR($I136="Attempted",$I136="Revisit"),"DUE",IF($M136="","",IF($M136&lt;=TODAY(),"DUE","")))</f>
        <v/>
      </c>
      <c r="O136" s="11"/>
    </row>
    <row r="137" customFormat="false" ht="15" hidden="false" customHeight="true" outlineLevel="0" collapsed="false">
      <c r="A137" s="12" t="n">
        <v>136</v>
      </c>
      <c r="B137" s="11" t="s">
        <v>276</v>
      </c>
      <c r="C137" s="11" t="s">
        <v>117</v>
      </c>
      <c r="D137" s="11" t="s">
        <v>277</v>
      </c>
      <c r="E137" s="19" t="s">
        <v>94</v>
      </c>
      <c r="F137" s="19" t="s">
        <v>95</v>
      </c>
      <c r="G137" s="12" t="s">
        <v>107</v>
      </c>
      <c r="H137" s="20" t="s">
        <v>97</v>
      </c>
      <c r="I137" s="19" t="s">
        <v>98</v>
      </c>
      <c r="J137" s="19"/>
      <c r="K137" s="12"/>
      <c r="L137" s="21"/>
      <c r="M137" s="21" t="str">
        <f aca="false">IF($L137="","",$L137+IF($J137="",Dashboard!$M$9,INDEX(Dashboard!$M$5:$M$9,$J137)))</f>
        <v/>
      </c>
      <c r="N137" s="22" t="str">
        <f aca="true">IF(OR($I137="Attempted",$I137="Revisit"),"DUE",IF($M137="","",IF($M137&lt;=TODAY(),"DUE","")))</f>
        <v/>
      </c>
      <c r="O137" s="11"/>
    </row>
    <row r="138" customFormat="false" ht="15" hidden="false" customHeight="true" outlineLevel="0" collapsed="false">
      <c r="A138" s="12" t="n">
        <v>137</v>
      </c>
      <c r="B138" s="11" t="s">
        <v>276</v>
      </c>
      <c r="C138" s="11" t="s">
        <v>117</v>
      </c>
      <c r="D138" s="11" t="s">
        <v>278</v>
      </c>
      <c r="E138" s="19" t="s">
        <v>109</v>
      </c>
      <c r="F138" s="19" t="s">
        <v>121</v>
      </c>
      <c r="G138" s="12" t="s">
        <v>107</v>
      </c>
      <c r="H138" s="20" t="s">
        <v>97</v>
      </c>
      <c r="I138" s="19" t="s">
        <v>98</v>
      </c>
      <c r="J138" s="19"/>
      <c r="K138" s="12"/>
      <c r="L138" s="21"/>
      <c r="M138" s="21" t="str">
        <f aca="false">IF($L138="","",$L138+IF($J138="",Dashboard!$M$9,INDEX(Dashboard!$M$5:$M$9,$J138)))</f>
        <v/>
      </c>
      <c r="N138" s="22" t="str">
        <f aca="true">IF(OR($I138="Attempted",$I138="Revisit"),"DUE",IF($M138="","",IF($M138&lt;=TODAY(),"DUE","")))</f>
        <v/>
      </c>
      <c r="O138" s="11"/>
    </row>
    <row r="139" customFormat="false" ht="15" hidden="false" customHeight="true" outlineLevel="0" collapsed="false">
      <c r="A139" s="12" t="n">
        <v>138</v>
      </c>
      <c r="B139" s="11" t="s">
        <v>276</v>
      </c>
      <c r="C139" s="11" t="s">
        <v>117</v>
      </c>
      <c r="D139" s="11" t="s">
        <v>279</v>
      </c>
      <c r="E139" s="19" t="s">
        <v>109</v>
      </c>
      <c r="F139" s="19" t="s">
        <v>121</v>
      </c>
      <c r="G139" s="12" t="s">
        <v>107</v>
      </c>
      <c r="H139" s="20" t="s">
        <v>97</v>
      </c>
      <c r="I139" s="19" t="s">
        <v>98</v>
      </c>
      <c r="J139" s="19"/>
      <c r="K139" s="12"/>
      <c r="L139" s="21"/>
      <c r="M139" s="21" t="str">
        <f aca="false">IF($L139="","",$L139+IF($J139="",Dashboard!$M$9,INDEX(Dashboard!$M$5:$M$9,$J139)))</f>
        <v/>
      </c>
      <c r="N139" s="22" t="str">
        <f aca="true">IF(OR($I139="Attempted",$I139="Revisit"),"DUE",IF($M139="","",IF($M139&lt;=TODAY(),"DUE","")))</f>
        <v/>
      </c>
      <c r="O139" s="11"/>
    </row>
    <row r="140" customFormat="false" ht="15" hidden="false" customHeight="true" outlineLevel="0" collapsed="false">
      <c r="A140" s="12" t="n">
        <v>139</v>
      </c>
      <c r="B140" s="11" t="s">
        <v>276</v>
      </c>
      <c r="C140" s="11" t="s">
        <v>117</v>
      </c>
      <c r="D140" s="11" t="s">
        <v>280</v>
      </c>
      <c r="E140" s="19" t="s">
        <v>94</v>
      </c>
      <c r="F140" s="19" t="s">
        <v>95</v>
      </c>
      <c r="G140" s="12" t="s">
        <v>107</v>
      </c>
      <c r="H140" s="20" t="s">
        <v>97</v>
      </c>
      <c r="I140" s="19" t="s">
        <v>98</v>
      </c>
      <c r="J140" s="19"/>
      <c r="K140" s="12"/>
      <c r="L140" s="21"/>
      <c r="M140" s="21" t="str">
        <f aca="false">IF($L140="","",$L140+IF($J140="",Dashboard!$M$9,INDEX(Dashboard!$M$5:$M$9,$J140)))</f>
        <v/>
      </c>
      <c r="N140" s="22" t="str">
        <f aca="true">IF(OR($I140="Attempted",$I140="Revisit"),"DUE",IF($M140="","",IF($M140&lt;=TODAY(),"DUE","")))</f>
        <v/>
      </c>
      <c r="O140" s="11"/>
    </row>
    <row r="141" customFormat="false" ht="15" hidden="false" customHeight="true" outlineLevel="0" collapsed="false">
      <c r="A141" s="12" t="n">
        <v>140</v>
      </c>
      <c r="B141" s="11" t="s">
        <v>276</v>
      </c>
      <c r="C141" s="11" t="s">
        <v>281</v>
      </c>
      <c r="D141" s="11" t="s">
        <v>282</v>
      </c>
      <c r="E141" s="19" t="s">
        <v>94</v>
      </c>
      <c r="F141" s="19" t="s">
        <v>95</v>
      </c>
      <c r="G141" s="12" t="s">
        <v>107</v>
      </c>
      <c r="H141" s="20" t="s">
        <v>97</v>
      </c>
      <c r="I141" s="19" t="s">
        <v>98</v>
      </c>
      <c r="J141" s="19"/>
      <c r="K141" s="12"/>
      <c r="L141" s="21"/>
      <c r="M141" s="21" t="str">
        <f aca="false">IF($L141="","",$L141+IF($J141="",Dashboard!$M$9,INDEX(Dashboard!$M$5:$M$9,$J141)))</f>
        <v/>
      </c>
      <c r="N141" s="22" t="str">
        <f aca="true">IF(OR($I141="Attempted",$I141="Revisit"),"DUE",IF($M141="","",IF($M141&lt;=TODAY(),"DUE","")))</f>
        <v/>
      </c>
      <c r="O141" s="11"/>
    </row>
    <row r="142" customFormat="false" ht="15" hidden="false" customHeight="true" outlineLevel="0" collapsed="false">
      <c r="A142" s="12" t="n">
        <v>141</v>
      </c>
      <c r="B142" s="11" t="s">
        <v>276</v>
      </c>
      <c r="C142" s="11" t="s">
        <v>281</v>
      </c>
      <c r="D142" s="11" t="s">
        <v>283</v>
      </c>
      <c r="E142" s="19" t="s">
        <v>109</v>
      </c>
      <c r="F142" s="19" t="s">
        <v>95</v>
      </c>
      <c r="G142" s="12" t="s">
        <v>107</v>
      </c>
      <c r="H142" s="20" t="s">
        <v>97</v>
      </c>
      <c r="I142" s="19" t="s">
        <v>98</v>
      </c>
      <c r="J142" s="19"/>
      <c r="K142" s="12"/>
      <c r="L142" s="21"/>
      <c r="M142" s="21" t="str">
        <f aca="false">IF($L142="","",$L142+IF($J142="",Dashboard!$M$9,INDEX(Dashboard!$M$5:$M$9,$J142)))</f>
        <v/>
      </c>
      <c r="N142" s="22" t="str">
        <f aca="true">IF(OR($I142="Attempted",$I142="Revisit"),"DUE",IF($M142="","",IF($M142&lt;=TODAY(),"DUE","")))</f>
        <v/>
      </c>
      <c r="O142" s="11"/>
    </row>
    <row r="143" customFormat="false" ht="15" hidden="false" customHeight="true" outlineLevel="0" collapsed="false">
      <c r="A143" s="12" t="n">
        <v>142</v>
      </c>
      <c r="B143" s="11" t="s">
        <v>276</v>
      </c>
      <c r="C143" s="11" t="s">
        <v>284</v>
      </c>
      <c r="D143" s="11" t="s">
        <v>285</v>
      </c>
      <c r="E143" s="19" t="s">
        <v>94</v>
      </c>
      <c r="F143" s="19" t="s">
        <v>95</v>
      </c>
      <c r="G143" s="12" t="s">
        <v>107</v>
      </c>
      <c r="H143" s="20" t="s">
        <v>97</v>
      </c>
      <c r="I143" s="19" t="s">
        <v>98</v>
      </c>
      <c r="J143" s="19"/>
      <c r="K143" s="12"/>
      <c r="L143" s="21"/>
      <c r="M143" s="21" t="str">
        <f aca="false">IF($L143="","",$L143+IF($J143="",Dashboard!$M$9,INDEX(Dashboard!$M$5:$M$9,$J143)))</f>
        <v/>
      </c>
      <c r="N143" s="22" t="str">
        <f aca="true">IF(OR($I143="Attempted",$I143="Revisit"),"DUE",IF($M143="","",IF($M143&lt;=TODAY(),"DUE","")))</f>
        <v/>
      </c>
      <c r="O143" s="11"/>
    </row>
    <row r="144" customFormat="false" ht="15" hidden="false" customHeight="true" outlineLevel="0" collapsed="false">
      <c r="A144" s="12" t="n">
        <v>143</v>
      </c>
      <c r="B144" s="11" t="s">
        <v>276</v>
      </c>
      <c r="C144" s="11" t="s">
        <v>284</v>
      </c>
      <c r="D144" s="11" t="s">
        <v>286</v>
      </c>
      <c r="E144" s="19" t="s">
        <v>109</v>
      </c>
      <c r="F144" s="19" t="s">
        <v>121</v>
      </c>
      <c r="G144" s="12" t="s">
        <v>107</v>
      </c>
      <c r="H144" s="20" t="s">
        <v>97</v>
      </c>
      <c r="I144" s="19" t="s">
        <v>98</v>
      </c>
      <c r="J144" s="19"/>
      <c r="K144" s="12"/>
      <c r="L144" s="21"/>
      <c r="M144" s="21" t="str">
        <f aca="false">IF($L144="","",$L144+IF($J144="",Dashboard!$M$9,INDEX(Dashboard!$M$5:$M$9,$J144)))</f>
        <v/>
      </c>
      <c r="N144" s="22" t="str">
        <f aca="true">IF(OR($I144="Attempted",$I144="Revisit"),"DUE",IF($M144="","",IF($M144&lt;=TODAY(),"DUE","")))</f>
        <v/>
      </c>
      <c r="O144" s="11"/>
    </row>
    <row r="145" customFormat="false" ht="15" hidden="false" customHeight="true" outlineLevel="0" collapsed="false">
      <c r="A145" s="12" t="n">
        <v>144</v>
      </c>
      <c r="B145" s="11" t="s">
        <v>276</v>
      </c>
      <c r="C145" s="11" t="s">
        <v>284</v>
      </c>
      <c r="D145" s="11" t="s">
        <v>287</v>
      </c>
      <c r="E145" s="19" t="s">
        <v>109</v>
      </c>
      <c r="F145" s="19" t="s">
        <v>121</v>
      </c>
      <c r="G145" s="12" t="s">
        <v>107</v>
      </c>
      <c r="H145" s="20" t="s">
        <v>97</v>
      </c>
      <c r="I145" s="19" t="s">
        <v>98</v>
      </c>
      <c r="J145" s="19"/>
      <c r="K145" s="12"/>
      <c r="L145" s="21"/>
      <c r="M145" s="21" t="str">
        <f aca="false">IF($L145="","",$L145+IF($J145="",Dashboard!$M$9,INDEX(Dashboard!$M$5:$M$9,$J145)))</f>
        <v/>
      </c>
      <c r="N145" s="22" t="str">
        <f aca="true">IF(OR($I145="Attempted",$I145="Revisit"),"DUE",IF($M145="","",IF($M145&lt;=TODAY(),"DUE","")))</f>
        <v/>
      </c>
      <c r="O145" s="11"/>
    </row>
    <row r="146" customFormat="false" ht="15" hidden="false" customHeight="true" outlineLevel="0" collapsed="false">
      <c r="A146" s="12" t="n">
        <v>145</v>
      </c>
      <c r="B146" s="11" t="s">
        <v>276</v>
      </c>
      <c r="C146" s="11" t="s">
        <v>284</v>
      </c>
      <c r="D146" s="11" t="s">
        <v>288</v>
      </c>
      <c r="E146" s="19" t="s">
        <v>94</v>
      </c>
      <c r="F146" s="19" t="s">
        <v>95</v>
      </c>
      <c r="G146" s="12" t="s">
        <v>107</v>
      </c>
      <c r="H146" s="20" t="s">
        <v>97</v>
      </c>
      <c r="I146" s="19" t="s">
        <v>98</v>
      </c>
      <c r="J146" s="19"/>
      <c r="K146" s="12"/>
      <c r="L146" s="21"/>
      <c r="M146" s="21" t="str">
        <f aca="false">IF($L146="","",$L146+IF($J146="",Dashboard!$M$9,INDEX(Dashboard!$M$5:$M$9,$J146)))</f>
        <v/>
      </c>
      <c r="N146" s="22" t="str">
        <f aca="true">IF(OR($I146="Attempted",$I146="Revisit"),"DUE",IF($M146="","",IF($M146&lt;=TODAY(),"DUE","")))</f>
        <v/>
      </c>
      <c r="O146" s="11"/>
    </row>
    <row r="147" customFormat="false" ht="15" hidden="false" customHeight="true" outlineLevel="0" collapsed="false">
      <c r="A147" s="12" t="n">
        <v>146</v>
      </c>
      <c r="B147" s="11" t="s">
        <v>276</v>
      </c>
      <c r="C147" s="11" t="s">
        <v>284</v>
      </c>
      <c r="D147" s="11" t="s">
        <v>289</v>
      </c>
      <c r="E147" s="19" t="s">
        <v>109</v>
      </c>
      <c r="F147" s="19" t="s">
        <v>121</v>
      </c>
      <c r="G147" s="12" t="s">
        <v>107</v>
      </c>
      <c r="H147" s="20" t="s">
        <v>97</v>
      </c>
      <c r="I147" s="19" t="s">
        <v>98</v>
      </c>
      <c r="J147" s="19"/>
      <c r="K147" s="12"/>
      <c r="L147" s="21"/>
      <c r="M147" s="21" t="str">
        <f aca="false">IF($L147="","",$L147+IF($J147="",Dashboard!$M$9,INDEX(Dashboard!$M$5:$M$9,$J147)))</f>
        <v/>
      </c>
      <c r="N147" s="22" t="str">
        <f aca="true">IF(OR($I147="Attempted",$I147="Revisit"),"DUE",IF($M147="","",IF($M147&lt;=TODAY(),"DUE","")))</f>
        <v/>
      </c>
      <c r="O147" s="11"/>
    </row>
    <row r="148" customFormat="false" ht="15" hidden="false" customHeight="true" outlineLevel="0" collapsed="false">
      <c r="A148" s="12" t="n">
        <v>147</v>
      </c>
      <c r="B148" s="11" t="s">
        <v>276</v>
      </c>
      <c r="C148" s="11" t="s">
        <v>284</v>
      </c>
      <c r="D148" s="11" t="s">
        <v>290</v>
      </c>
      <c r="E148" s="19" t="s">
        <v>109</v>
      </c>
      <c r="F148" s="19" t="s">
        <v>121</v>
      </c>
      <c r="G148" s="12" t="s">
        <v>107</v>
      </c>
      <c r="H148" s="20" t="s">
        <v>97</v>
      </c>
      <c r="I148" s="19" t="s">
        <v>98</v>
      </c>
      <c r="J148" s="19"/>
      <c r="K148" s="12"/>
      <c r="L148" s="21"/>
      <c r="M148" s="21" t="str">
        <f aca="false">IF($L148="","",$L148+IF($J148="",Dashboard!$M$9,INDEX(Dashboard!$M$5:$M$9,$J148)))</f>
        <v/>
      </c>
      <c r="N148" s="22" t="str">
        <f aca="true">IF(OR($I148="Attempted",$I148="Revisit"),"DUE",IF($M148="","",IF($M148&lt;=TODAY(),"DUE","")))</f>
        <v/>
      </c>
      <c r="O148" s="11"/>
    </row>
    <row r="149" customFormat="false" ht="15" hidden="false" customHeight="true" outlineLevel="0" collapsed="false">
      <c r="A149" s="12" t="n">
        <v>148</v>
      </c>
      <c r="B149" s="11" t="s">
        <v>276</v>
      </c>
      <c r="C149" s="11" t="s">
        <v>284</v>
      </c>
      <c r="D149" s="11" t="s">
        <v>291</v>
      </c>
      <c r="E149" s="19" t="s">
        <v>109</v>
      </c>
      <c r="F149" s="19" t="s">
        <v>121</v>
      </c>
      <c r="G149" s="12" t="s">
        <v>107</v>
      </c>
      <c r="H149" s="20" t="s">
        <v>97</v>
      </c>
      <c r="I149" s="19" t="s">
        <v>98</v>
      </c>
      <c r="J149" s="19"/>
      <c r="K149" s="12"/>
      <c r="L149" s="21"/>
      <c r="M149" s="21" t="str">
        <f aca="false">IF($L149="","",$L149+IF($J149="",Dashboard!$M$9,INDEX(Dashboard!$M$5:$M$9,$J149)))</f>
        <v/>
      </c>
      <c r="N149" s="22" t="str">
        <f aca="true">IF(OR($I149="Attempted",$I149="Revisit"),"DUE",IF($M149="","",IF($M149&lt;=TODAY(),"DUE","")))</f>
        <v/>
      </c>
      <c r="O149" s="11"/>
    </row>
    <row r="150" customFormat="false" ht="15" hidden="false" customHeight="true" outlineLevel="0" collapsed="false">
      <c r="A150" s="12" t="n">
        <v>149</v>
      </c>
      <c r="B150" s="11" t="s">
        <v>276</v>
      </c>
      <c r="C150" s="11" t="s">
        <v>292</v>
      </c>
      <c r="D150" s="11" t="s">
        <v>293</v>
      </c>
      <c r="E150" s="19" t="s">
        <v>109</v>
      </c>
      <c r="F150" s="19" t="s">
        <v>95</v>
      </c>
      <c r="G150" s="12" t="s">
        <v>107</v>
      </c>
      <c r="H150" s="20" t="s">
        <v>97</v>
      </c>
      <c r="I150" s="19" t="s">
        <v>98</v>
      </c>
      <c r="J150" s="19"/>
      <c r="K150" s="12"/>
      <c r="L150" s="21"/>
      <c r="M150" s="21" t="str">
        <f aca="false">IF($L150="","",$L150+IF($J150="",Dashboard!$M$9,INDEX(Dashboard!$M$5:$M$9,$J150)))</f>
        <v/>
      </c>
      <c r="N150" s="22" t="str">
        <f aca="true">IF(OR($I150="Attempted",$I150="Revisit"),"DUE",IF($M150="","",IF($M150&lt;=TODAY(),"DUE","")))</f>
        <v/>
      </c>
      <c r="O150" s="11"/>
    </row>
    <row r="151" customFormat="false" ht="15" hidden="false" customHeight="true" outlineLevel="0" collapsed="false">
      <c r="A151" s="12" t="n">
        <v>150</v>
      </c>
      <c r="B151" s="11" t="s">
        <v>276</v>
      </c>
      <c r="C151" s="11" t="s">
        <v>292</v>
      </c>
      <c r="D151" s="11" t="s">
        <v>294</v>
      </c>
      <c r="E151" s="19" t="s">
        <v>109</v>
      </c>
      <c r="F151" s="19" t="s">
        <v>95</v>
      </c>
      <c r="G151" s="12" t="s">
        <v>107</v>
      </c>
      <c r="H151" s="20" t="s">
        <v>97</v>
      </c>
      <c r="I151" s="19" t="s">
        <v>98</v>
      </c>
      <c r="J151" s="19"/>
      <c r="K151" s="12"/>
      <c r="L151" s="21"/>
      <c r="M151" s="21" t="str">
        <f aca="false">IF($L151="","",$L151+IF($J151="",Dashboard!$M$9,INDEX(Dashboard!$M$5:$M$9,$J151)))</f>
        <v/>
      </c>
      <c r="N151" s="22" t="str">
        <f aca="true">IF(OR($I151="Attempted",$I151="Revisit"),"DUE",IF($M151="","",IF($M151&lt;=TODAY(),"DUE","")))</f>
        <v/>
      </c>
      <c r="O151" s="11"/>
    </row>
    <row r="152" customFormat="false" ht="15" hidden="false" customHeight="true" outlineLevel="0" collapsed="false">
      <c r="A152" s="12" t="n">
        <v>151</v>
      </c>
      <c r="B152" s="11" t="s">
        <v>276</v>
      </c>
      <c r="C152" s="11" t="s">
        <v>292</v>
      </c>
      <c r="D152" s="11" t="s">
        <v>295</v>
      </c>
      <c r="E152" s="19" t="s">
        <v>135</v>
      </c>
      <c r="F152" s="19" t="s">
        <v>136</v>
      </c>
      <c r="G152" s="12" t="s">
        <v>107</v>
      </c>
      <c r="H152" s="20" t="s">
        <v>97</v>
      </c>
      <c r="I152" s="19" t="s">
        <v>98</v>
      </c>
      <c r="J152" s="19"/>
      <c r="K152" s="12"/>
      <c r="L152" s="21"/>
      <c r="M152" s="21" t="str">
        <f aca="false">IF($L152="","",$L152+IF($J152="",Dashboard!$M$9,INDEX(Dashboard!$M$5:$M$9,$J152)))</f>
        <v/>
      </c>
      <c r="N152" s="22" t="str">
        <f aca="true">IF(OR($I152="Attempted",$I152="Revisit"),"DUE",IF($M152="","",IF($M152&lt;=TODAY(),"DUE","")))</f>
        <v/>
      </c>
      <c r="O152" s="11"/>
    </row>
    <row r="153" customFormat="false" ht="15" hidden="false" customHeight="true" outlineLevel="0" collapsed="false">
      <c r="A153" s="12" t="n">
        <v>152</v>
      </c>
      <c r="B153" s="11" t="s">
        <v>276</v>
      </c>
      <c r="C153" s="11" t="s">
        <v>296</v>
      </c>
      <c r="D153" s="11" t="s">
        <v>297</v>
      </c>
      <c r="E153" s="19" t="s">
        <v>94</v>
      </c>
      <c r="F153" s="19" t="s">
        <v>95</v>
      </c>
      <c r="G153" s="12" t="s">
        <v>107</v>
      </c>
      <c r="H153" s="20" t="s">
        <v>97</v>
      </c>
      <c r="I153" s="19" t="s">
        <v>98</v>
      </c>
      <c r="J153" s="19"/>
      <c r="K153" s="12"/>
      <c r="L153" s="21"/>
      <c r="M153" s="21" t="str">
        <f aca="false">IF($L153="","",$L153+IF($J153="",Dashboard!$M$9,INDEX(Dashboard!$M$5:$M$9,$J153)))</f>
        <v/>
      </c>
      <c r="N153" s="22" t="str">
        <f aca="true">IF(OR($I153="Attempted",$I153="Revisit"),"DUE",IF($M153="","",IF($M153&lt;=TODAY(),"DUE","")))</f>
        <v/>
      </c>
      <c r="O153" s="11"/>
    </row>
    <row r="154" customFormat="false" ht="15" hidden="false" customHeight="true" outlineLevel="0" collapsed="false">
      <c r="A154" s="12" t="n">
        <v>153</v>
      </c>
      <c r="B154" s="11" t="s">
        <v>276</v>
      </c>
      <c r="C154" s="11" t="s">
        <v>296</v>
      </c>
      <c r="D154" s="11" t="s">
        <v>298</v>
      </c>
      <c r="E154" s="19" t="s">
        <v>94</v>
      </c>
      <c r="F154" s="19" t="s">
        <v>95</v>
      </c>
      <c r="G154" s="12" t="s">
        <v>107</v>
      </c>
      <c r="H154" s="20" t="s">
        <v>97</v>
      </c>
      <c r="I154" s="19" t="s">
        <v>98</v>
      </c>
      <c r="J154" s="19"/>
      <c r="K154" s="12"/>
      <c r="L154" s="21"/>
      <c r="M154" s="21" t="str">
        <f aca="false">IF($L154="","",$L154+IF($J154="",Dashboard!$M$9,INDEX(Dashboard!$M$5:$M$9,$J154)))</f>
        <v/>
      </c>
      <c r="N154" s="22" t="str">
        <f aca="true">IF(OR($I154="Attempted",$I154="Revisit"),"DUE",IF($M154="","",IF($M154&lt;=TODAY(),"DUE","")))</f>
        <v/>
      </c>
      <c r="O154" s="11"/>
    </row>
    <row r="155" customFormat="false" ht="15" hidden="false" customHeight="true" outlineLevel="0" collapsed="false">
      <c r="A155" s="12" t="n">
        <v>154</v>
      </c>
      <c r="B155" s="11" t="s">
        <v>276</v>
      </c>
      <c r="C155" s="11" t="s">
        <v>299</v>
      </c>
      <c r="D155" s="11" t="s">
        <v>300</v>
      </c>
      <c r="E155" s="19" t="s">
        <v>94</v>
      </c>
      <c r="F155" s="19" t="s">
        <v>95</v>
      </c>
      <c r="G155" s="12" t="s">
        <v>107</v>
      </c>
      <c r="H155" s="20" t="s">
        <v>97</v>
      </c>
      <c r="I155" s="19" t="s">
        <v>98</v>
      </c>
      <c r="J155" s="19"/>
      <c r="K155" s="12"/>
      <c r="L155" s="21"/>
      <c r="M155" s="21" t="str">
        <f aca="false">IF($L155="","",$L155+IF($J155="",Dashboard!$M$9,INDEX(Dashboard!$M$5:$M$9,$J155)))</f>
        <v/>
      </c>
      <c r="N155" s="22" t="str">
        <f aca="true">IF(OR($I155="Attempted",$I155="Revisit"),"DUE",IF($M155="","",IF($M155&lt;=TODAY(),"DUE","")))</f>
        <v/>
      </c>
      <c r="O155" s="11"/>
    </row>
    <row r="156" customFormat="false" ht="15" hidden="false" customHeight="true" outlineLevel="0" collapsed="false">
      <c r="A156" s="12" t="n">
        <v>155</v>
      </c>
      <c r="B156" s="11" t="s">
        <v>276</v>
      </c>
      <c r="C156" s="11" t="s">
        <v>299</v>
      </c>
      <c r="D156" s="11" t="s">
        <v>301</v>
      </c>
      <c r="E156" s="19" t="s">
        <v>94</v>
      </c>
      <c r="F156" s="19" t="s">
        <v>95</v>
      </c>
      <c r="G156" s="12" t="s">
        <v>107</v>
      </c>
      <c r="H156" s="20" t="s">
        <v>97</v>
      </c>
      <c r="I156" s="19" t="s">
        <v>98</v>
      </c>
      <c r="J156" s="19"/>
      <c r="K156" s="12"/>
      <c r="L156" s="21"/>
      <c r="M156" s="21" t="str">
        <f aca="false">IF($L156="","",$L156+IF($J156="",Dashboard!$M$9,INDEX(Dashboard!$M$5:$M$9,$J156)))</f>
        <v/>
      </c>
      <c r="N156" s="22" t="str">
        <f aca="true">IF(OR($I156="Attempted",$I156="Revisit"),"DUE",IF($M156="","",IF($M156&lt;=TODAY(),"DUE","")))</f>
        <v/>
      </c>
      <c r="O156" s="11"/>
    </row>
    <row r="157" customFormat="false" ht="15" hidden="false" customHeight="true" outlineLevel="0" collapsed="false">
      <c r="A157" s="12" t="n">
        <v>156</v>
      </c>
      <c r="B157" s="11" t="s">
        <v>276</v>
      </c>
      <c r="C157" s="11" t="s">
        <v>299</v>
      </c>
      <c r="D157" s="11" t="s">
        <v>302</v>
      </c>
      <c r="E157" s="19" t="s">
        <v>94</v>
      </c>
      <c r="F157" s="19" t="s">
        <v>121</v>
      </c>
      <c r="G157" s="12" t="s">
        <v>107</v>
      </c>
      <c r="H157" s="20" t="s">
        <v>97</v>
      </c>
      <c r="I157" s="19" t="s">
        <v>98</v>
      </c>
      <c r="J157" s="19"/>
      <c r="K157" s="12"/>
      <c r="L157" s="21"/>
      <c r="M157" s="21" t="str">
        <f aca="false">IF($L157="","",$L157+IF($J157="",Dashboard!$M$9,INDEX(Dashboard!$M$5:$M$9,$J157)))</f>
        <v/>
      </c>
      <c r="N157" s="22" t="str">
        <f aca="true">IF(OR($I157="Attempted",$I157="Revisit"),"DUE",IF($M157="","",IF($M157&lt;=TODAY(),"DUE","")))</f>
        <v/>
      </c>
      <c r="O157" s="11"/>
    </row>
    <row r="158" customFormat="false" ht="15" hidden="false" customHeight="true" outlineLevel="0" collapsed="false">
      <c r="A158" s="12" t="n">
        <v>157</v>
      </c>
      <c r="B158" s="11" t="s">
        <v>276</v>
      </c>
      <c r="C158" s="11" t="s">
        <v>299</v>
      </c>
      <c r="D158" s="11" t="s">
        <v>303</v>
      </c>
      <c r="E158" s="19" t="s">
        <v>109</v>
      </c>
      <c r="F158" s="19" t="s">
        <v>121</v>
      </c>
      <c r="G158" s="12" t="s">
        <v>96</v>
      </c>
      <c r="H158" s="20" t="s">
        <v>97</v>
      </c>
      <c r="I158" s="19" t="s">
        <v>98</v>
      </c>
      <c r="J158" s="19"/>
      <c r="K158" s="12"/>
      <c r="L158" s="21"/>
      <c r="M158" s="21" t="str">
        <f aca="false">IF($L158="","",$L158+IF($J158="",Dashboard!$M$9,INDEX(Dashboard!$M$5:$M$9,$J158)))</f>
        <v/>
      </c>
      <c r="N158" s="22" t="str">
        <f aca="true">IF(OR($I158="Attempted",$I158="Revisit"),"DUE",IF($M158="","",IF($M158&lt;=TODAY(),"DUE","")))</f>
        <v/>
      </c>
      <c r="O158" s="11"/>
    </row>
    <row r="159" customFormat="false" ht="15" hidden="false" customHeight="true" outlineLevel="0" collapsed="false">
      <c r="A159" s="12" t="n">
        <v>158</v>
      </c>
      <c r="B159" s="11" t="s">
        <v>276</v>
      </c>
      <c r="C159" s="11" t="s">
        <v>299</v>
      </c>
      <c r="D159" s="11" t="s">
        <v>304</v>
      </c>
      <c r="E159" s="19" t="s">
        <v>135</v>
      </c>
      <c r="F159" s="19" t="s">
        <v>136</v>
      </c>
      <c r="G159" s="12" t="s">
        <v>96</v>
      </c>
      <c r="H159" s="20" t="s">
        <v>97</v>
      </c>
      <c r="I159" s="19" t="s">
        <v>98</v>
      </c>
      <c r="J159" s="19"/>
      <c r="K159" s="12"/>
      <c r="L159" s="21"/>
      <c r="M159" s="21" t="str">
        <f aca="false">IF($L159="","",$L159+IF($J159="",Dashboard!$M$9,INDEX(Dashboard!$M$5:$M$9,$J159)))</f>
        <v/>
      </c>
      <c r="N159" s="22" t="str">
        <f aca="true">IF(OR($I159="Attempted",$I159="Revisit"),"DUE",IF($M159="","",IF($M159&lt;=TODAY(),"DUE","")))</f>
        <v/>
      </c>
      <c r="O159" s="11"/>
    </row>
    <row r="160" customFormat="false" ht="15" hidden="false" customHeight="true" outlineLevel="0" collapsed="false">
      <c r="A160" s="12" t="n">
        <v>159</v>
      </c>
      <c r="B160" s="11" t="s">
        <v>276</v>
      </c>
      <c r="C160" s="11" t="s">
        <v>299</v>
      </c>
      <c r="D160" s="11" t="s">
        <v>305</v>
      </c>
      <c r="E160" s="19" t="s">
        <v>109</v>
      </c>
      <c r="F160" s="19" t="s">
        <v>121</v>
      </c>
      <c r="G160" s="12" t="s">
        <v>96</v>
      </c>
      <c r="H160" s="20" t="s">
        <v>97</v>
      </c>
      <c r="I160" s="19" t="s">
        <v>98</v>
      </c>
      <c r="J160" s="19"/>
      <c r="K160" s="12"/>
      <c r="L160" s="21"/>
      <c r="M160" s="21" t="str">
        <f aca="false">IF($L160="","",$L160+IF($J160="",Dashboard!$M$9,INDEX(Dashboard!$M$5:$M$9,$J160)))</f>
        <v/>
      </c>
      <c r="N160" s="22" t="str">
        <f aca="true">IF(OR($I160="Attempted",$I160="Revisit"),"DUE",IF($M160="","",IF($M160&lt;=TODAY(),"DUE","")))</f>
        <v/>
      </c>
      <c r="O160" s="11"/>
    </row>
    <row r="161" customFormat="false" ht="15" hidden="false" customHeight="true" outlineLevel="0" collapsed="false">
      <c r="A161" s="12" t="n">
        <v>160</v>
      </c>
      <c r="B161" s="11" t="s">
        <v>276</v>
      </c>
      <c r="C161" s="11" t="s">
        <v>306</v>
      </c>
      <c r="D161" s="11" t="s">
        <v>307</v>
      </c>
      <c r="E161" s="19" t="s">
        <v>109</v>
      </c>
      <c r="F161" s="19" t="s">
        <v>95</v>
      </c>
      <c r="G161" s="12" t="s">
        <v>107</v>
      </c>
      <c r="H161" s="20" t="s">
        <v>97</v>
      </c>
      <c r="I161" s="19" t="s">
        <v>98</v>
      </c>
      <c r="J161" s="19"/>
      <c r="K161" s="12"/>
      <c r="L161" s="21"/>
      <c r="M161" s="21" t="str">
        <f aca="false">IF($L161="","",$L161+IF($J161="",Dashboard!$M$9,INDEX(Dashboard!$M$5:$M$9,$J161)))</f>
        <v/>
      </c>
      <c r="N161" s="22" t="str">
        <f aca="true">IF(OR($I161="Attempted",$I161="Revisit"),"DUE",IF($M161="","",IF($M161&lt;=TODAY(),"DUE","")))</f>
        <v/>
      </c>
      <c r="O161" s="11"/>
    </row>
    <row r="162" customFormat="false" ht="15" hidden="false" customHeight="true" outlineLevel="0" collapsed="false">
      <c r="A162" s="12" t="n">
        <v>161</v>
      </c>
      <c r="B162" s="11" t="s">
        <v>276</v>
      </c>
      <c r="C162" s="11" t="s">
        <v>306</v>
      </c>
      <c r="D162" s="11" t="s">
        <v>308</v>
      </c>
      <c r="E162" s="19" t="s">
        <v>135</v>
      </c>
      <c r="F162" s="19" t="s">
        <v>136</v>
      </c>
      <c r="G162" s="12" t="s">
        <v>107</v>
      </c>
      <c r="H162" s="20" t="s">
        <v>97</v>
      </c>
      <c r="I162" s="19" t="s">
        <v>98</v>
      </c>
      <c r="J162" s="19"/>
      <c r="K162" s="12"/>
      <c r="L162" s="21"/>
      <c r="M162" s="21" t="str">
        <f aca="false">IF($L162="","",$L162+IF($J162="",Dashboard!$M$9,INDEX(Dashboard!$M$5:$M$9,$J162)))</f>
        <v/>
      </c>
      <c r="N162" s="22" t="str">
        <f aca="true">IF(OR($I162="Attempted",$I162="Revisit"),"DUE",IF($M162="","",IF($M162&lt;=TODAY(),"DUE","")))</f>
        <v/>
      </c>
      <c r="O162" s="11"/>
    </row>
    <row r="163" customFormat="false" ht="15" hidden="false" customHeight="true" outlineLevel="0" collapsed="false">
      <c r="A163" s="12" t="n">
        <v>162</v>
      </c>
      <c r="B163" s="11" t="s">
        <v>276</v>
      </c>
      <c r="C163" s="11" t="s">
        <v>306</v>
      </c>
      <c r="D163" s="11" t="s">
        <v>309</v>
      </c>
      <c r="E163" s="19" t="s">
        <v>109</v>
      </c>
      <c r="F163" s="19" t="s">
        <v>95</v>
      </c>
      <c r="G163" s="12" t="s">
        <v>107</v>
      </c>
      <c r="H163" s="20" t="s">
        <v>97</v>
      </c>
      <c r="I163" s="19" t="s">
        <v>98</v>
      </c>
      <c r="J163" s="19"/>
      <c r="K163" s="12"/>
      <c r="L163" s="21"/>
      <c r="M163" s="21" t="str">
        <f aca="false">IF($L163="","",$L163+IF($J163="",Dashboard!$M$9,INDEX(Dashboard!$M$5:$M$9,$J163)))</f>
        <v/>
      </c>
      <c r="N163" s="22" t="str">
        <f aca="true">IF(OR($I163="Attempted",$I163="Revisit"),"DUE",IF($M163="","",IF($M163&lt;=TODAY(),"DUE","")))</f>
        <v/>
      </c>
      <c r="O163" s="11"/>
    </row>
    <row r="164" customFormat="false" ht="15" hidden="false" customHeight="true" outlineLevel="0" collapsed="false">
      <c r="A164" s="12" t="n">
        <v>163</v>
      </c>
      <c r="B164" s="11" t="s">
        <v>310</v>
      </c>
      <c r="C164" s="11" t="s">
        <v>311</v>
      </c>
      <c r="D164" s="11" t="s">
        <v>312</v>
      </c>
      <c r="E164" s="19" t="s">
        <v>94</v>
      </c>
      <c r="F164" s="19" t="s">
        <v>95</v>
      </c>
      <c r="G164" s="12" t="s">
        <v>107</v>
      </c>
      <c r="H164" s="20" t="s">
        <v>97</v>
      </c>
      <c r="I164" s="19" t="s">
        <v>98</v>
      </c>
      <c r="J164" s="19"/>
      <c r="K164" s="12"/>
      <c r="L164" s="21"/>
      <c r="M164" s="21" t="str">
        <f aca="false">IF($L164="","",$L164+IF($J164="",Dashboard!$M$9,INDEX(Dashboard!$M$5:$M$9,$J164)))</f>
        <v/>
      </c>
      <c r="N164" s="22" t="str">
        <f aca="true">IF(OR($I164="Attempted",$I164="Revisit"),"DUE",IF($M164="","",IF($M164&lt;=TODAY(),"DUE","")))</f>
        <v/>
      </c>
      <c r="O164" s="11"/>
    </row>
    <row r="165" customFormat="false" ht="15" hidden="false" customHeight="true" outlineLevel="0" collapsed="false">
      <c r="A165" s="12" t="n">
        <v>164</v>
      </c>
      <c r="B165" s="11" t="s">
        <v>310</v>
      </c>
      <c r="C165" s="11" t="s">
        <v>311</v>
      </c>
      <c r="D165" s="11" t="s">
        <v>313</v>
      </c>
      <c r="E165" s="19" t="s">
        <v>94</v>
      </c>
      <c r="F165" s="19" t="s">
        <v>95</v>
      </c>
      <c r="G165" s="12" t="s">
        <v>107</v>
      </c>
      <c r="H165" s="20" t="s">
        <v>97</v>
      </c>
      <c r="I165" s="19" t="s">
        <v>98</v>
      </c>
      <c r="J165" s="19"/>
      <c r="K165" s="12"/>
      <c r="L165" s="21"/>
      <c r="M165" s="21" t="str">
        <f aca="false">IF($L165="","",$L165+IF($J165="",Dashboard!$M$9,INDEX(Dashboard!$M$5:$M$9,$J165)))</f>
        <v/>
      </c>
      <c r="N165" s="22" t="str">
        <f aca="true">IF(OR($I165="Attempted",$I165="Revisit"),"DUE",IF($M165="","",IF($M165&lt;=TODAY(),"DUE","")))</f>
        <v/>
      </c>
      <c r="O165" s="11"/>
    </row>
    <row r="166" customFormat="false" ht="15" hidden="false" customHeight="true" outlineLevel="0" collapsed="false">
      <c r="A166" s="12" t="n">
        <v>165</v>
      </c>
      <c r="B166" s="11" t="s">
        <v>310</v>
      </c>
      <c r="C166" s="11" t="s">
        <v>311</v>
      </c>
      <c r="D166" s="11" t="s">
        <v>314</v>
      </c>
      <c r="E166" s="19" t="s">
        <v>94</v>
      </c>
      <c r="F166" s="19" t="s">
        <v>121</v>
      </c>
      <c r="G166" s="12" t="s">
        <v>107</v>
      </c>
      <c r="H166" s="20" t="s">
        <v>97</v>
      </c>
      <c r="I166" s="19" t="s">
        <v>98</v>
      </c>
      <c r="J166" s="19"/>
      <c r="K166" s="12"/>
      <c r="L166" s="21"/>
      <c r="M166" s="21" t="str">
        <f aca="false">IF($L166="","",$L166+IF($J166="",Dashboard!$M$9,INDEX(Dashboard!$M$5:$M$9,$J166)))</f>
        <v/>
      </c>
      <c r="N166" s="22" t="str">
        <f aca="true">IF(OR($I166="Attempted",$I166="Revisit"),"DUE",IF($M166="","",IF($M166&lt;=TODAY(),"DUE","")))</f>
        <v/>
      </c>
      <c r="O166" s="11"/>
    </row>
    <row r="167" customFormat="false" ht="15" hidden="false" customHeight="true" outlineLevel="0" collapsed="false">
      <c r="A167" s="12" t="n">
        <v>166</v>
      </c>
      <c r="B167" s="11" t="s">
        <v>310</v>
      </c>
      <c r="C167" s="11" t="s">
        <v>311</v>
      </c>
      <c r="D167" s="11" t="s">
        <v>315</v>
      </c>
      <c r="E167" s="19" t="s">
        <v>94</v>
      </c>
      <c r="F167" s="19" t="s">
        <v>121</v>
      </c>
      <c r="G167" s="12" t="s">
        <v>107</v>
      </c>
      <c r="H167" s="20" t="s">
        <v>97</v>
      </c>
      <c r="I167" s="19" t="s">
        <v>98</v>
      </c>
      <c r="J167" s="19"/>
      <c r="K167" s="12"/>
      <c r="L167" s="21"/>
      <c r="M167" s="21" t="str">
        <f aca="false">IF($L167="","",$L167+IF($J167="",Dashboard!$M$9,INDEX(Dashboard!$M$5:$M$9,$J167)))</f>
        <v/>
      </c>
      <c r="N167" s="22" t="str">
        <f aca="true">IF(OR($I167="Attempted",$I167="Revisit"),"DUE",IF($M167="","",IF($M167&lt;=TODAY(),"DUE","")))</f>
        <v/>
      </c>
      <c r="O167" s="11"/>
    </row>
    <row r="168" customFormat="false" ht="15" hidden="false" customHeight="true" outlineLevel="0" collapsed="false">
      <c r="A168" s="12" t="n">
        <v>167</v>
      </c>
      <c r="B168" s="11" t="s">
        <v>310</v>
      </c>
      <c r="C168" s="11" t="s">
        <v>316</v>
      </c>
      <c r="D168" s="11" t="s">
        <v>317</v>
      </c>
      <c r="E168" s="19" t="s">
        <v>94</v>
      </c>
      <c r="F168" s="19" t="s">
        <v>95</v>
      </c>
      <c r="G168" s="12" t="s">
        <v>107</v>
      </c>
      <c r="H168" s="20" t="s">
        <v>97</v>
      </c>
      <c r="I168" s="19" t="s">
        <v>98</v>
      </c>
      <c r="J168" s="19"/>
      <c r="K168" s="12"/>
      <c r="L168" s="21"/>
      <c r="M168" s="21" t="str">
        <f aca="false">IF($L168="","",$L168+IF($J168="",Dashboard!$M$9,INDEX(Dashboard!$M$5:$M$9,$J168)))</f>
        <v/>
      </c>
      <c r="N168" s="22" t="str">
        <f aca="true">IF(OR($I168="Attempted",$I168="Revisit"),"DUE",IF($M168="","",IF($M168&lt;=TODAY(),"DUE","")))</f>
        <v/>
      </c>
      <c r="O168" s="11"/>
    </row>
    <row r="169" customFormat="false" ht="15" hidden="false" customHeight="true" outlineLevel="0" collapsed="false">
      <c r="A169" s="12" t="n">
        <v>168</v>
      </c>
      <c r="B169" s="11" t="s">
        <v>310</v>
      </c>
      <c r="C169" s="11" t="s">
        <v>316</v>
      </c>
      <c r="D169" s="11" t="s">
        <v>318</v>
      </c>
      <c r="E169" s="19" t="s">
        <v>94</v>
      </c>
      <c r="F169" s="19" t="s">
        <v>95</v>
      </c>
      <c r="G169" s="12" t="s">
        <v>107</v>
      </c>
      <c r="H169" s="20" t="s">
        <v>97</v>
      </c>
      <c r="I169" s="19" t="s">
        <v>98</v>
      </c>
      <c r="J169" s="19"/>
      <c r="K169" s="12"/>
      <c r="L169" s="21"/>
      <c r="M169" s="21" t="str">
        <f aca="false">IF($L169="","",$L169+IF($J169="",Dashboard!$M$9,INDEX(Dashboard!$M$5:$M$9,$J169)))</f>
        <v/>
      </c>
      <c r="N169" s="22" t="str">
        <f aca="true">IF(OR($I169="Attempted",$I169="Revisit"),"DUE",IF($M169="","",IF($M169&lt;=TODAY(),"DUE","")))</f>
        <v/>
      </c>
      <c r="O169" s="11"/>
    </row>
    <row r="170" customFormat="false" ht="15" hidden="false" customHeight="true" outlineLevel="0" collapsed="false">
      <c r="A170" s="12" t="n">
        <v>169</v>
      </c>
      <c r="B170" s="11" t="s">
        <v>310</v>
      </c>
      <c r="C170" s="11" t="s">
        <v>316</v>
      </c>
      <c r="D170" s="11" t="s">
        <v>319</v>
      </c>
      <c r="E170" s="19" t="s">
        <v>94</v>
      </c>
      <c r="F170" s="19" t="s">
        <v>121</v>
      </c>
      <c r="G170" s="12" t="s">
        <v>107</v>
      </c>
      <c r="H170" s="20" t="s">
        <v>97</v>
      </c>
      <c r="I170" s="19" t="s">
        <v>98</v>
      </c>
      <c r="J170" s="19"/>
      <c r="K170" s="12"/>
      <c r="L170" s="21"/>
      <c r="M170" s="21" t="str">
        <f aca="false">IF($L170="","",$L170+IF($J170="",Dashboard!$M$9,INDEX(Dashboard!$M$5:$M$9,$J170)))</f>
        <v/>
      </c>
      <c r="N170" s="22" t="str">
        <f aca="true">IF(OR($I170="Attempted",$I170="Revisit"),"DUE",IF($M170="","",IF($M170&lt;=TODAY(),"DUE","")))</f>
        <v/>
      </c>
      <c r="O170" s="11"/>
    </row>
    <row r="171" customFormat="false" ht="15" hidden="false" customHeight="true" outlineLevel="0" collapsed="false">
      <c r="A171" s="12" t="n">
        <v>170</v>
      </c>
      <c r="B171" s="11" t="s">
        <v>310</v>
      </c>
      <c r="C171" s="11" t="s">
        <v>316</v>
      </c>
      <c r="D171" s="11" t="s">
        <v>320</v>
      </c>
      <c r="E171" s="19" t="s">
        <v>94</v>
      </c>
      <c r="F171" s="19" t="s">
        <v>121</v>
      </c>
      <c r="G171" s="12" t="s">
        <v>107</v>
      </c>
      <c r="H171" s="20" t="s">
        <v>97</v>
      </c>
      <c r="I171" s="19" t="s">
        <v>98</v>
      </c>
      <c r="J171" s="19"/>
      <c r="K171" s="12"/>
      <c r="L171" s="21"/>
      <c r="M171" s="21" t="str">
        <f aca="false">IF($L171="","",$L171+IF($J171="",Dashboard!$M$9,INDEX(Dashboard!$M$5:$M$9,$J171)))</f>
        <v/>
      </c>
      <c r="N171" s="22" t="str">
        <f aca="true">IF(OR($I171="Attempted",$I171="Revisit"),"DUE",IF($M171="","",IF($M171&lt;=TODAY(),"DUE","")))</f>
        <v/>
      </c>
      <c r="O171" s="11"/>
    </row>
    <row r="172" customFormat="false" ht="15" hidden="false" customHeight="true" outlineLevel="0" collapsed="false">
      <c r="A172" s="12" t="n">
        <v>171</v>
      </c>
      <c r="B172" s="11" t="s">
        <v>310</v>
      </c>
      <c r="C172" s="11" t="s">
        <v>316</v>
      </c>
      <c r="D172" s="11" t="s">
        <v>321</v>
      </c>
      <c r="E172" s="19" t="s">
        <v>94</v>
      </c>
      <c r="F172" s="19" t="s">
        <v>121</v>
      </c>
      <c r="G172" s="12" t="s">
        <v>107</v>
      </c>
      <c r="H172" s="20" t="s">
        <v>97</v>
      </c>
      <c r="I172" s="19" t="s">
        <v>98</v>
      </c>
      <c r="J172" s="19"/>
      <c r="K172" s="12"/>
      <c r="L172" s="21"/>
      <c r="M172" s="21" t="str">
        <f aca="false">IF($L172="","",$L172+IF($J172="",Dashboard!$M$9,INDEX(Dashboard!$M$5:$M$9,$J172)))</f>
        <v/>
      </c>
      <c r="N172" s="22" t="str">
        <f aca="true">IF(OR($I172="Attempted",$I172="Revisit"),"DUE",IF($M172="","",IF($M172&lt;=TODAY(),"DUE","")))</f>
        <v/>
      </c>
      <c r="O172" s="11"/>
    </row>
    <row r="173" customFormat="false" ht="15" hidden="false" customHeight="true" outlineLevel="0" collapsed="false">
      <c r="A173" s="12" t="n">
        <v>172</v>
      </c>
      <c r="B173" s="11" t="s">
        <v>310</v>
      </c>
      <c r="C173" s="11" t="s">
        <v>316</v>
      </c>
      <c r="D173" s="11" t="s">
        <v>322</v>
      </c>
      <c r="E173" s="19" t="s">
        <v>94</v>
      </c>
      <c r="F173" s="19" t="s">
        <v>121</v>
      </c>
      <c r="G173" s="12" t="s">
        <v>107</v>
      </c>
      <c r="H173" s="20" t="s">
        <v>97</v>
      </c>
      <c r="I173" s="19" t="s">
        <v>98</v>
      </c>
      <c r="J173" s="19"/>
      <c r="K173" s="12"/>
      <c r="L173" s="21"/>
      <c r="M173" s="21" t="str">
        <f aca="false">IF($L173="","",$L173+IF($J173="",Dashboard!$M$9,INDEX(Dashboard!$M$5:$M$9,$J173)))</f>
        <v/>
      </c>
      <c r="N173" s="22" t="str">
        <f aca="true">IF(OR($I173="Attempted",$I173="Revisit"),"DUE",IF($M173="","",IF($M173&lt;=TODAY(),"DUE","")))</f>
        <v/>
      </c>
      <c r="O173" s="11"/>
    </row>
    <row r="174" customFormat="false" ht="15" hidden="false" customHeight="true" outlineLevel="0" collapsed="false">
      <c r="A174" s="12" t="n">
        <v>173</v>
      </c>
      <c r="B174" s="11" t="s">
        <v>310</v>
      </c>
      <c r="C174" s="11" t="s">
        <v>323</v>
      </c>
      <c r="D174" s="11" t="s">
        <v>324</v>
      </c>
      <c r="E174" s="19" t="s">
        <v>94</v>
      </c>
      <c r="F174" s="19" t="s">
        <v>95</v>
      </c>
      <c r="G174" s="12" t="s">
        <v>107</v>
      </c>
      <c r="H174" s="20" t="s">
        <v>97</v>
      </c>
      <c r="I174" s="19" t="s">
        <v>98</v>
      </c>
      <c r="J174" s="19"/>
      <c r="K174" s="12"/>
      <c r="L174" s="21"/>
      <c r="M174" s="21" t="str">
        <f aca="false">IF($L174="","",$L174+IF($J174="",Dashboard!$M$9,INDEX(Dashboard!$M$5:$M$9,$J174)))</f>
        <v/>
      </c>
      <c r="N174" s="22" t="str">
        <f aca="true">IF(OR($I174="Attempted",$I174="Revisit"),"DUE",IF($M174="","",IF($M174&lt;=TODAY(),"DUE","")))</f>
        <v/>
      </c>
      <c r="O174" s="11"/>
    </row>
    <row r="175" customFormat="false" ht="15" hidden="false" customHeight="true" outlineLevel="0" collapsed="false">
      <c r="A175" s="12" t="n">
        <v>174</v>
      </c>
      <c r="B175" s="11" t="s">
        <v>310</v>
      </c>
      <c r="C175" s="11" t="s">
        <v>325</v>
      </c>
      <c r="D175" s="11" t="s">
        <v>326</v>
      </c>
      <c r="E175" s="19" t="s">
        <v>109</v>
      </c>
      <c r="F175" s="19" t="s">
        <v>95</v>
      </c>
      <c r="G175" s="12" t="s">
        <v>107</v>
      </c>
      <c r="H175" s="20" t="s">
        <v>97</v>
      </c>
      <c r="I175" s="19" t="s">
        <v>98</v>
      </c>
      <c r="J175" s="19"/>
      <c r="K175" s="12"/>
      <c r="L175" s="21"/>
      <c r="M175" s="21" t="str">
        <f aca="false">IF($L175="","",$L175+IF($J175="",Dashboard!$M$9,INDEX(Dashboard!$M$5:$M$9,$J175)))</f>
        <v/>
      </c>
      <c r="N175" s="22" t="str">
        <f aca="true">IF(OR($I175="Attempted",$I175="Revisit"),"DUE",IF($M175="","",IF($M175&lt;=TODAY(),"DUE","")))</f>
        <v/>
      </c>
      <c r="O175" s="11"/>
    </row>
    <row r="176" customFormat="false" ht="15" hidden="false" customHeight="true" outlineLevel="0" collapsed="false">
      <c r="A176" s="12" t="n">
        <v>175</v>
      </c>
      <c r="B176" s="11" t="s">
        <v>310</v>
      </c>
      <c r="C176" s="11" t="s">
        <v>327</v>
      </c>
      <c r="D176" s="11" t="s">
        <v>328</v>
      </c>
      <c r="E176" s="19" t="s">
        <v>109</v>
      </c>
      <c r="F176" s="19" t="s">
        <v>95</v>
      </c>
      <c r="G176" s="12" t="s">
        <v>107</v>
      </c>
      <c r="H176" s="20" t="s">
        <v>97</v>
      </c>
      <c r="I176" s="19" t="s">
        <v>98</v>
      </c>
      <c r="J176" s="19"/>
      <c r="K176" s="12"/>
      <c r="L176" s="21"/>
      <c r="M176" s="21" t="str">
        <f aca="false">IF($L176="","",$L176+IF($J176="",Dashboard!$M$9,INDEX(Dashboard!$M$5:$M$9,$J176)))</f>
        <v/>
      </c>
      <c r="N176" s="22" t="str">
        <f aca="true">IF(OR($I176="Attempted",$I176="Revisit"),"DUE",IF($M176="","",IF($M176&lt;=TODAY(),"DUE","")))</f>
        <v/>
      </c>
      <c r="O176" s="11"/>
    </row>
    <row r="177" customFormat="false" ht="15" hidden="false" customHeight="true" outlineLevel="0" collapsed="false">
      <c r="A177" s="12" t="n">
        <v>176</v>
      </c>
      <c r="B177" s="11" t="s">
        <v>310</v>
      </c>
      <c r="C177" s="11" t="s">
        <v>329</v>
      </c>
      <c r="D177" s="11" t="s">
        <v>330</v>
      </c>
      <c r="E177" s="19" t="s">
        <v>109</v>
      </c>
      <c r="F177" s="19" t="s">
        <v>95</v>
      </c>
      <c r="G177" s="12" t="s">
        <v>107</v>
      </c>
      <c r="H177" s="20" t="s">
        <v>97</v>
      </c>
      <c r="I177" s="19" t="s">
        <v>98</v>
      </c>
      <c r="J177" s="19"/>
      <c r="K177" s="12"/>
      <c r="L177" s="21"/>
      <c r="M177" s="21" t="str">
        <f aca="false">IF($L177="","",$L177+IF($J177="",Dashboard!$M$9,INDEX(Dashboard!$M$5:$M$9,$J177)))</f>
        <v/>
      </c>
      <c r="N177" s="22" t="str">
        <f aca="true">IF(OR($I177="Attempted",$I177="Revisit"),"DUE",IF($M177="","",IF($M177&lt;=TODAY(),"DUE","")))</f>
        <v/>
      </c>
      <c r="O177" s="11"/>
    </row>
    <row r="178" customFormat="false" ht="15" hidden="false" customHeight="true" outlineLevel="0" collapsed="false">
      <c r="A178" s="12" t="n">
        <v>177</v>
      </c>
      <c r="B178" s="11" t="s">
        <v>310</v>
      </c>
      <c r="C178" s="11" t="s">
        <v>331</v>
      </c>
      <c r="D178" s="11" t="s">
        <v>332</v>
      </c>
      <c r="E178" s="19" t="s">
        <v>109</v>
      </c>
      <c r="F178" s="19" t="s">
        <v>95</v>
      </c>
      <c r="G178" s="12" t="s">
        <v>107</v>
      </c>
      <c r="H178" s="20" t="s">
        <v>97</v>
      </c>
      <c r="I178" s="19" t="s">
        <v>98</v>
      </c>
      <c r="J178" s="19"/>
      <c r="K178" s="12"/>
      <c r="L178" s="21"/>
      <c r="M178" s="21" t="str">
        <f aca="false">IF($L178="","",$L178+IF($J178="",Dashboard!$M$9,INDEX(Dashboard!$M$5:$M$9,$J178)))</f>
        <v/>
      </c>
      <c r="N178" s="22" t="str">
        <f aca="true">IF(OR($I178="Attempted",$I178="Revisit"),"DUE",IF($M178="","",IF($M178&lt;=TODAY(),"DUE","")))</f>
        <v/>
      </c>
      <c r="O178" s="11"/>
    </row>
    <row r="179" customFormat="false" ht="15" hidden="false" customHeight="true" outlineLevel="0" collapsed="false">
      <c r="A179" s="12" t="n">
        <v>178</v>
      </c>
      <c r="B179" s="11" t="s">
        <v>310</v>
      </c>
      <c r="C179" s="11" t="s">
        <v>331</v>
      </c>
      <c r="D179" s="11" t="s">
        <v>333</v>
      </c>
      <c r="E179" s="19" t="s">
        <v>135</v>
      </c>
      <c r="F179" s="19" t="s">
        <v>95</v>
      </c>
      <c r="G179" s="12" t="s">
        <v>107</v>
      </c>
      <c r="H179" s="20" t="s">
        <v>97</v>
      </c>
      <c r="I179" s="19" t="s">
        <v>98</v>
      </c>
      <c r="J179" s="19"/>
      <c r="K179" s="12"/>
      <c r="L179" s="21"/>
      <c r="M179" s="21" t="str">
        <f aca="false">IF($L179="","",$L179+IF($J179="",Dashboard!$M$9,INDEX(Dashboard!$M$5:$M$9,$J179)))</f>
        <v/>
      </c>
      <c r="N179" s="22" t="str">
        <f aca="true">IF(OR($I179="Attempted",$I179="Revisit"),"DUE",IF($M179="","",IF($M179&lt;=TODAY(),"DUE","")))</f>
        <v/>
      </c>
      <c r="O179" s="11"/>
    </row>
    <row r="180" customFormat="false" ht="15" hidden="false" customHeight="true" outlineLevel="0" collapsed="false">
      <c r="A180" s="12" t="n">
        <v>179</v>
      </c>
      <c r="B180" s="11" t="s">
        <v>334</v>
      </c>
      <c r="C180" s="11" t="s">
        <v>335</v>
      </c>
      <c r="D180" s="11" t="s">
        <v>336</v>
      </c>
      <c r="E180" s="19" t="s">
        <v>109</v>
      </c>
      <c r="F180" s="19" t="s">
        <v>95</v>
      </c>
      <c r="G180" s="12" t="s">
        <v>107</v>
      </c>
      <c r="H180" s="20" t="s">
        <v>97</v>
      </c>
      <c r="I180" s="19" t="s">
        <v>98</v>
      </c>
      <c r="J180" s="19"/>
      <c r="K180" s="12"/>
      <c r="L180" s="21"/>
      <c r="M180" s="21" t="str">
        <f aca="false">IF($L180="","",$L180+IF($J180="",Dashboard!$M$9,INDEX(Dashboard!$M$5:$M$9,$J180)))</f>
        <v/>
      </c>
      <c r="N180" s="22" t="str">
        <f aca="true">IF(OR($I180="Attempted",$I180="Revisit"),"DUE",IF($M180="","",IF($M180&lt;=TODAY(),"DUE","")))</f>
        <v/>
      </c>
      <c r="O180" s="11"/>
    </row>
    <row r="181" customFormat="false" ht="15" hidden="false" customHeight="true" outlineLevel="0" collapsed="false">
      <c r="A181" s="12" t="n">
        <v>180</v>
      </c>
      <c r="B181" s="11" t="s">
        <v>334</v>
      </c>
      <c r="C181" s="11" t="s">
        <v>335</v>
      </c>
      <c r="D181" s="11" t="s">
        <v>337</v>
      </c>
      <c r="E181" s="19" t="s">
        <v>109</v>
      </c>
      <c r="F181" s="19" t="s">
        <v>121</v>
      </c>
      <c r="G181" s="12" t="s">
        <v>107</v>
      </c>
      <c r="H181" s="20" t="s">
        <v>97</v>
      </c>
      <c r="I181" s="19" t="s">
        <v>98</v>
      </c>
      <c r="J181" s="19"/>
      <c r="K181" s="12"/>
      <c r="L181" s="21"/>
      <c r="M181" s="21" t="str">
        <f aca="false">IF($L181="","",$L181+IF($J181="",Dashboard!$M$9,INDEX(Dashboard!$M$5:$M$9,$J181)))</f>
        <v/>
      </c>
      <c r="N181" s="22" t="str">
        <f aca="true">IF(OR($I181="Attempted",$I181="Revisit"),"DUE",IF($M181="","",IF($M181&lt;=TODAY(),"DUE","")))</f>
        <v/>
      </c>
      <c r="O181" s="11"/>
    </row>
    <row r="182" customFormat="false" ht="15" hidden="false" customHeight="true" outlineLevel="0" collapsed="false">
      <c r="A182" s="12" t="n">
        <v>181</v>
      </c>
      <c r="B182" s="11" t="s">
        <v>334</v>
      </c>
      <c r="C182" s="11" t="s">
        <v>335</v>
      </c>
      <c r="D182" s="11" t="s">
        <v>338</v>
      </c>
      <c r="E182" s="19" t="s">
        <v>109</v>
      </c>
      <c r="F182" s="19" t="s">
        <v>121</v>
      </c>
      <c r="G182" s="12" t="s">
        <v>107</v>
      </c>
      <c r="H182" s="20" t="s">
        <v>97</v>
      </c>
      <c r="I182" s="19" t="s">
        <v>98</v>
      </c>
      <c r="J182" s="19"/>
      <c r="K182" s="12"/>
      <c r="L182" s="21"/>
      <c r="M182" s="21" t="str">
        <f aca="false">IF($L182="","",$L182+IF($J182="",Dashboard!$M$9,INDEX(Dashboard!$M$5:$M$9,$J182)))</f>
        <v/>
      </c>
      <c r="N182" s="22" t="str">
        <f aca="true">IF(OR($I182="Attempted",$I182="Revisit"),"DUE",IF($M182="","",IF($M182&lt;=TODAY(),"DUE","")))</f>
        <v/>
      </c>
      <c r="O182" s="11"/>
    </row>
    <row r="183" customFormat="false" ht="15" hidden="false" customHeight="true" outlineLevel="0" collapsed="false">
      <c r="A183" s="12" t="n">
        <v>182</v>
      </c>
      <c r="B183" s="11" t="s">
        <v>334</v>
      </c>
      <c r="C183" s="11" t="s">
        <v>335</v>
      </c>
      <c r="D183" s="11" t="s">
        <v>339</v>
      </c>
      <c r="E183" s="19" t="s">
        <v>94</v>
      </c>
      <c r="F183" s="19" t="s">
        <v>95</v>
      </c>
      <c r="G183" s="12" t="s">
        <v>107</v>
      </c>
      <c r="H183" s="20" t="s">
        <v>97</v>
      </c>
      <c r="I183" s="19" t="s">
        <v>98</v>
      </c>
      <c r="J183" s="19"/>
      <c r="K183" s="12"/>
      <c r="L183" s="21"/>
      <c r="M183" s="21" t="str">
        <f aca="false">IF($L183="","",$L183+IF($J183="",Dashboard!$M$9,INDEX(Dashboard!$M$5:$M$9,$J183)))</f>
        <v/>
      </c>
      <c r="N183" s="22" t="str">
        <f aca="true">IF(OR($I183="Attempted",$I183="Revisit"),"DUE",IF($M183="","",IF($M183&lt;=TODAY(),"DUE","")))</f>
        <v/>
      </c>
      <c r="O183" s="11"/>
    </row>
    <row r="184" customFormat="false" ht="15" hidden="false" customHeight="true" outlineLevel="0" collapsed="false">
      <c r="A184" s="12" t="n">
        <v>183</v>
      </c>
      <c r="B184" s="11" t="s">
        <v>334</v>
      </c>
      <c r="C184" s="11" t="s">
        <v>340</v>
      </c>
      <c r="D184" s="11" t="s">
        <v>341</v>
      </c>
      <c r="E184" s="19" t="s">
        <v>109</v>
      </c>
      <c r="F184" s="19" t="s">
        <v>95</v>
      </c>
      <c r="G184" s="12" t="s">
        <v>107</v>
      </c>
      <c r="H184" s="20" t="s">
        <v>97</v>
      </c>
      <c r="I184" s="19" t="s">
        <v>98</v>
      </c>
      <c r="J184" s="19"/>
      <c r="K184" s="12"/>
      <c r="L184" s="21"/>
      <c r="M184" s="21" t="str">
        <f aca="false">IF($L184="","",$L184+IF($J184="",Dashboard!$M$9,INDEX(Dashboard!$M$5:$M$9,$J184)))</f>
        <v/>
      </c>
      <c r="N184" s="22" t="str">
        <f aca="true">IF(OR($I184="Attempted",$I184="Revisit"),"DUE",IF($M184="","",IF($M184&lt;=TODAY(),"DUE","")))</f>
        <v/>
      </c>
      <c r="O184" s="11"/>
    </row>
    <row r="185" customFormat="false" ht="15" hidden="false" customHeight="true" outlineLevel="0" collapsed="false">
      <c r="A185" s="12" t="n">
        <v>184</v>
      </c>
      <c r="B185" s="11" t="s">
        <v>334</v>
      </c>
      <c r="C185" s="11" t="s">
        <v>340</v>
      </c>
      <c r="D185" s="11" t="s">
        <v>342</v>
      </c>
      <c r="E185" s="19" t="s">
        <v>109</v>
      </c>
      <c r="F185" s="19" t="s">
        <v>121</v>
      </c>
      <c r="G185" s="12" t="s">
        <v>107</v>
      </c>
      <c r="H185" s="20" t="s">
        <v>97</v>
      </c>
      <c r="I185" s="19" t="s">
        <v>98</v>
      </c>
      <c r="J185" s="19"/>
      <c r="K185" s="12"/>
      <c r="L185" s="21"/>
      <c r="M185" s="21" t="str">
        <f aca="false">IF($L185="","",$L185+IF($J185="",Dashboard!$M$9,INDEX(Dashboard!$M$5:$M$9,$J185)))</f>
        <v/>
      </c>
      <c r="N185" s="22" t="str">
        <f aca="true">IF(OR($I185="Attempted",$I185="Revisit"),"DUE",IF($M185="","",IF($M185&lt;=TODAY(),"DUE","")))</f>
        <v/>
      </c>
      <c r="O185" s="11"/>
    </row>
    <row r="186" customFormat="false" ht="15" hidden="false" customHeight="true" outlineLevel="0" collapsed="false">
      <c r="A186" s="12" t="n">
        <v>185</v>
      </c>
      <c r="B186" s="11" t="s">
        <v>334</v>
      </c>
      <c r="C186" s="11" t="s">
        <v>340</v>
      </c>
      <c r="D186" s="11" t="s">
        <v>343</v>
      </c>
      <c r="E186" s="19" t="s">
        <v>94</v>
      </c>
      <c r="F186" s="19" t="s">
        <v>95</v>
      </c>
      <c r="G186" s="12" t="s">
        <v>107</v>
      </c>
      <c r="H186" s="20" t="s">
        <v>97</v>
      </c>
      <c r="I186" s="19" t="s">
        <v>98</v>
      </c>
      <c r="J186" s="19"/>
      <c r="K186" s="12"/>
      <c r="L186" s="21"/>
      <c r="M186" s="21" t="str">
        <f aca="false">IF($L186="","",$L186+IF($J186="",Dashboard!$M$9,INDEX(Dashboard!$M$5:$M$9,$J186)))</f>
        <v/>
      </c>
      <c r="N186" s="22" t="str">
        <f aca="true">IF(OR($I186="Attempted",$I186="Revisit"),"DUE",IF($M186="","",IF($M186&lt;=TODAY(),"DUE","")))</f>
        <v/>
      </c>
      <c r="O186" s="11"/>
    </row>
    <row r="187" customFormat="false" ht="15" hidden="false" customHeight="true" outlineLevel="0" collapsed="false">
      <c r="A187" s="12" t="n">
        <v>186</v>
      </c>
      <c r="B187" s="11" t="s">
        <v>334</v>
      </c>
      <c r="C187" s="11" t="s">
        <v>340</v>
      </c>
      <c r="D187" s="11" t="s">
        <v>344</v>
      </c>
      <c r="E187" s="19" t="s">
        <v>109</v>
      </c>
      <c r="F187" s="19" t="s">
        <v>121</v>
      </c>
      <c r="G187" s="12" t="s">
        <v>107</v>
      </c>
      <c r="H187" s="20" t="s">
        <v>97</v>
      </c>
      <c r="I187" s="19" t="s">
        <v>98</v>
      </c>
      <c r="J187" s="19"/>
      <c r="K187" s="12"/>
      <c r="L187" s="21"/>
      <c r="M187" s="21" t="str">
        <f aca="false">IF($L187="","",$L187+IF($J187="",Dashboard!$M$9,INDEX(Dashboard!$M$5:$M$9,$J187)))</f>
        <v/>
      </c>
      <c r="N187" s="22" t="str">
        <f aca="true">IF(OR($I187="Attempted",$I187="Revisit"),"DUE",IF($M187="","",IF($M187&lt;=TODAY(),"DUE","")))</f>
        <v/>
      </c>
      <c r="O187" s="11"/>
    </row>
    <row r="188" customFormat="false" ht="15" hidden="false" customHeight="true" outlineLevel="0" collapsed="false">
      <c r="A188" s="12" t="n">
        <v>187</v>
      </c>
      <c r="B188" s="11" t="s">
        <v>334</v>
      </c>
      <c r="C188" s="11" t="s">
        <v>345</v>
      </c>
      <c r="D188" s="11" t="s">
        <v>346</v>
      </c>
      <c r="E188" s="19" t="s">
        <v>94</v>
      </c>
      <c r="F188" s="19" t="s">
        <v>95</v>
      </c>
      <c r="G188" s="12" t="s">
        <v>107</v>
      </c>
      <c r="H188" s="20" t="s">
        <v>97</v>
      </c>
      <c r="I188" s="19" t="s">
        <v>98</v>
      </c>
      <c r="J188" s="19"/>
      <c r="K188" s="12"/>
      <c r="L188" s="21"/>
      <c r="M188" s="21" t="str">
        <f aca="false">IF($L188="","",$L188+IF($J188="",Dashboard!$M$9,INDEX(Dashboard!$M$5:$M$9,$J188)))</f>
        <v/>
      </c>
      <c r="N188" s="22" t="str">
        <f aca="true">IF(OR($I188="Attempted",$I188="Revisit"),"DUE",IF($M188="","",IF($M188&lt;=TODAY(),"DUE","")))</f>
        <v/>
      </c>
      <c r="O188" s="11"/>
    </row>
    <row r="189" customFormat="false" ht="15" hidden="false" customHeight="true" outlineLevel="0" collapsed="false">
      <c r="A189" s="12" t="n">
        <v>188</v>
      </c>
      <c r="B189" s="11" t="s">
        <v>334</v>
      </c>
      <c r="C189" s="11" t="s">
        <v>347</v>
      </c>
      <c r="D189" s="11" t="s">
        <v>348</v>
      </c>
      <c r="E189" s="19" t="s">
        <v>94</v>
      </c>
      <c r="F189" s="19" t="s">
        <v>95</v>
      </c>
      <c r="G189" s="12" t="s">
        <v>107</v>
      </c>
      <c r="H189" s="20" t="s">
        <v>97</v>
      </c>
      <c r="I189" s="19" t="s">
        <v>98</v>
      </c>
      <c r="J189" s="19"/>
      <c r="K189" s="12"/>
      <c r="L189" s="21"/>
      <c r="M189" s="21" t="str">
        <f aca="false">IF($L189="","",$L189+IF($J189="",Dashboard!$M$9,INDEX(Dashboard!$M$5:$M$9,$J189)))</f>
        <v/>
      </c>
      <c r="N189" s="22" t="str">
        <f aca="true">IF(OR($I189="Attempted",$I189="Revisit"),"DUE",IF($M189="","",IF($M189&lt;=TODAY(),"DUE","")))</f>
        <v/>
      </c>
      <c r="O189" s="11"/>
    </row>
    <row r="190" customFormat="false" ht="15" hidden="false" customHeight="true" outlineLevel="0" collapsed="false">
      <c r="A190" s="12" t="n">
        <v>189</v>
      </c>
      <c r="B190" s="11" t="s">
        <v>334</v>
      </c>
      <c r="C190" s="11" t="s">
        <v>347</v>
      </c>
      <c r="D190" s="11" t="s">
        <v>349</v>
      </c>
      <c r="E190" s="19" t="s">
        <v>94</v>
      </c>
      <c r="F190" s="19" t="s">
        <v>95</v>
      </c>
      <c r="G190" s="12" t="s">
        <v>107</v>
      </c>
      <c r="H190" s="20" t="s">
        <v>97</v>
      </c>
      <c r="I190" s="19" t="s">
        <v>98</v>
      </c>
      <c r="J190" s="19"/>
      <c r="K190" s="12"/>
      <c r="L190" s="21"/>
      <c r="M190" s="21" t="str">
        <f aca="false">IF($L190="","",$L190+IF($J190="",Dashboard!$M$9,INDEX(Dashboard!$M$5:$M$9,$J190)))</f>
        <v/>
      </c>
      <c r="N190" s="22" t="str">
        <f aca="true">IF(OR($I190="Attempted",$I190="Revisit"),"DUE",IF($M190="","",IF($M190&lt;=TODAY(),"DUE","")))</f>
        <v/>
      </c>
      <c r="O190" s="11"/>
    </row>
    <row r="191" customFormat="false" ht="15" hidden="false" customHeight="true" outlineLevel="0" collapsed="false">
      <c r="A191" s="12" t="n">
        <v>190</v>
      </c>
      <c r="B191" s="11" t="s">
        <v>350</v>
      </c>
      <c r="C191" s="11" t="s">
        <v>351</v>
      </c>
      <c r="D191" s="11" t="s">
        <v>352</v>
      </c>
      <c r="E191" s="19" t="s">
        <v>94</v>
      </c>
      <c r="F191" s="19" t="s">
        <v>95</v>
      </c>
      <c r="G191" s="12" t="s">
        <v>107</v>
      </c>
      <c r="H191" s="20" t="s">
        <v>97</v>
      </c>
      <c r="I191" s="19" t="s">
        <v>98</v>
      </c>
      <c r="J191" s="19"/>
      <c r="K191" s="12"/>
      <c r="L191" s="21"/>
      <c r="M191" s="21" t="str">
        <f aca="false">IF($L191="","",$L191+IF($J191="",Dashboard!$M$9,INDEX(Dashboard!$M$5:$M$9,$J191)))</f>
        <v/>
      </c>
      <c r="N191" s="22" t="str">
        <f aca="true">IF(OR($I191="Attempted",$I191="Revisit"),"DUE",IF($M191="","",IF($M191&lt;=TODAY(),"DUE","")))</f>
        <v/>
      </c>
      <c r="O191" s="11"/>
    </row>
    <row r="192" customFormat="false" ht="15" hidden="false" customHeight="true" outlineLevel="0" collapsed="false">
      <c r="A192" s="12" t="n">
        <v>191</v>
      </c>
      <c r="B192" s="11" t="s">
        <v>350</v>
      </c>
      <c r="C192" s="11" t="s">
        <v>351</v>
      </c>
      <c r="D192" s="11" t="s">
        <v>353</v>
      </c>
      <c r="E192" s="19" t="s">
        <v>109</v>
      </c>
      <c r="F192" s="19" t="s">
        <v>95</v>
      </c>
      <c r="G192" s="12" t="s">
        <v>107</v>
      </c>
      <c r="H192" s="20" t="s">
        <v>97</v>
      </c>
      <c r="I192" s="19" t="s">
        <v>98</v>
      </c>
      <c r="J192" s="19"/>
      <c r="K192" s="12"/>
      <c r="L192" s="21"/>
      <c r="M192" s="21" t="str">
        <f aca="false">IF($L192="","",$L192+IF($J192="",Dashboard!$M$9,INDEX(Dashboard!$M$5:$M$9,$J192)))</f>
        <v/>
      </c>
      <c r="N192" s="22" t="str">
        <f aca="true">IF(OR($I192="Attempted",$I192="Revisit"),"DUE",IF($M192="","",IF($M192&lt;=TODAY(),"DUE","")))</f>
        <v/>
      </c>
      <c r="O192" s="11"/>
    </row>
    <row r="193" customFormat="false" ht="15" hidden="false" customHeight="true" outlineLevel="0" collapsed="false">
      <c r="A193" s="12" t="n">
        <v>192</v>
      </c>
      <c r="B193" s="11" t="s">
        <v>350</v>
      </c>
      <c r="C193" s="11" t="s">
        <v>351</v>
      </c>
      <c r="D193" s="11" t="s">
        <v>354</v>
      </c>
      <c r="E193" s="19" t="s">
        <v>109</v>
      </c>
      <c r="F193" s="19" t="s">
        <v>121</v>
      </c>
      <c r="G193" s="12" t="s">
        <v>107</v>
      </c>
      <c r="H193" s="20" t="s">
        <v>97</v>
      </c>
      <c r="I193" s="19" t="s">
        <v>98</v>
      </c>
      <c r="J193" s="19"/>
      <c r="K193" s="12"/>
      <c r="L193" s="21"/>
      <c r="M193" s="21" t="str">
        <f aca="false">IF($L193="","",$L193+IF($J193="",Dashboard!$M$9,INDEX(Dashboard!$M$5:$M$9,$J193)))</f>
        <v/>
      </c>
      <c r="N193" s="22" t="str">
        <f aca="true">IF(OR($I193="Attempted",$I193="Revisit"),"DUE",IF($M193="","",IF($M193&lt;=TODAY(),"DUE","")))</f>
        <v/>
      </c>
      <c r="O193" s="11"/>
    </row>
    <row r="194" customFormat="false" ht="15" hidden="false" customHeight="true" outlineLevel="0" collapsed="false">
      <c r="A194" s="12" t="n">
        <v>193</v>
      </c>
      <c r="B194" s="11" t="s">
        <v>350</v>
      </c>
      <c r="C194" s="11" t="s">
        <v>351</v>
      </c>
      <c r="D194" s="11" t="s">
        <v>355</v>
      </c>
      <c r="E194" s="19" t="s">
        <v>135</v>
      </c>
      <c r="F194" s="19" t="s">
        <v>136</v>
      </c>
      <c r="G194" s="12" t="s">
        <v>107</v>
      </c>
      <c r="H194" s="20" t="s">
        <v>97</v>
      </c>
      <c r="I194" s="19" t="s">
        <v>98</v>
      </c>
      <c r="J194" s="19"/>
      <c r="K194" s="12"/>
      <c r="L194" s="21"/>
      <c r="M194" s="21" t="str">
        <f aca="false">IF($L194="","",$L194+IF($J194="",Dashboard!$M$9,INDEX(Dashboard!$M$5:$M$9,$J194)))</f>
        <v/>
      </c>
      <c r="N194" s="22" t="str">
        <f aca="true">IF(OR($I194="Attempted",$I194="Revisit"),"DUE",IF($M194="","",IF($M194&lt;=TODAY(),"DUE","")))</f>
        <v/>
      </c>
      <c r="O194" s="11"/>
    </row>
    <row r="195" customFormat="false" ht="15" hidden="false" customHeight="true" outlineLevel="0" collapsed="false">
      <c r="A195" s="12" t="n">
        <v>194</v>
      </c>
      <c r="B195" s="11" t="s">
        <v>350</v>
      </c>
      <c r="C195" s="11" t="s">
        <v>351</v>
      </c>
      <c r="D195" s="11" t="s">
        <v>356</v>
      </c>
      <c r="E195" s="19" t="s">
        <v>109</v>
      </c>
      <c r="F195" s="19" t="s">
        <v>121</v>
      </c>
      <c r="G195" s="12" t="s">
        <v>107</v>
      </c>
      <c r="H195" s="20" t="s">
        <v>97</v>
      </c>
      <c r="I195" s="19" t="s">
        <v>98</v>
      </c>
      <c r="J195" s="19"/>
      <c r="K195" s="12"/>
      <c r="L195" s="21"/>
      <c r="M195" s="21" t="str">
        <f aca="false">IF($L195="","",$L195+IF($J195="",Dashboard!$M$9,INDEX(Dashboard!$M$5:$M$9,$J195)))</f>
        <v/>
      </c>
      <c r="N195" s="22" t="str">
        <f aca="true">IF(OR($I195="Attempted",$I195="Revisit"),"DUE",IF($M195="","",IF($M195&lt;=TODAY(),"DUE","")))</f>
        <v/>
      </c>
      <c r="O195" s="11"/>
    </row>
    <row r="196" customFormat="false" ht="15" hidden="false" customHeight="true" outlineLevel="0" collapsed="false">
      <c r="A196" s="12" t="n">
        <v>195</v>
      </c>
      <c r="B196" s="11" t="s">
        <v>350</v>
      </c>
      <c r="C196" s="11" t="s">
        <v>357</v>
      </c>
      <c r="D196" s="11" t="s">
        <v>358</v>
      </c>
      <c r="E196" s="19" t="s">
        <v>94</v>
      </c>
      <c r="F196" s="19" t="s">
        <v>95</v>
      </c>
      <c r="G196" s="12" t="s">
        <v>107</v>
      </c>
      <c r="H196" s="20" t="s">
        <v>97</v>
      </c>
      <c r="I196" s="19" t="s">
        <v>98</v>
      </c>
      <c r="J196" s="19"/>
      <c r="K196" s="12"/>
      <c r="L196" s="21"/>
      <c r="M196" s="21" t="str">
        <f aca="false">IF($L196="","",$L196+IF($J196="",Dashboard!$M$9,INDEX(Dashboard!$M$5:$M$9,$J196)))</f>
        <v/>
      </c>
      <c r="N196" s="22" t="str">
        <f aca="true">IF(OR($I196="Attempted",$I196="Revisit"),"DUE",IF($M196="","",IF($M196&lt;=TODAY(),"DUE","")))</f>
        <v/>
      </c>
      <c r="O196" s="11"/>
    </row>
    <row r="197" customFormat="false" ht="15" hidden="false" customHeight="true" outlineLevel="0" collapsed="false">
      <c r="A197" s="12" t="n">
        <v>196</v>
      </c>
      <c r="B197" s="11" t="s">
        <v>350</v>
      </c>
      <c r="C197" s="11" t="s">
        <v>357</v>
      </c>
      <c r="D197" s="11" t="s">
        <v>359</v>
      </c>
      <c r="E197" s="19" t="s">
        <v>94</v>
      </c>
      <c r="F197" s="19" t="s">
        <v>95</v>
      </c>
      <c r="G197" s="12" t="s">
        <v>107</v>
      </c>
      <c r="H197" s="20" t="s">
        <v>97</v>
      </c>
      <c r="I197" s="19" t="s">
        <v>98</v>
      </c>
      <c r="J197" s="19"/>
      <c r="K197" s="12"/>
      <c r="L197" s="21"/>
      <c r="M197" s="21" t="str">
        <f aca="false">IF($L197="","",$L197+IF($J197="",Dashboard!$M$9,INDEX(Dashboard!$M$5:$M$9,$J197)))</f>
        <v/>
      </c>
      <c r="N197" s="22" t="str">
        <f aca="true">IF(OR($I197="Attempted",$I197="Revisit"),"DUE",IF($M197="","",IF($M197&lt;=TODAY(),"DUE","")))</f>
        <v/>
      </c>
      <c r="O197" s="11"/>
    </row>
    <row r="198" customFormat="false" ht="15" hidden="false" customHeight="true" outlineLevel="0" collapsed="false">
      <c r="A198" s="12" t="n">
        <v>197</v>
      </c>
      <c r="B198" s="11" t="s">
        <v>350</v>
      </c>
      <c r="C198" s="11" t="s">
        <v>357</v>
      </c>
      <c r="D198" s="11" t="s">
        <v>360</v>
      </c>
      <c r="E198" s="19" t="s">
        <v>109</v>
      </c>
      <c r="F198" s="19" t="s">
        <v>121</v>
      </c>
      <c r="G198" s="12" t="s">
        <v>107</v>
      </c>
      <c r="H198" s="20" t="s">
        <v>97</v>
      </c>
      <c r="I198" s="19" t="s">
        <v>98</v>
      </c>
      <c r="J198" s="19"/>
      <c r="K198" s="12"/>
      <c r="L198" s="21"/>
      <c r="M198" s="21" t="str">
        <f aca="false">IF($L198="","",$L198+IF($J198="",Dashboard!$M$9,INDEX(Dashboard!$M$5:$M$9,$J198)))</f>
        <v/>
      </c>
      <c r="N198" s="22" t="str">
        <f aca="true">IF(OR($I198="Attempted",$I198="Revisit"),"DUE",IF($M198="","",IF($M198&lt;=TODAY(),"DUE","")))</f>
        <v/>
      </c>
      <c r="O198" s="11"/>
    </row>
    <row r="199" customFormat="false" ht="15" hidden="false" customHeight="true" outlineLevel="0" collapsed="false">
      <c r="A199" s="12" t="n">
        <v>198</v>
      </c>
      <c r="B199" s="11" t="s">
        <v>350</v>
      </c>
      <c r="C199" s="11" t="s">
        <v>357</v>
      </c>
      <c r="D199" s="11" t="s">
        <v>361</v>
      </c>
      <c r="E199" s="19" t="s">
        <v>94</v>
      </c>
      <c r="F199" s="19" t="s">
        <v>121</v>
      </c>
      <c r="G199" s="12" t="s">
        <v>107</v>
      </c>
      <c r="H199" s="20" t="s">
        <v>97</v>
      </c>
      <c r="I199" s="19" t="s">
        <v>98</v>
      </c>
      <c r="J199" s="19"/>
      <c r="K199" s="12"/>
      <c r="L199" s="21"/>
      <c r="M199" s="21" t="str">
        <f aca="false">IF($L199="","",$L199+IF($J199="",Dashboard!$M$9,INDEX(Dashboard!$M$5:$M$9,$J199)))</f>
        <v/>
      </c>
      <c r="N199" s="22" t="str">
        <f aca="true">IF(OR($I199="Attempted",$I199="Revisit"),"DUE",IF($M199="","",IF($M199&lt;=TODAY(),"DUE","")))</f>
        <v/>
      </c>
      <c r="O199" s="11"/>
    </row>
    <row r="200" customFormat="false" ht="15" hidden="false" customHeight="true" outlineLevel="0" collapsed="false">
      <c r="A200" s="12" t="n">
        <v>199</v>
      </c>
      <c r="B200" s="11" t="s">
        <v>350</v>
      </c>
      <c r="C200" s="11" t="s">
        <v>357</v>
      </c>
      <c r="D200" s="11" t="s">
        <v>362</v>
      </c>
      <c r="E200" s="19" t="s">
        <v>109</v>
      </c>
      <c r="F200" s="19" t="s">
        <v>121</v>
      </c>
      <c r="G200" s="12" t="s">
        <v>107</v>
      </c>
      <c r="H200" s="20" t="s">
        <v>97</v>
      </c>
      <c r="I200" s="19" t="s">
        <v>98</v>
      </c>
      <c r="J200" s="19"/>
      <c r="K200" s="12"/>
      <c r="L200" s="21"/>
      <c r="M200" s="21" t="str">
        <f aca="false">IF($L200="","",$L200+IF($J200="",Dashboard!$M$9,INDEX(Dashboard!$M$5:$M$9,$J200)))</f>
        <v/>
      </c>
      <c r="N200" s="22" t="str">
        <f aca="true">IF(OR($I200="Attempted",$I200="Revisit"),"DUE",IF($M200="","",IF($M200&lt;=TODAY(),"DUE","")))</f>
        <v/>
      </c>
      <c r="O200" s="11"/>
    </row>
    <row r="201" customFormat="false" ht="15" hidden="false" customHeight="true" outlineLevel="0" collapsed="false">
      <c r="A201" s="12" t="n">
        <v>200</v>
      </c>
      <c r="B201" s="11" t="s">
        <v>350</v>
      </c>
      <c r="C201" s="11" t="s">
        <v>357</v>
      </c>
      <c r="D201" s="11" t="s">
        <v>363</v>
      </c>
      <c r="E201" s="19" t="s">
        <v>109</v>
      </c>
      <c r="F201" s="19" t="s">
        <v>121</v>
      </c>
      <c r="G201" s="12" t="s">
        <v>107</v>
      </c>
      <c r="H201" s="20" t="s">
        <v>97</v>
      </c>
      <c r="I201" s="19" t="s">
        <v>98</v>
      </c>
      <c r="J201" s="19"/>
      <c r="K201" s="12"/>
      <c r="L201" s="21"/>
      <c r="M201" s="21" t="str">
        <f aca="false">IF($L201="","",$L201+IF($J201="",Dashboard!$M$9,INDEX(Dashboard!$M$5:$M$9,$J201)))</f>
        <v/>
      </c>
      <c r="N201" s="22" t="str">
        <f aca="true">IF(OR($I201="Attempted",$I201="Revisit"),"DUE",IF($M201="","",IF($M201&lt;=TODAY(),"DUE","")))</f>
        <v/>
      </c>
      <c r="O201" s="11"/>
    </row>
    <row r="202" customFormat="false" ht="15" hidden="false" customHeight="true" outlineLevel="0" collapsed="false">
      <c r="A202" s="12" t="n">
        <v>201</v>
      </c>
      <c r="B202" s="11" t="s">
        <v>350</v>
      </c>
      <c r="C202" s="11" t="s">
        <v>364</v>
      </c>
      <c r="D202" s="11" t="s">
        <v>365</v>
      </c>
      <c r="E202" s="19" t="s">
        <v>94</v>
      </c>
      <c r="F202" s="19" t="s">
        <v>95</v>
      </c>
      <c r="G202" s="12" t="s">
        <v>107</v>
      </c>
      <c r="H202" s="20" t="s">
        <v>97</v>
      </c>
      <c r="I202" s="19" t="s">
        <v>98</v>
      </c>
      <c r="J202" s="19"/>
      <c r="K202" s="12"/>
      <c r="L202" s="21"/>
      <c r="M202" s="21" t="str">
        <f aca="false">IF($L202="","",$L202+IF($J202="",Dashboard!$M$9,INDEX(Dashboard!$M$5:$M$9,$J202)))</f>
        <v/>
      </c>
      <c r="N202" s="22" t="str">
        <f aca="true">IF(OR($I202="Attempted",$I202="Revisit"),"DUE",IF($M202="","",IF($M202&lt;=TODAY(),"DUE","")))</f>
        <v/>
      </c>
      <c r="O202" s="11"/>
    </row>
    <row r="203" customFormat="false" ht="15" hidden="false" customHeight="true" outlineLevel="0" collapsed="false">
      <c r="A203" s="12" t="n">
        <v>202</v>
      </c>
      <c r="B203" s="11" t="s">
        <v>350</v>
      </c>
      <c r="C203" s="11" t="s">
        <v>364</v>
      </c>
      <c r="D203" s="11" t="s">
        <v>366</v>
      </c>
      <c r="E203" s="19" t="s">
        <v>109</v>
      </c>
      <c r="F203" s="19" t="s">
        <v>121</v>
      </c>
      <c r="G203" s="12" t="s">
        <v>107</v>
      </c>
      <c r="H203" s="20" t="s">
        <v>97</v>
      </c>
      <c r="I203" s="19" t="s">
        <v>98</v>
      </c>
      <c r="J203" s="19"/>
      <c r="K203" s="12"/>
      <c r="L203" s="21"/>
      <c r="M203" s="21" t="str">
        <f aca="false">IF($L203="","",$L203+IF($J203="",Dashboard!$M$9,INDEX(Dashboard!$M$5:$M$9,$J203)))</f>
        <v/>
      </c>
      <c r="N203" s="22" t="str">
        <f aca="true">IF(OR($I203="Attempted",$I203="Revisit"),"DUE",IF($M203="","",IF($M203&lt;=TODAY(),"DUE","")))</f>
        <v/>
      </c>
      <c r="O203" s="11"/>
    </row>
    <row r="204" customFormat="false" ht="15" hidden="false" customHeight="true" outlineLevel="0" collapsed="false">
      <c r="A204" s="12" t="n">
        <v>203</v>
      </c>
      <c r="B204" s="11" t="s">
        <v>350</v>
      </c>
      <c r="C204" s="11" t="s">
        <v>364</v>
      </c>
      <c r="D204" s="11" t="s">
        <v>367</v>
      </c>
      <c r="E204" s="19" t="s">
        <v>94</v>
      </c>
      <c r="F204" s="19" t="s">
        <v>95</v>
      </c>
      <c r="G204" s="12" t="s">
        <v>107</v>
      </c>
      <c r="H204" s="20" t="s">
        <v>97</v>
      </c>
      <c r="I204" s="19" t="s">
        <v>98</v>
      </c>
      <c r="J204" s="19"/>
      <c r="K204" s="12"/>
      <c r="L204" s="21"/>
      <c r="M204" s="21" t="str">
        <f aca="false">IF($L204="","",$L204+IF($J204="",Dashboard!$M$9,INDEX(Dashboard!$M$5:$M$9,$J204)))</f>
        <v/>
      </c>
      <c r="N204" s="22" t="str">
        <f aca="true">IF(OR($I204="Attempted",$I204="Revisit"),"DUE",IF($M204="","",IF($M204&lt;=TODAY(),"DUE","")))</f>
        <v/>
      </c>
      <c r="O204" s="11"/>
    </row>
    <row r="205" customFormat="false" ht="15" hidden="false" customHeight="true" outlineLevel="0" collapsed="false">
      <c r="A205" s="12" t="n">
        <v>204</v>
      </c>
      <c r="B205" s="11" t="s">
        <v>350</v>
      </c>
      <c r="C205" s="11" t="s">
        <v>364</v>
      </c>
      <c r="D205" s="11" t="s">
        <v>368</v>
      </c>
      <c r="E205" s="19" t="s">
        <v>109</v>
      </c>
      <c r="F205" s="19" t="s">
        <v>121</v>
      </c>
      <c r="G205" s="12" t="s">
        <v>107</v>
      </c>
      <c r="H205" s="20" t="s">
        <v>97</v>
      </c>
      <c r="I205" s="19" t="s">
        <v>98</v>
      </c>
      <c r="J205" s="19"/>
      <c r="K205" s="12"/>
      <c r="L205" s="21"/>
      <c r="M205" s="21" t="str">
        <f aca="false">IF($L205="","",$L205+IF($J205="",Dashboard!$M$9,INDEX(Dashboard!$M$5:$M$9,$J205)))</f>
        <v/>
      </c>
      <c r="N205" s="22" t="str">
        <f aca="true">IF(OR($I205="Attempted",$I205="Revisit"),"DUE",IF($M205="","",IF($M205&lt;=TODAY(),"DUE","")))</f>
        <v/>
      </c>
      <c r="O205" s="11"/>
    </row>
    <row r="206" customFormat="false" ht="15" hidden="false" customHeight="true" outlineLevel="0" collapsed="false">
      <c r="A206" s="12" t="n">
        <v>205</v>
      </c>
      <c r="B206" s="11" t="s">
        <v>350</v>
      </c>
      <c r="C206" s="11" t="s">
        <v>364</v>
      </c>
      <c r="D206" s="11" t="s">
        <v>369</v>
      </c>
      <c r="E206" s="19" t="s">
        <v>109</v>
      </c>
      <c r="F206" s="19" t="s">
        <v>121</v>
      </c>
      <c r="G206" s="12" t="s">
        <v>107</v>
      </c>
      <c r="H206" s="20" t="s">
        <v>97</v>
      </c>
      <c r="I206" s="19" t="s">
        <v>98</v>
      </c>
      <c r="J206" s="19"/>
      <c r="K206" s="12"/>
      <c r="L206" s="21"/>
      <c r="M206" s="21" t="str">
        <f aca="false">IF($L206="","",$L206+IF($J206="",Dashboard!$M$9,INDEX(Dashboard!$M$5:$M$9,$J206)))</f>
        <v/>
      </c>
      <c r="N206" s="22" t="str">
        <f aca="true">IF(OR($I206="Attempted",$I206="Revisit"),"DUE",IF($M206="","",IF($M206&lt;=TODAY(),"DUE","")))</f>
        <v/>
      </c>
      <c r="O206" s="11"/>
    </row>
    <row r="207" customFormat="false" ht="15" hidden="false" customHeight="true" outlineLevel="0" collapsed="false">
      <c r="A207" s="12" t="n">
        <v>206</v>
      </c>
      <c r="B207" s="11" t="s">
        <v>350</v>
      </c>
      <c r="C207" s="11" t="s">
        <v>370</v>
      </c>
      <c r="D207" s="11" t="s">
        <v>371</v>
      </c>
      <c r="E207" s="19" t="s">
        <v>94</v>
      </c>
      <c r="F207" s="19" t="s">
        <v>95</v>
      </c>
      <c r="G207" s="12" t="s">
        <v>107</v>
      </c>
      <c r="H207" s="20" t="s">
        <v>97</v>
      </c>
      <c r="I207" s="19" t="s">
        <v>98</v>
      </c>
      <c r="J207" s="19"/>
      <c r="K207" s="12"/>
      <c r="L207" s="21"/>
      <c r="M207" s="21" t="str">
        <f aca="false">IF($L207="","",$L207+IF($J207="",Dashboard!$M$9,INDEX(Dashboard!$M$5:$M$9,$J207)))</f>
        <v/>
      </c>
      <c r="N207" s="22" t="str">
        <f aca="true">IF(OR($I207="Attempted",$I207="Revisit"),"DUE",IF($M207="","",IF($M207&lt;=TODAY(),"DUE","")))</f>
        <v/>
      </c>
      <c r="O207" s="11"/>
    </row>
    <row r="208" customFormat="false" ht="15" hidden="false" customHeight="true" outlineLevel="0" collapsed="false">
      <c r="A208" s="12" t="n">
        <v>207</v>
      </c>
      <c r="B208" s="11" t="s">
        <v>350</v>
      </c>
      <c r="C208" s="11" t="s">
        <v>370</v>
      </c>
      <c r="D208" s="11" t="s">
        <v>372</v>
      </c>
      <c r="E208" s="19" t="s">
        <v>135</v>
      </c>
      <c r="F208" s="19" t="s">
        <v>136</v>
      </c>
      <c r="G208" s="12" t="s">
        <v>107</v>
      </c>
      <c r="H208" s="20" t="s">
        <v>97</v>
      </c>
      <c r="I208" s="19" t="s">
        <v>98</v>
      </c>
      <c r="J208" s="19"/>
      <c r="K208" s="12"/>
      <c r="L208" s="21"/>
      <c r="M208" s="21" t="str">
        <f aca="false">IF($L208="","",$L208+IF($J208="",Dashboard!$M$9,INDEX(Dashboard!$M$5:$M$9,$J208)))</f>
        <v/>
      </c>
      <c r="N208" s="22" t="str">
        <f aca="true">IF(OR($I208="Attempted",$I208="Revisit"),"DUE",IF($M208="","",IF($M208&lt;=TODAY(),"DUE","")))</f>
        <v/>
      </c>
      <c r="O208" s="11"/>
    </row>
    <row r="209" customFormat="false" ht="15" hidden="false" customHeight="true" outlineLevel="0" collapsed="false">
      <c r="A209" s="12" t="n">
        <v>208</v>
      </c>
      <c r="B209" s="11" t="s">
        <v>350</v>
      </c>
      <c r="C209" s="11" t="s">
        <v>370</v>
      </c>
      <c r="D209" s="11" t="s">
        <v>373</v>
      </c>
      <c r="E209" s="19" t="s">
        <v>109</v>
      </c>
      <c r="F209" s="19" t="s">
        <v>95</v>
      </c>
      <c r="G209" s="12" t="s">
        <v>107</v>
      </c>
      <c r="H209" s="20" t="s">
        <v>97</v>
      </c>
      <c r="I209" s="19" t="s">
        <v>98</v>
      </c>
      <c r="J209" s="19"/>
      <c r="K209" s="12"/>
      <c r="L209" s="21"/>
      <c r="M209" s="21" t="str">
        <f aca="false">IF($L209="","",$L209+IF($J209="",Dashboard!$M$9,INDEX(Dashboard!$M$5:$M$9,$J209)))</f>
        <v/>
      </c>
      <c r="N209" s="22" t="str">
        <f aca="true">IF(OR($I209="Attempted",$I209="Revisit"),"DUE",IF($M209="","",IF($M209&lt;=TODAY(),"DUE","")))</f>
        <v/>
      </c>
      <c r="O209" s="11"/>
    </row>
    <row r="210" customFormat="false" ht="15" hidden="false" customHeight="true" outlineLevel="0" collapsed="false">
      <c r="A210" s="12" t="n">
        <v>209</v>
      </c>
      <c r="B210" s="11" t="s">
        <v>350</v>
      </c>
      <c r="C210" s="11" t="s">
        <v>374</v>
      </c>
      <c r="D210" s="11" t="s">
        <v>375</v>
      </c>
      <c r="E210" s="19" t="s">
        <v>109</v>
      </c>
      <c r="F210" s="19" t="s">
        <v>95</v>
      </c>
      <c r="G210" s="12" t="s">
        <v>107</v>
      </c>
      <c r="H210" s="20" t="s">
        <v>97</v>
      </c>
      <c r="I210" s="19" t="s">
        <v>98</v>
      </c>
      <c r="J210" s="19"/>
      <c r="K210" s="12"/>
      <c r="L210" s="21"/>
      <c r="M210" s="21" t="str">
        <f aca="false">IF($L210="","",$L210+IF($J210="",Dashboard!$M$9,INDEX(Dashboard!$M$5:$M$9,$J210)))</f>
        <v/>
      </c>
      <c r="N210" s="22" t="str">
        <f aca="true">IF(OR($I210="Attempted",$I210="Revisit"),"DUE",IF($M210="","",IF($M210&lt;=TODAY(),"DUE","")))</f>
        <v/>
      </c>
      <c r="O210" s="11"/>
    </row>
    <row r="211" customFormat="false" ht="15" hidden="false" customHeight="true" outlineLevel="0" collapsed="false">
      <c r="A211" s="12" t="n">
        <v>210</v>
      </c>
      <c r="B211" s="11" t="s">
        <v>350</v>
      </c>
      <c r="C211" s="11" t="s">
        <v>374</v>
      </c>
      <c r="D211" s="11" t="s">
        <v>376</v>
      </c>
      <c r="E211" s="19" t="s">
        <v>109</v>
      </c>
      <c r="F211" s="19" t="s">
        <v>95</v>
      </c>
      <c r="G211" s="12" t="s">
        <v>107</v>
      </c>
      <c r="H211" s="20" t="s">
        <v>97</v>
      </c>
      <c r="I211" s="19" t="s">
        <v>98</v>
      </c>
      <c r="J211" s="19"/>
      <c r="K211" s="12"/>
      <c r="L211" s="21"/>
      <c r="M211" s="21" t="str">
        <f aca="false">IF($L211="","",$L211+IF($J211="",Dashboard!$M$9,INDEX(Dashboard!$M$5:$M$9,$J211)))</f>
        <v/>
      </c>
      <c r="N211" s="22" t="str">
        <f aca="true">IF(OR($I211="Attempted",$I211="Revisit"),"DUE",IF($M211="","",IF($M211&lt;=TODAY(),"DUE","")))</f>
        <v/>
      </c>
      <c r="O211" s="11"/>
    </row>
    <row r="212" customFormat="false" ht="15" hidden="false" customHeight="true" outlineLevel="0" collapsed="false">
      <c r="A212" s="12" t="n">
        <v>211</v>
      </c>
      <c r="B212" s="11" t="s">
        <v>350</v>
      </c>
      <c r="C212" s="11" t="s">
        <v>144</v>
      </c>
      <c r="D212" s="11" t="s">
        <v>377</v>
      </c>
      <c r="E212" s="19" t="s">
        <v>109</v>
      </c>
      <c r="F212" s="19" t="s">
        <v>95</v>
      </c>
      <c r="G212" s="12" t="s">
        <v>107</v>
      </c>
      <c r="H212" s="20" t="s">
        <v>97</v>
      </c>
      <c r="I212" s="19" t="s">
        <v>98</v>
      </c>
      <c r="J212" s="19"/>
      <c r="K212" s="12"/>
      <c r="L212" s="21"/>
      <c r="M212" s="21" t="str">
        <f aca="false">IF($L212="","",$L212+IF($J212="",Dashboard!$M$9,INDEX(Dashboard!$M$5:$M$9,$J212)))</f>
        <v/>
      </c>
      <c r="N212" s="22" t="str">
        <f aca="true">IF(OR($I212="Attempted",$I212="Revisit"),"DUE",IF($M212="","",IF($M212&lt;=TODAY(),"DUE","")))</f>
        <v/>
      </c>
      <c r="O212" s="11"/>
    </row>
    <row r="213" customFormat="false" ht="15" hidden="false" customHeight="true" outlineLevel="0" collapsed="false">
      <c r="A213" s="12" t="n">
        <v>212</v>
      </c>
      <c r="B213" s="11" t="s">
        <v>350</v>
      </c>
      <c r="C213" s="11" t="s">
        <v>144</v>
      </c>
      <c r="D213" s="11" t="s">
        <v>378</v>
      </c>
      <c r="E213" s="19" t="s">
        <v>109</v>
      </c>
      <c r="F213" s="19" t="s">
        <v>95</v>
      </c>
      <c r="G213" s="12" t="s">
        <v>107</v>
      </c>
      <c r="H213" s="20" t="s">
        <v>97</v>
      </c>
      <c r="I213" s="19" t="s">
        <v>98</v>
      </c>
      <c r="J213" s="19"/>
      <c r="K213" s="12"/>
      <c r="L213" s="21"/>
      <c r="M213" s="21" t="str">
        <f aca="false">IF($L213="","",$L213+IF($J213="",Dashboard!$M$9,INDEX(Dashboard!$M$5:$M$9,$J213)))</f>
        <v/>
      </c>
      <c r="N213" s="22" t="str">
        <f aca="true">IF(OR($I213="Attempted",$I213="Revisit"),"DUE",IF($M213="","",IF($M213&lt;=TODAY(),"DUE","")))</f>
        <v/>
      </c>
      <c r="O213" s="11"/>
    </row>
    <row r="214" customFormat="false" ht="15" hidden="false" customHeight="true" outlineLevel="0" collapsed="false">
      <c r="A214" s="12" t="n">
        <v>213</v>
      </c>
      <c r="B214" s="11" t="s">
        <v>350</v>
      </c>
      <c r="C214" s="11" t="s">
        <v>144</v>
      </c>
      <c r="D214" s="11" t="s">
        <v>379</v>
      </c>
      <c r="E214" s="19" t="s">
        <v>109</v>
      </c>
      <c r="F214" s="19" t="s">
        <v>121</v>
      </c>
      <c r="G214" s="12" t="s">
        <v>107</v>
      </c>
      <c r="H214" s="20" t="s">
        <v>97</v>
      </c>
      <c r="I214" s="19" t="s">
        <v>98</v>
      </c>
      <c r="J214" s="19"/>
      <c r="K214" s="12"/>
      <c r="L214" s="21"/>
      <c r="M214" s="21" t="str">
        <f aca="false">IF($L214="","",$L214+IF($J214="",Dashboard!$M$9,INDEX(Dashboard!$M$5:$M$9,$J214)))</f>
        <v/>
      </c>
      <c r="N214" s="22" t="str">
        <f aca="true">IF(OR($I214="Attempted",$I214="Revisit"),"DUE",IF($M214="","",IF($M214&lt;=TODAY(),"DUE","")))</f>
        <v/>
      </c>
      <c r="O214" s="11"/>
    </row>
    <row r="215" customFormat="false" ht="15" hidden="false" customHeight="true" outlineLevel="0" collapsed="false">
      <c r="A215" s="12" t="n">
        <v>214</v>
      </c>
      <c r="B215" s="11" t="s">
        <v>350</v>
      </c>
      <c r="C215" s="11" t="s">
        <v>144</v>
      </c>
      <c r="D215" s="11" t="s">
        <v>380</v>
      </c>
      <c r="E215" s="19" t="s">
        <v>109</v>
      </c>
      <c r="F215" s="19" t="s">
        <v>121</v>
      </c>
      <c r="G215" s="12" t="s">
        <v>107</v>
      </c>
      <c r="H215" s="20" t="s">
        <v>97</v>
      </c>
      <c r="I215" s="19" t="s">
        <v>98</v>
      </c>
      <c r="J215" s="19"/>
      <c r="K215" s="12"/>
      <c r="L215" s="21"/>
      <c r="M215" s="21" t="str">
        <f aca="false">IF($L215="","",$L215+IF($J215="",Dashboard!$M$9,INDEX(Dashboard!$M$5:$M$9,$J215)))</f>
        <v/>
      </c>
      <c r="N215" s="22" t="str">
        <f aca="true">IF(OR($I215="Attempted",$I215="Revisit"),"DUE",IF($M215="","",IF($M215&lt;=TODAY(),"DUE","")))</f>
        <v/>
      </c>
      <c r="O215" s="11"/>
    </row>
    <row r="216" customFormat="false" ht="15" hidden="false" customHeight="true" outlineLevel="0" collapsed="false">
      <c r="A216" s="12" t="n">
        <v>215</v>
      </c>
      <c r="B216" s="11" t="s">
        <v>350</v>
      </c>
      <c r="C216" s="11" t="s">
        <v>381</v>
      </c>
      <c r="D216" s="11" t="s">
        <v>382</v>
      </c>
      <c r="E216" s="19" t="s">
        <v>94</v>
      </c>
      <c r="F216" s="19" t="s">
        <v>95</v>
      </c>
      <c r="G216" s="12" t="s">
        <v>107</v>
      </c>
      <c r="H216" s="20" t="s">
        <v>97</v>
      </c>
      <c r="I216" s="19" t="s">
        <v>98</v>
      </c>
      <c r="J216" s="19"/>
      <c r="K216" s="12"/>
      <c r="L216" s="21"/>
      <c r="M216" s="21" t="str">
        <f aca="false">IF($L216="","",$L216+IF($J216="",Dashboard!$M$9,INDEX(Dashboard!$M$5:$M$9,$J216)))</f>
        <v/>
      </c>
      <c r="N216" s="22" t="str">
        <f aca="true">IF(OR($I216="Attempted",$I216="Revisit"),"DUE",IF($M216="","",IF($M216&lt;=TODAY(),"DUE","")))</f>
        <v/>
      </c>
      <c r="O216" s="11"/>
    </row>
    <row r="217" customFormat="false" ht="15" hidden="false" customHeight="true" outlineLevel="0" collapsed="false">
      <c r="A217" s="12" t="n">
        <v>216</v>
      </c>
      <c r="B217" s="11" t="s">
        <v>350</v>
      </c>
      <c r="C217" s="11" t="s">
        <v>381</v>
      </c>
      <c r="D217" s="11" t="s">
        <v>383</v>
      </c>
      <c r="E217" s="19" t="s">
        <v>109</v>
      </c>
      <c r="F217" s="19" t="s">
        <v>95</v>
      </c>
      <c r="G217" s="12" t="s">
        <v>107</v>
      </c>
      <c r="H217" s="20" t="s">
        <v>97</v>
      </c>
      <c r="I217" s="19" t="s">
        <v>98</v>
      </c>
      <c r="J217" s="19"/>
      <c r="K217" s="12"/>
      <c r="L217" s="21"/>
      <c r="M217" s="21" t="str">
        <f aca="false">IF($L217="","",$L217+IF($J217="",Dashboard!$M$9,INDEX(Dashboard!$M$5:$M$9,$J217)))</f>
        <v/>
      </c>
      <c r="N217" s="22" t="str">
        <f aca="true">IF(OR($I217="Attempted",$I217="Revisit"),"DUE",IF($M217="","",IF($M217&lt;=TODAY(),"DUE","")))</f>
        <v/>
      </c>
      <c r="O217" s="11"/>
    </row>
    <row r="218" customFormat="false" ht="15" hidden="false" customHeight="true" outlineLevel="0" collapsed="false">
      <c r="A218" s="12" t="n">
        <v>217</v>
      </c>
      <c r="B218" s="11" t="s">
        <v>350</v>
      </c>
      <c r="C218" s="11" t="s">
        <v>381</v>
      </c>
      <c r="D218" s="11" t="s">
        <v>384</v>
      </c>
      <c r="E218" s="19" t="s">
        <v>109</v>
      </c>
      <c r="F218" s="19" t="s">
        <v>121</v>
      </c>
      <c r="G218" s="12" t="s">
        <v>107</v>
      </c>
      <c r="H218" s="20" t="s">
        <v>97</v>
      </c>
      <c r="I218" s="19" t="s">
        <v>98</v>
      </c>
      <c r="J218" s="19"/>
      <c r="K218" s="12"/>
      <c r="L218" s="21"/>
      <c r="M218" s="21" t="str">
        <f aca="false">IF($L218="","",$L218+IF($J218="",Dashboard!$M$9,INDEX(Dashboard!$M$5:$M$9,$J218)))</f>
        <v/>
      </c>
      <c r="N218" s="22" t="str">
        <f aca="true">IF(OR($I218="Attempted",$I218="Revisit"),"DUE",IF($M218="","",IF($M218&lt;=TODAY(),"DUE","")))</f>
        <v/>
      </c>
      <c r="O218" s="11"/>
    </row>
    <row r="219" customFormat="false" ht="15" hidden="false" customHeight="true" outlineLevel="0" collapsed="false">
      <c r="A219" s="12" t="n">
        <v>218</v>
      </c>
      <c r="B219" s="11" t="s">
        <v>350</v>
      </c>
      <c r="C219" s="11" t="s">
        <v>381</v>
      </c>
      <c r="D219" s="11" t="s">
        <v>385</v>
      </c>
      <c r="E219" s="19" t="s">
        <v>109</v>
      </c>
      <c r="F219" s="19" t="s">
        <v>121</v>
      </c>
      <c r="G219" s="12" t="s">
        <v>96</v>
      </c>
      <c r="H219" s="20" t="s">
        <v>97</v>
      </c>
      <c r="I219" s="19" t="s">
        <v>98</v>
      </c>
      <c r="J219" s="19"/>
      <c r="K219" s="12"/>
      <c r="L219" s="21"/>
      <c r="M219" s="21" t="str">
        <f aca="false">IF($L219="","",$L219+IF($J219="",Dashboard!$M$9,INDEX(Dashboard!$M$5:$M$9,$J219)))</f>
        <v/>
      </c>
      <c r="N219" s="22" t="str">
        <f aca="true">IF(OR($I219="Attempted",$I219="Revisit"),"DUE",IF($M219="","",IF($M219&lt;=TODAY(),"DUE","")))</f>
        <v/>
      </c>
      <c r="O219" s="11"/>
    </row>
    <row r="220" customFormat="false" ht="15" hidden="false" customHeight="true" outlineLevel="0" collapsed="false">
      <c r="A220" s="12" t="n">
        <v>219</v>
      </c>
      <c r="B220" s="11" t="s">
        <v>350</v>
      </c>
      <c r="C220" s="11" t="s">
        <v>386</v>
      </c>
      <c r="D220" s="11" t="s">
        <v>387</v>
      </c>
      <c r="E220" s="19" t="s">
        <v>109</v>
      </c>
      <c r="F220" s="19" t="s">
        <v>95</v>
      </c>
      <c r="G220" s="12" t="s">
        <v>107</v>
      </c>
      <c r="H220" s="20" t="s">
        <v>97</v>
      </c>
      <c r="I220" s="19" t="s">
        <v>98</v>
      </c>
      <c r="J220" s="19"/>
      <c r="K220" s="12"/>
      <c r="L220" s="21"/>
      <c r="M220" s="21" t="str">
        <f aca="false">IF($L220="","",$L220+IF($J220="",Dashboard!$M$9,INDEX(Dashboard!$M$5:$M$9,$J220)))</f>
        <v/>
      </c>
      <c r="N220" s="22" t="str">
        <f aca="true">IF(OR($I220="Attempted",$I220="Revisit"),"DUE",IF($M220="","",IF($M220&lt;=TODAY(),"DUE","")))</f>
        <v/>
      </c>
      <c r="O220" s="11"/>
    </row>
    <row r="221" customFormat="false" ht="15" hidden="false" customHeight="true" outlineLevel="0" collapsed="false">
      <c r="A221" s="12" t="n">
        <v>220</v>
      </c>
      <c r="B221" s="11" t="s">
        <v>388</v>
      </c>
      <c r="C221" s="11" t="s">
        <v>389</v>
      </c>
      <c r="D221" s="11" t="s">
        <v>390</v>
      </c>
      <c r="E221" s="19" t="s">
        <v>94</v>
      </c>
      <c r="F221" s="19" t="s">
        <v>95</v>
      </c>
      <c r="G221" s="12" t="s">
        <v>107</v>
      </c>
      <c r="H221" s="20" t="s">
        <v>97</v>
      </c>
      <c r="I221" s="19" t="s">
        <v>98</v>
      </c>
      <c r="J221" s="19"/>
      <c r="K221" s="12"/>
      <c r="L221" s="21"/>
      <c r="M221" s="21" t="str">
        <f aca="false">IF($L221="","",$L221+IF($J221="",Dashboard!$M$9,INDEX(Dashboard!$M$5:$M$9,$J221)))</f>
        <v/>
      </c>
      <c r="N221" s="22" t="str">
        <f aca="true">IF(OR($I221="Attempted",$I221="Revisit"),"DUE",IF($M221="","",IF($M221&lt;=TODAY(),"DUE","")))</f>
        <v/>
      </c>
      <c r="O221" s="11"/>
    </row>
    <row r="222" customFormat="false" ht="15" hidden="false" customHeight="true" outlineLevel="0" collapsed="false">
      <c r="A222" s="12" t="n">
        <v>221</v>
      </c>
      <c r="B222" s="11" t="s">
        <v>388</v>
      </c>
      <c r="C222" s="11" t="s">
        <v>389</v>
      </c>
      <c r="D222" s="11" t="s">
        <v>391</v>
      </c>
      <c r="E222" s="19" t="s">
        <v>135</v>
      </c>
      <c r="F222" s="19" t="s">
        <v>136</v>
      </c>
      <c r="G222" s="12" t="s">
        <v>107</v>
      </c>
      <c r="H222" s="20" t="s">
        <v>97</v>
      </c>
      <c r="I222" s="19" t="s">
        <v>98</v>
      </c>
      <c r="J222" s="19"/>
      <c r="K222" s="12"/>
      <c r="L222" s="21"/>
      <c r="M222" s="21" t="str">
        <f aca="false">IF($L222="","",$L222+IF($J222="",Dashboard!$M$9,INDEX(Dashboard!$M$5:$M$9,$J222)))</f>
        <v/>
      </c>
      <c r="N222" s="22" t="str">
        <f aca="true">IF(OR($I222="Attempted",$I222="Revisit"),"DUE",IF($M222="","",IF($M222&lt;=TODAY(),"DUE","")))</f>
        <v/>
      </c>
      <c r="O222" s="11"/>
    </row>
    <row r="223" customFormat="false" ht="15" hidden="false" customHeight="true" outlineLevel="0" collapsed="false">
      <c r="A223" s="12" t="n">
        <v>222</v>
      </c>
      <c r="B223" s="11" t="s">
        <v>388</v>
      </c>
      <c r="C223" s="11" t="s">
        <v>389</v>
      </c>
      <c r="D223" s="11" t="s">
        <v>392</v>
      </c>
      <c r="E223" s="19" t="s">
        <v>109</v>
      </c>
      <c r="F223" s="19" t="s">
        <v>95</v>
      </c>
      <c r="G223" s="12" t="s">
        <v>107</v>
      </c>
      <c r="H223" s="20" t="s">
        <v>97</v>
      </c>
      <c r="I223" s="19" t="s">
        <v>98</v>
      </c>
      <c r="J223" s="19"/>
      <c r="K223" s="12"/>
      <c r="L223" s="21"/>
      <c r="M223" s="21" t="str">
        <f aca="false">IF($L223="","",$L223+IF($J223="",Dashboard!$M$9,INDEX(Dashboard!$M$5:$M$9,$J223)))</f>
        <v/>
      </c>
      <c r="N223" s="22" t="str">
        <f aca="true">IF(OR($I223="Attempted",$I223="Revisit"),"DUE",IF($M223="","",IF($M223&lt;=TODAY(),"DUE","")))</f>
        <v/>
      </c>
      <c r="O223" s="11"/>
    </row>
    <row r="224" customFormat="false" ht="15" hidden="false" customHeight="true" outlineLevel="0" collapsed="false">
      <c r="A224" s="12" t="n">
        <v>223</v>
      </c>
      <c r="B224" s="11" t="s">
        <v>388</v>
      </c>
      <c r="C224" s="11" t="s">
        <v>386</v>
      </c>
      <c r="D224" s="11" t="s">
        <v>393</v>
      </c>
      <c r="E224" s="19" t="s">
        <v>109</v>
      </c>
      <c r="F224" s="19" t="s">
        <v>121</v>
      </c>
      <c r="G224" s="12" t="s">
        <v>107</v>
      </c>
      <c r="H224" s="20" t="s">
        <v>97</v>
      </c>
      <c r="I224" s="19" t="s">
        <v>98</v>
      </c>
      <c r="J224" s="19"/>
      <c r="K224" s="12"/>
      <c r="L224" s="21"/>
      <c r="M224" s="21" t="str">
        <f aca="false">IF($L224="","",$L224+IF($J224="",Dashboard!$M$9,INDEX(Dashboard!$M$5:$M$9,$J224)))</f>
        <v/>
      </c>
      <c r="N224" s="22" t="str">
        <f aca="true">IF(OR($I224="Attempted",$I224="Revisit"),"DUE",IF($M224="","",IF($M224&lt;=TODAY(),"DUE","")))</f>
        <v/>
      </c>
      <c r="O224" s="11"/>
    </row>
    <row r="225" customFormat="false" ht="15" hidden="false" customHeight="true" outlineLevel="0" collapsed="false">
      <c r="A225" s="12" t="n">
        <v>224</v>
      </c>
      <c r="B225" s="11" t="s">
        <v>388</v>
      </c>
      <c r="C225" s="11" t="s">
        <v>386</v>
      </c>
      <c r="D225" s="11" t="s">
        <v>394</v>
      </c>
      <c r="E225" s="19" t="s">
        <v>94</v>
      </c>
      <c r="F225" s="19" t="s">
        <v>95</v>
      </c>
      <c r="G225" s="12" t="s">
        <v>107</v>
      </c>
      <c r="H225" s="20" t="s">
        <v>97</v>
      </c>
      <c r="I225" s="19" t="s">
        <v>98</v>
      </c>
      <c r="J225" s="19"/>
      <c r="K225" s="12"/>
      <c r="L225" s="21"/>
      <c r="M225" s="21" t="str">
        <f aca="false">IF($L225="","",$L225+IF($J225="",Dashboard!$M$9,INDEX(Dashboard!$M$5:$M$9,$J225)))</f>
        <v/>
      </c>
      <c r="N225" s="22" t="str">
        <f aca="true">IF(OR($I225="Attempted",$I225="Revisit"),"DUE",IF($M225="","",IF($M225&lt;=TODAY(),"DUE","")))</f>
        <v/>
      </c>
      <c r="O225" s="11"/>
    </row>
    <row r="226" customFormat="false" ht="15" hidden="false" customHeight="true" outlineLevel="0" collapsed="false">
      <c r="A226" s="12" t="n">
        <v>225</v>
      </c>
      <c r="B226" s="11" t="s">
        <v>388</v>
      </c>
      <c r="C226" s="11" t="s">
        <v>386</v>
      </c>
      <c r="D226" s="11" t="s">
        <v>395</v>
      </c>
      <c r="E226" s="19" t="s">
        <v>94</v>
      </c>
      <c r="F226" s="19" t="s">
        <v>95</v>
      </c>
      <c r="G226" s="12" t="s">
        <v>107</v>
      </c>
      <c r="H226" s="20" t="s">
        <v>97</v>
      </c>
      <c r="I226" s="19" t="s">
        <v>98</v>
      </c>
      <c r="J226" s="19"/>
      <c r="K226" s="12"/>
      <c r="L226" s="21"/>
      <c r="M226" s="21" t="str">
        <f aca="false">IF($L226="","",$L226+IF($J226="",Dashboard!$M$9,INDEX(Dashboard!$M$5:$M$9,$J226)))</f>
        <v/>
      </c>
      <c r="N226" s="22" t="str">
        <f aca="true">IF(OR($I226="Attempted",$I226="Revisit"),"DUE",IF($M226="","",IF($M226&lt;=TODAY(),"DUE","")))</f>
        <v/>
      </c>
      <c r="O226" s="11"/>
    </row>
    <row r="227" customFormat="false" ht="15" hidden="false" customHeight="true" outlineLevel="0" collapsed="false">
      <c r="A227" s="12" t="n">
        <v>226</v>
      </c>
      <c r="B227" s="11" t="s">
        <v>388</v>
      </c>
      <c r="C227" s="11" t="s">
        <v>386</v>
      </c>
      <c r="D227" s="11" t="s">
        <v>396</v>
      </c>
      <c r="E227" s="19" t="s">
        <v>109</v>
      </c>
      <c r="F227" s="19" t="s">
        <v>121</v>
      </c>
      <c r="G227" s="12" t="s">
        <v>107</v>
      </c>
      <c r="H227" s="20" t="s">
        <v>97</v>
      </c>
      <c r="I227" s="19" t="s">
        <v>98</v>
      </c>
      <c r="J227" s="19"/>
      <c r="K227" s="12"/>
      <c r="L227" s="21"/>
      <c r="M227" s="21" t="str">
        <f aca="false">IF($L227="","",$L227+IF($J227="",Dashboard!$M$9,INDEX(Dashboard!$M$5:$M$9,$J227)))</f>
        <v/>
      </c>
      <c r="N227" s="22" t="str">
        <f aca="true">IF(OR($I227="Attempted",$I227="Revisit"),"DUE",IF($M227="","",IF($M227&lt;=TODAY(),"DUE","")))</f>
        <v/>
      </c>
      <c r="O227" s="11"/>
    </row>
    <row r="228" customFormat="false" ht="15" hidden="false" customHeight="true" outlineLevel="0" collapsed="false">
      <c r="A228" s="12" t="n">
        <v>227</v>
      </c>
      <c r="B228" s="11" t="s">
        <v>388</v>
      </c>
      <c r="C228" s="11" t="s">
        <v>386</v>
      </c>
      <c r="D228" s="11" t="s">
        <v>397</v>
      </c>
      <c r="E228" s="19" t="s">
        <v>135</v>
      </c>
      <c r="F228" s="19" t="s">
        <v>136</v>
      </c>
      <c r="G228" s="12" t="s">
        <v>107</v>
      </c>
      <c r="H228" s="20" t="s">
        <v>97</v>
      </c>
      <c r="I228" s="19" t="s">
        <v>98</v>
      </c>
      <c r="J228" s="19"/>
      <c r="K228" s="12"/>
      <c r="L228" s="21"/>
      <c r="M228" s="21" t="str">
        <f aca="false">IF($L228="","",$L228+IF($J228="",Dashboard!$M$9,INDEX(Dashboard!$M$5:$M$9,$J228)))</f>
        <v/>
      </c>
      <c r="N228" s="22" t="str">
        <f aca="true">IF(OR($I228="Attempted",$I228="Revisit"),"DUE",IF($M228="","",IF($M228&lt;=TODAY(),"DUE","")))</f>
        <v/>
      </c>
      <c r="O228" s="11"/>
    </row>
    <row r="229" customFormat="false" ht="15" hidden="false" customHeight="true" outlineLevel="0" collapsed="false">
      <c r="A229" s="12" t="n">
        <v>228</v>
      </c>
      <c r="B229" s="11" t="s">
        <v>388</v>
      </c>
      <c r="C229" s="11" t="s">
        <v>398</v>
      </c>
      <c r="D229" s="11" t="s">
        <v>399</v>
      </c>
      <c r="E229" s="19" t="s">
        <v>109</v>
      </c>
      <c r="F229" s="19" t="s">
        <v>95</v>
      </c>
      <c r="G229" s="12" t="s">
        <v>107</v>
      </c>
      <c r="H229" s="20" t="s">
        <v>97</v>
      </c>
      <c r="I229" s="19" t="s">
        <v>98</v>
      </c>
      <c r="J229" s="19"/>
      <c r="K229" s="12"/>
      <c r="L229" s="21"/>
      <c r="M229" s="21" t="str">
        <f aca="false">IF($L229="","",$L229+IF($J229="",Dashboard!$M$9,INDEX(Dashboard!$M$5:$M$9,$J229)))</f>
        <v/>
      </c>
      <c r="N229" s="22" t="str">
        <f aca="true">IF(OR($I229="Attempted",$I229="Revisit"),"DUE",IF($M229="","",IF($M229&lt;=TODAY(),"DUE","")))</f>
        <v/>
      </c>
      <c r="O229" s="11"/>
    </row>
    <row r="230" customFormat="false" ht="15" hidden="false" customHeight="true" outlineLevel="0" collapsed="false">
      <c r="A230" s="12" t="n">
        <v>229</v>
      </c>
      <c r="B230" s="11" t="s">
        <v>388</v>
      </c>
      <c r="C230" s="11" t="s">
        <v>398</v>
      </c>
      <c r="D230" s="11" t="s">
        <v>400</v>
      </c>
      <c r="E230" s="19" t="s">
        <v>135</v>
      </c>
      <c r="F230" s="19" t="s">
        <v>136</v>
      </c>
      <c r="G230" s="12" t="s">
        <v>107</v>
      </c>
      <c r="H230" s="20" t="s">
        <v>97</v>
      </c>
      <c r="I230" s="19" t="s">
        <v>98</v>
      </c>
      <c r="J230" s="19"/>
      <c r="K230" s="12"/>
      <c r="L230" s="21"/>
      <c r="M230" s="21" t="str">
        <f aca="false">IF($L230="","",$L230+IF($J230="",Dashboard!$M$9,INDEX(Dashboard!$M$5:$M$9,$J230)))</f>
        <v/>
      </c>
      <c r="N230" s="22" t="str">
        <f aca="true">IF(OR($I230="Attempted",$I230="Revisit"),"DUE",IF($M230="","",IF($M230&lt;=TODAY(),"DUE","")))</f>
        <v/>
      </c>
      <c r="O230" s="11"/>
    </row>
    <row r="231" customFormat="false" ht="15" hidden="false" customHeight="true" outlineLevel="0" collapsed="false">
      <c r="A231" s="12" t="n">
        <v>230</v>
      </c>
      <c r="B231" s="11" t="s">
        <v>388</v>
      </c>
      <c r="C231" s="11" t="s">
        <v>398</v>
      </c>
      <c r="D231" s="11" t="s">
        <v>401</v>
      </c>
      <c r="E231" s="19" t="s">
        <v>109</v>
      </c>
      <c r="F231" s="19" t="s">
        <v>95</v>
      </c>
      <c r="G231" s="12" t="s">
        <v>107</v>
      </c>
      <c r="H231" s="20" t="s">
        <v>97</v>
      </c>
      <c r="I231" s="19" t="s">
        <v>98</v>
      </c>
      <c r="J231" s="19"/>
      <c r="K231" s="12"/>
      <c r="L231" s="21"/>
      <c r="M231" s="21" t="str">
        <f aca="false">IF($L231="","",$L231+IF($J231="",Dashboard!$M$9,INDEX(Dashboard!$M$5:$M$9,$J231)))</f>
        <v/>
      </c>
      <c r="N231" s="22" t="str">
        <f aca="true">IF(OR($I231="Attempted",$I231="Revisit"),"DUE",IF($M231="","",IF($M231&lt;=TODAY(),"DUE","")))</f>
        <v/>
      </c>
      <c r="O231" s="11"/>
    </row>
    <row r="232" customFormat="false" ht="15" hidden="false" customHeight="true" outlineLevel="0" collapsed="false">
      <c r="A232" s="12" t="n">
        <v>231</v>
      </c>
      <c r="B232" s="11" t="s">
        <v>388</v>
      </c>
      <c r="C232" s="11" t="s">
        <v>398</v>
      </c>
      <c r="D232" s="11" t="s">
        <v>402</v>
      </c>
      <c r="E232" s="19" t="s">
        <v>109</v>
      </c>
      <c r="F232" s="19" t="s">
        <v>121</v>
      </c>
      <c r="G232" s="12" t="s">
        <v>96</v>
      </c>
      <c r="H232" s="20" t="s">
        <v>97</v>
      </c>
      <c r="I232" s="19" t="s">
        <v>98</v>
      </c>
      <c r="J232" s="19"/>
      <c r="K232" s="12"/>
      <c r="L232" s="21"/>
      <c r="M232" s="21" t="str">
        <f aca="false">IF($L232="","",$L232+IF($J232="",Dashboard!$M$9,INDEX(Dashboard!$M$5:$M$9,$J232)))</f>
        <v/>
      </c>
      <c r="N232" s="22" t="str">
        <f aca="true">IF(OR($I232="Attempted",$I232="Revisit"),"DUE",IF($M232="","",IF($M232&lt;=TODAY(),"DUE","")))</f>
        <v/>
      </c>
      <c r="O232" s="11"/>
    </row>
    <row r="233" customFormat="false" ht="15" hidden="false" customHeight="true" outlineLevel="0" collapsed="false">
      <c r="A233" s="12" t="n">
        <v>232</v>
      </c>
      <c r="B233" s="11" t="s">
        <v>388</v>
      </c>
      <c r="C233" s="11" t="s">
        <v>306</v>
      </c>
      <c r="D233" s="11" t="s">
        <v>403</v>
      </c>
      <c r="E233" s="19" t="s">
        <v>109</v>
      </c>
      <c r="F233" s="19" t="s">
        <v>95</v>
      </c>
      <c r="G233" s="12" t="s">
        <v>107</v>
      </c>
      <c r="H233" s="20" t="s">
        <v>97</v>
      </c>
      <c r="I233" s="19" t="s">
        <v>98</v>
      </c>
      <c r="J233" s="19"/>
      <c r="K233" s="12"/>
      <c r="L233" s="21"/>
      <c r="M233" s="21" t="str">
        <f aca="false">IF($L233="","",$L233+IF($J233="",Dashboard!$M$9,INDEX(Dashboard!$M$5:$M$9,$J233)))</f>
        <v/>
      </c>
      <c r="N233" s="22" t="str">
        <f aca="true">IF(OR($I233="Attempted",$I233="Revisit"),"DUE",IF($M233="","",IF($M233&lt;=TODAY(),"DUE","")))</f>
        <v/>
      </c>
      <c r="O233" s="11"/>
    </row>
    <row r="234" customFormat="false" ht="15" hidden="false" customHeight="true" outlineLevel="0" collapsed="false">
      <c r="A234" s="12" t="n">
        <v>233</v>
      </c>
      <c r="B234" s="11" t="s">
        <v>388</v>
      </c>
      <c r="C234" s="11" t="s">
        <v>306</v>
      </c>
      <c r="D234" s="11" t="s">
        <v>404</v>
      </c>
      <c r="E234" s="19" t="s">
        <v>94</v>
      </c>
      <c r="F234" s="19" t="s">
        <v>95</v>
      </c>
      <c r="G234" s="12" t="s">
        <v>107</v>
      </c>
      <c r="H234" s="20" t="s">
        <v>97</v>
      </c>
      <c r="I234" s="19" t="s">
        <v>98</v>
      </c>
      <c r="J234" s="19"/>
      <c r="K234" s="12"/>
      <c r="L234" s="21"/>
      <c r="M234" s="21" t="str">
        <f aca="false">IF($L234="","",$L234+IF($J234="",Dashboard!$M$9,INDEX(Dashboard!$M$5:$M$9,$J234)))</f>
        <v/>
      </c>
      <c r="N234" s="22" t="str">
        <f aca="true">IF(OR($I234="Attempted",$I234="Revisit"),"DUE",IF($M234="","",IF($M234&lt;=TODAY(),"DUE","")))</f>
        <v/>
      </c>
      <c r="O234" s="11"/>
    </row>
    <row r="235" customFormat="false" ht="15" hidden="false" customHeight="true" outlineLevel="0" collapsed="false">
      <c r="A235" s="12" t="n">
        <v>234</v>
      </c>
      <c r="B235" s="11" t="s">
        <v>388</v>
      </c>
      <c r="C235" s="11" t="s">
        <v>306</v>
      </c>
      <c r="D235" s="11" t="s">
        <v>405</v>
      </c>
      <c r="E235" s="19" t="s">
        <v>109</v>
      </c>
      <c r="F235" s="19" t="s">
        <v>121</v>
      </c>
      <c r="G235" s="12" t="s">
        <v>107</v>
      </c>
      <c r="H235" s="20" t="s">
        <v>97</v>
      </c>
      <c r="I235" s="19" t="s">
        <v>98</v>
      </c>
      <c r="J235" s="19"/>
      <c r="K235" s="12"/>
      <c r="L235" s="21"/>
      <c r="M235" s="21" t="str">
        <f aca="false">IF($L235="","",$L235+IF($J235="",Dashboard!$M$9,INDEX(Dashboard!$M$5:$M$9,$J235)))</f>
        <v/>
      </c>
      <c r="N235" s="22" t="str">
        <f aca="true">IF(OR($I235="Attempted",$I235="Revisit"),"DUE",IF($M235="","",IF($M235&lt;=TODAY(),"DUE","")))</f>
        <v/>
      </c>
      <c r="O235" s="11"/>
    </row>
    <row r="236" customFormat="false" ht="15" hidden="false" customHeight="true" outlineLevel="0" collapsed="false">
      <c r="A236" s="12" t="n">
        <v>235</v>
      </c>
      <c r="B236" s="11" t="s">
        <v>388</v>
      </c>
      <c r="C236" s="11" t="s">
        <v>306</v>
      </c>
      <c r="D236" s="11" t="s">
        <v>406</v>
      </c>
      <c r="E236" s="19" t="s">
        <v>109</v>
      </c>
      <c r="F236" s="19" t="s">
        <v>121</v>
      </c>
      <c r="G236" s="12" t="s">
        <v>107</v>
      </c>
      <c r="H236" s="20" t="s">
        <v>97</v>
      </c>
      <c r="I236" s="19" t="s">
        <v>98</v>
      </c>
      <c r="J236" s="19"/>
      <c r="K236" s="12"/>
      <c r="L236" s="21"/>
      <c r="M236" s="21" t="str">
        <f aca="false">IF($L236="","",$L236+IF($J236="",Dashboard!$M$9,INDEX(Dashboard!$M$5:$M$9,$J236)))</f>
        <v/>
      </c>
      <c r="N236" s="22" t="str">
        <f aca="true">IF(OR($I236="Attempted",$I236="Revisit"),"DUE",IF($M236="","",IF($M236&lt;=TODAY(),"DUE","")))</f>
        <v/>
      </c>
      <c r="O236" s="11"/>
    </row>
    <row r="237" customFormat="false" ht="15" hidden="false" customHeight="true" outlineLevel="0" collapsed="false">
      <c r="A237" s="12" t="n">
        <v>236</v>
      </c>
      <c r="B237" s="11" t="s">
        <v>388</v>
      </c>
      <c r="C237" s="11" t="s">
        <v>306</v>
      </c>
      <c r="D237" s="11" t="s">
        <v>407</v>
      </c>
      <c r="E237" s="19" t="s">
        <v>109</v>
      </c>
      <c r="F237" s="19" t="s">
        <v>121</v>
      </c>
      <c r="G237" s="12" t="s">
        <v>107</v>
      </c>
      <c r="H237" s="20" t="s">
        <v>97</v>
      </c>
      <c r="I237" s="19" t="s">
        <v>98</v>
      </c>
      <c r="J237" s="19"/>
      <c r="K237" s="12"/>
      <c r="L237" s="21"/>
      <c r="M237" s="21" t="str">
        <f aca="false">IF($L237="","",$L237+IF($J237="",Dashboard!$M$9,INDEX(Dashboard!$M$5:$M$9,$J237)))</f>
        <v/>
      </c>
      <c r="N237" s="22" t="str">
        <f aca="true">IF(OR($I237="Attempted",$I237="Revisit"),"DUE",IF($M237="","",IF($M237&lt;=TODAY(),"DUE","")))</f>
        <v/>
      </c>
      <c r="O237" s="11"/>
    </row>
    <row r="238" customFormat="false" ht="15" hidden="false" customHeight="true" outlineLevel="0" collapsed="false">
      <c r="A238" s="12" t="n">
        <v>237</v>
      </c>
      <c r="B238" s="11" t="s">
        <v>388</v>
      </c>
      <c r="C238" s="11" t="s">
        <v>306</v>
      </c>
      <c r="D238" s="11" t="s">
        <v>408</v>
      </c>
      <c r="E238" s="19" t="s">
        <v>109</v>
      </c>
      <c r="F238" s="19" t="s">
        <v>121</v>
      </c>
      <c r="G238" s="12" t="s">
        <v>96</v>
      </c>
      <c r="H238" s="20" t="s">
        <v>97</v>
      </c>
      <c r="I238" s="19" t="s">
        <v>98</v>
      </c>
      <c r="J238" s="19"/>
      <c r="K238" s="12"/>
      <c r="L238" s="21"/>
      <c r="M238" s="21" t="str">
        <f aca="false">IF($L238="","",$L238+IF($J238="",Dashboard!$M$9,INDEX(Dashboard!$M$5:$M$9,$J238)))</f>
        <v/>
      </c>
      <c r="N238" s="22" t="str">
        <f aca="true">IF(OR($I238="Attempted",$I238="Revisit"),"DUE",IF($M238="","",IF($M238&lt;=TODAY(),"DUE","")))</f>
        <v/>
      </c>
      <c r="O238" s="11"/>
    </row>
    <row r="239" customFormat="false" ht="15" hidden="false" customHeight="true" outlineLevel="0" collapsed="false">
      <c r="A239" s="12" t="n">
        <v>238</v>
      </c>
      <c r="B239" s="11" t="s">
        <v>388</v>
      </c>
      <c r="C239" s="11" t="s">
        <v>409</v>
      </c>
      <c r="D239" s="11" t="s">
        <v>410</v>
      </c>
      <c r="E239" s="19" t="s">
        <v>94</v>
      </c>
      <c r="F239" s="19" t="s">
        <v>95</v>
      </c>
      <c r="G239" s="12" t="s">
        <v>107</v>
      </c>
      <c r="H239" s="20" t="s">
        <v>97</v>
      </c>
      <c r="I239" s="19" t="s">
        <v>98</v>
      </c>
      <c r="J239" s="19"/>
      <c r="K239" s="12"/>
      <c r="L239" s="21"/>
      <c r="M239" s="21" t="str">
        <f aca="false">IF($L239="","",$L239+IF($J239="",Dashboard!$M$9,INDEX(Dashboard!$M$5:$M$9,$J239)))</f>
        <v/>
      </c>
      <c r="N239" s="22" t="str">
        <f aca="true">IF(OR($I239="Attempted",$I239="Revisit"),"DUE",IF($M239="","",IF($M239&lt;=TODAY(),"DUE","")))</f>
        <v/>
      </c>
      <c r="O239" s="11"/>
    </row>
    <row r="240" customFormat="false" ht="15" hidden="false" customHeight="true" outlineLevel="0" collapsed="false">
      <c r="A240" s="12" t="n">
        <v>239</v>
      </c>
      <c r="B240" s="11" t="s">
        <v>388</v>
      </c>
      <c r="C240" s="11" t="s">
        <v>409</v>
      </c>
      <c r="D240" s="11" t="s">
        <v>411</v>
      </c>
      <c r="E240" s="19" t="s">
        <v>109</v>
      </c>
      <c r="F240" s="19" t="s">
        <v>95</v>
      </c>
      <c r="G240" s="12" t="s">
        <v>107</v>
      </c>
      <c r="H240" s="20" t="s">
        <v>97</v>
      </c>
      <c r="I240" s="19" t="s">
        <v>98</v>
      </c>
      <c r="J240" s="19"/>
      <c r="K240" s="12"/>
      <c r="L240" s="21"/>
      <c r="M240" s="21" t="str">
        <f aca="false">IF($L240="","",$L240+IF($J240="",Dashboard!$M$9,INDEX(Dashboard!$M$5:$M$9,$J240)))</f>
        <v/>
      </c>
      <c r="N240" s="22" t="str">
        <f aca="true">IF(OR($I240="Attempted",$I240="Revisit"),"DUE",IF($M240="","",IF($M240&lt;=TODAY(),"DUE","")))</f>
        <v/>
      </c>
      <c r="O240" s="11"/>
    </row>
    <row r="241" customFormat="false" ht="15" hidden="false" customHeight="true" outlineLevel="0" collapsed="false">
      <c r="A241" s="12" t="n">
        <v>240</v>
      </c>
      <c r="B241" s="11" t="s">
        <v>388</v>
      </c>
      <c r="C241" s="11" t="s">
        <v>409</v>
      </c>
      <c r="D241" s="11" t="s">
        <v>412</v>
      </c>
      <c r="E241" s="19" t="s">
        <v>109</v>
      </c>
      <c r="F241" s="19" t="s">
        <v>121</v>
      </c>
      <c r="G241" s="12" t="s">
        <v>107</v>
      </c>
      <c r="H241" s="20" t="s">
        <v>97</v>
      </c>
      <c r="I241" s="19" t="s">
        <v>98</v>
      </c>
      <c r="J241" s="19"/>
      <c r="K241" s="12"/>
      <c r="L241" s="21"/>
      <c r="M241" s="21" t="str">
        <f aca="false">IF($L241="","",$L241+IF($J241="",Dashboard!$M$9,INDEX(Dashboard!$M$5:$M$9,$J241)))</f>
        <v/>
      </c>
      <c r="N241" s="22" t="str">
        <f aca="true">IF(OR($I241="Attempted",$I241="Revisit"),"DUE",IF($M241="","",IF($M241&lt;=TODAY(),"DUE","")))</f>
        <v/>
      </c>
      <c r="O241" s="11"/>
    </row>
    <row r="242" customFormat="false" ht="15" hidden="false" customHeight="true" outlineLevel="0" collapsed="false">
      <c r="A242" s="12" t="n">
        <v>241</v>
      </c>
      <c r="B242" s="11" t="s">
        <v>388</v>
      </c>
      <c r="C242" s="11" t="s">
        <v>409</v>
      </c>
      <c r="D242" s="11" t="s">
        <v>413</v>
      </c>
      <c r="E242" s="19" t="s">
        <v>109</v>
      </c>
      <c r="F242" s="19" t="s">
        <v>121</v>
      </c>
      <c r="G242" s="12" t="s">
        <v>107</v>
      </c>
      <c r="H242" s="20" t="s">
        <v>97</v>
      </c>
      <c r="I242" s="19" t="s">
        <v>98</v>
      </c>
      <c r="J242" s="19"/>
      <c r="K242" s="12"/>
      <c r="L242" s="21"/>
      <c r="M242" s="21" t="str">
        <f aca="false">IF($L242="","",$L242+IF($J242="",Dashboard!$M$9,INDEX(Dashboard!$M$5:$M$9,$J242)))</f>
        <v/>
      </c>
      <c r="N242" s="22" t="str">
        <f aca="true">IF(OR($I242="Attempted",$I242="Revisit"),"DUE",IF($M242="","",IF($M242&lt;=TODAY(),"DUE","")))</f>
        <v/>
      </c>
      <c r="O242" s="11"/>
    </row>
    <row r="243" customFormat="false" ht="15" hidden="false" customHeight="true" outlineLevel="0" collapsed="false">
      <c r="A243" s="12" t="n">
        <v>242</v>
      </c>
      <c r="B243" s="11" t="s">
        <v>388</v>
      </c>
      <c r="C243" s="11" t="s">
        <v>409</v>
      </c>
      <c r="D243" s="11" t="s">
        <v>414</v>
      </c>
      <c r="E243" s="19" t="s">
        <v>135</v>
      </c>
      <c r="F243" s="19" t="s">
        <v>136</v>
      </c>
      <c r="G243" s="12" t="s">
        <v>107</v>
      </c>
      <c r="H243" s="20" t="s">
        <v>97</v>
      </c>
      <c r="I243" s="19" t="s">
        <v>98</v>
      </c>
      <c r="J243" s="19"/>
      <c r="K243" s="12"/>
      <c r="L243" s="21"/>
      <c r="M243" s="21" t="str">
        <f aca="false">IF($L243="","",$L243+IF($J243="",Dashboard!$M$9,INDEX(Dashboard!$M$5:$M$9,$J243)))</f>
        <v/>
      </c>
      <c r="N243" s="22" t="str">
        <f aca="true">IF(OR($I243="Attempted",$I243="Revisit"),"DUE",IF($M243="","",IF($M243&lt;=TODAY(),"DUE","")))</f>
        <v/>
      </c>
      <c r="O243" s="11"/>
    </row>
    <row r="244" customFormat="false" ht="15" hidden="false" customHeight="true" outlineLevel="0" collapsed="false">
      <c r="A244" s="12" t="n">
        <v>243</v>
      </c>
      <c r="B244" s="11" t="s">
        <v>388</v>
      </c>
      <c r="C244" s="11" t="s">
        <v>409</v>
      </c>
      <c r="D244" s="11" t="s">
        <v>415</v>
      </c>
      <c r="E244" s="19" t="s">
        <v>109</v>
      </c>
      <c r="F244" s="19" t="s">
        <v>121</v>
      </c>
      <c r="G244" s="12" t="s">
        <v>107</v>
      </c>
      <c r="H244" s="20" t="s">
        <v>97</v>
      </c>
      <c r="I244" s="19" t="s">
        <v>98</v>
      </c>
      <c r="J244" s="19"/>
      <c r="K244" s="12"/>
      <c r="L244" s="21"/>
      <c r="M244" s="21" t="str">
        <f aca="false">IF($L244="","",$L244+IF($J244="",Dashboard!$M$9,INDEX(Dashboard!$M$5:$M$9,$J244)))</f>
        <v/>
      </c>
      <c r="N244" s="22" t="str">
        <f aca="true">IF(OR($I244="Attempted",$I244="Revisit"),"DUE",IF($M244="","",IF($M244&lt;=TODAY(),"DUE","")))</f>
        <v/>
      </c>
      <c r="O244" s="11"/>
    </row>
    <row r="245" customFormat="false" ht="15" hidden="false" customHeight="true" outlineLevel="0" collapsed="false">
      <c r="A245" s="12" t="n">
        <v>244</v>
      </c>
      <c r="B245" s="11" t="s">
        <v>388</v>
      </c>
      <c r="C245" s="11" t="s">
        <v>409</v>
      </c>
      <c r="D245" s="11" t="s">
        <v>416</v>
      </c>
      <c r="E245" s="19" t="s">
        <v>109</v>
      </c>
      <c r="F245" s="19" t="s">
        <v>121</v>
      </c>
      <c r="G245" s="12" t="s">
        <v>107</v>
      </c>
      <c r="H245" s="20" t="s">
        <v>97</v>
      </c>
      <c r="I245" s="19" t="s">
        <v>98</v>
      </c>
      <c r="J245" s="19"/>
      <c r="K245" s="12"/>
      <c r="L245" s="21"/>
      <c r="M245" s="21" t="str">
        <f aca="false">IF($L245="","",$L245+IF($J245="",Dashboard!$M$9,INDEX(Dashboard!$M$5:$M$9,$J245)))</f>
        <v/>
      </c>
      <c r="N245" s="22" t="str">
        <f aca="true">IF(OR($I245="Attempted",$I245="Revisit"),"DUE",IF($M245="","",IF($M245&lt;=TODAY(),"DUE","")))</f>
        <v/>
      </c>
      <c r="O245" s="11"/>
    </row>
    <row r="246" customFormat="false" ht="15" hidden="false" customHeight="true" outlineLevel="0" collapsed="false">
      <c r="A246" s="12" t="n">
        <v>245</v>
      </c>
      <c r="B246" s="11" t="s">
        <v>388</v>
      </c>
      <c r="C246" s="11" t="s">
        <v>409</v>
      </c>
      <c r="D246" s="11" t="s">
        <v>417</v>
      </c>
      <c r="E246" s="19" t="s">
        <v>109</v>
      </c>
      <c r="F246" s="19" t="s">
        <v>121</v>
      </c>
      <c r="G246" s="12" t="s">
        <v>107</v>
      </c>
      <c r="H246" s="20" t="s">
        <v>97</v>
      </c>
      <c r="I246" s="19" t="s">
        <v>98</v>
      </c>
      <c r="J246" s="19"/>
      <c r="K246" s="12"/>
      <c r="L246" s="21"/>
      <c r="M246" s="21" t="str">
        <f aca="false">IF($L246="","",$L246+IF($J246="",Dashboard!$M$9,INDEX(Dashboard!$M$5:$M$9,$J246)))</f>
        <v/>
      </c>
      <c r="N246" s="22" t="str">
        <f aca="true">IF(OR($I246="Attempted",$I246="Revisit"),"DUE",IF($M246="","",IF($M246&lt;=TODAY(),"DUE","")))</f>
        <v/>
      </c>
      <c r="O246" s="11"/>
    </row>
    <row r="247" customFormat="false" ht="15" hidden="false" customHeight="true" outlineLevel="0" collapsed="false">
      <c r="A247" s="12" t="n">
        <v>246</v>
      </c>
      <c r="B247" s="11" t="s">
        <v>388</v>
      </c>
      <c r="C247" s="11" t="s">
        <v>409</v>
      </c>
      <c r="D247" s="11" t="s">
        <v>418</v>
      </c>
      <c r="E247" s="19" t="s">
        <v>109</v>
      </c>
      <c r="F247" s="19" t="s">
        <v>121</v>
      </c>
      <c r="G247" s="12" t="s">
        <v>107</v>
      </c>
      <c r="H247" s="20" t="s">
        <v>97</v>
      </c>
      <c r="I247" s="19" t="s">
        <v>98</v>
      </c>
      <c r="J247" s="19"/>
      <c r="K247" s="12"/>
      <c r="L247" s="21"/>
      <c r="M247" s="21" t="str">
        <f aca="false">IF($L247="","",$L247+IF($J247="",Dashboard!$M$9,INDEX(Dashboard!$M$5:$M$9,$J247)))</f>
        <v/>
      </c>
      <c r="N247" s="22" t="str">
        <f aca="true">IF(OR($I247="Attempted",$I247="Revisit"),"DUE",IF($M247="","",IF($M247&lt;=TODAY(),"DUE","")))</f>
        <v/>
      </c>
      <c r="O247" s="11"/>
    </row>
    <row r="248" customFormat="false" ht="15" hidden="false" customHeight="true" outlineLevel="0" collapsed="false">
      <c r="A248" s="12" t="n">
        <v>247</v>
      </c>
      <c r="B248" s="11" t="s">
        <v>388</v>
      </c>
      <c r="C248" s="11" t="s">
        <v>409</v>
      </c>
      <c r="D248" s="11" t="s">
        <v>419</v>
      </c>
      <c r="E248" s="19" t="s">
        <v>135</v>
      </c>
      <c r="F248" s="19" t="s">
        <v>136</v>
      </c>
      <c r="G248" s="12" t="s">
        <v>107</v>
      </c>
      <c r="H248" s="20" t="s">
        <v>97</v>
      </c>
      <c r="I248" s="19" t="s">
        <v>98</v>
      </c>
      <c r="J248" s="19"/>
      <c r="K248" s="12"/>
      <c r="L248" s="21"/>
      <c r="M248" s="21" t="str">
        <f aca="false">IF($L248="","",$L248+IF($J248="",Dashboard!$M$9,INDEX(Dashboard!$M$5:$M$9,$J248)))</f>
        <v/>
      </c>
      <c r="N248" s="22" t="str">
        <f aca="true">IF(OR($I248="Attempted",$I248="Revisit"),"DUE",IF($M248="","",IF($M248&lt;=TODAY(),"DUE","")))</f>
        <v/>
      </c>
      <c r="O248" s="11"/>
    </row>
    <row r="249" customFormat="false" ht="15" hidden="false" customHeight="true" outlineLevel="0" collapsed="false">
      <c r="A249" s="12" t="n">
        <v>248</v>
      </c>
      <c r="B249" s="11" t="s">
        <v>388</v>
      </c>
      <c r="C249" s="11" t="s">
        <v>409</v>
      </c>
      <c r="D249" s="11" t="s">
        <v>420</v>
      </c>
      <c r="E249" s="19" t="s">
        <v>135</v>
      </c>
      <c r="F249" s="19" t="s">
        <v>136</v>
      </c>
      <c r="G249" s="12" t="s">
        <v>107</v>
      </c>
      <c r="H249" s="20" t="s">
        <v>97</v>
      </c>
      <c r="I249" s="19" t="s">
        <v>98</v>
      </c>
      <c r="J249" s="19"/>
      <c r="K249" s="12"/>
      <c r="L249" s="21"/>
      <c r="M249" s="21" t="str">
        <f aca="false">IF($L249="","",$L249+IF($J249="",Dashboard!$M$9,INDEX(Dashboard!$M$5:$M$9,$J249)))</f>
        <v/>
      </c>
      <c r="N249" s="22" t="str">
        <f aca="true">IF(OR($I249="Attempted",$I249="Revisit"),"DUE",IF($M249="","",IF($M249&lt;=TODAY(),"DUE","")))</f>
        <v/>
      </c>
      <c r="O249" s="11"/>
    </row>
    <row r="250" customFormat="false" ht="15" hidden="false" customHeight="true" outlineLevel="0" collapsed="false">
      <c r="A250" s="12" t="n">
        <v>249</v>
      </c>
      <c r="B250" s="11" t="s">
        <v>421</v>
      </c>
      <c r="C250" s="11" t="s">
        <v>422</v>
      </c>
      <c r="D250" s="11" t="s">
        <v>423</v>
      </c>
      <c r="E250" s="19" t="s">
        <v>109</v>
      </c>
      <c r="F250" s="19" t="s">
        <v>95</v>
      </c>
      <c r="G250" s="12" t="s">
        <v>107</v>
      </c>
      <c r="H250" s="20" t="s">
        <v>97</v>
      </c>
      <c r="I250" s="19" t="s">
        <v>98</v>
      </c>
      <c r="J250" s="19"/>
      <c r="K250" s="12"/>
      <c r="L250" s="21"/>
      <c r="M250" s="21" t="str">
        <f aca="false">IF($L250="","",$L250+IF($J250="",Dashboard!$M$9,INDEX(Dashboard!$M$5:$M$9,$J250)))</f>
        <v/>
      </c>
      <c r="N250" s="22" t="str">
        <f aca="true">IF(OR($I250="Attempted",$I250="Revisit"),"DUE",IF($M250="","",IF($M250&lt;=TODAY(),"DUE","")))</f>
        <v/>
      </c>
      <c r="O250" s="11"/>
    </row>
    <row r="251" customFormat="false" ht="15" hidden="false" customHeight="true" outlineLevel="0" collapsed="false">
      <c r="A251" s="12" t="n">
        <v>250</v>
      </c>
      <c r="B251" s="11" t="s">
        <v>421</v>
      </c>
      <c r="C251" s="11" t="s">
        <v>422</v>
      </c>
      <c r="D251" s="11" t="s">
        <v>424</v>
      </c>
      <c r="E251" s="19" t="s">
        <v>109</v>
      </c>
      <c r="F251" s="19" t="s">
        <v>121</v>
      </c>
      <c r="G251" s="12" t="s">
        <v>96</v>
      </c>
      <c r="H251" s="20" t="s">
        <v>97</v>
      </c>
      <c r="I251" s="19" t="s">
        <v>98</v>
      </c>
      <c r="J251" s="19"/>
      <c r="K251" s="12"/>
      <c r="L251" s="21"/>
      <c r="M251" s="21" t="str">
        <f aca="false">IF($L251="","",$L251+IF($J251="",Dashboard!$M$9,INDEX(Dashboard!$M$5:$M$9,$J251)))</f>
        <v/>
      </c>
      <c r="N251" s="22" t="str">
        <f aca="true">IF(OR($I251="Attempted",$I251="Revisit"),"DUE",IF($M251="","",IF($M251&lt;=TODAY(),"DUE","")))</f>
        <v/>
      </c>
      <c r="O251" s="11"/>
    </row>
    <row r="252" customFormat="false" ht="15" hidden="false" customHeight="true" outlineLevel="0" collapsed="false">
      <c r="A252" s="12" t="n">
        <v>251</v>
      </c>
      <c r="B252" s="11" t="s">
        <v>421</v>
      </c>
      <c r="C252" s="11" t="s">
        <v>422</v>
      </c>
      <c r="D252" s="11" t="s">
        <v>425</v>
      </c>
      <c r="E252" s="19" t="s">
        <v>94</v>
      </c>
      <c r="F252" s="19" t="s">
        <v>95</v>
      </c>
      <c r="G252" s="12" t="s">
        <v>107</v>
      </c>
      <c r="H252" s="20" t="s">
        <v>97</v>
      </c>
      <c r="I252" s="19" t="s">
        <v>98</v>
      </c>
      <c r="J252" s="19"/>
      <c r="K252" s="12"/>
      <c r="L252" s="21"/>
      <c r="M252" s="21" t="str">
        <f aca="false">IF($L252="","",$L252+IF($J252="",Dashboard!$M$9,INDEX(Dashboard!$M$5:$M$9,$J252)))</f>
        <v/>
      </c>
      <c r="N252" s="22" t="str">
        <f aca="true">IF(OR($I252="Attempted",$I252="Revisit"),"DUE",IF($M252="","",IF($M252&lt;=TODAY(),"DUE","")))</f>
        <v/>
      </c>
      <c r="O252" s="11"/>
    </row>
    <row r="253" customFormat="false" ht="15" hidden="false" customHeight="true" outlineLevel="0" collapsed="false">
      <c r="A253" s="12" t="n">
        <v>252</v>
      </c>
      <c r="B253" s="11" t="s">
        <v>421</v>
      </c>
      <c r="C253" s="11" t="s">
        <v>422</v>
      </c>
      <c r="D253" s="11" t="s">
        <v>426</v>
      </c>
      <c r="E253" s="19" t="s">
        <v>109</v>
      </c>
      <c r="F253" s="19" t="s">
        <v>121</v>
      </c>
      <c r="G253" s="12" t="s">
        <v>107</v>
      </c>
      <c r="H253" s="20" t="s">
        <v>97</v>
      </c>
      <c r="I253" s="19" t="s">
        <v>98</v>
      </c>
      <c r="J253" s="19"/>
      <c r="K253" s="12"/>
      <c r="L253" s="21"/>
      <c r="M253" s="21" t="str">
        <f aca="false">IF($L253="","",$L253+IF($J253="",Dashboard!$M$9,INDEX(Dashboard!$M$5:$M$9,$J253)))</f>
        <v/>
      </c>
      <c r="N253" s="22" t="str">
        <f aca="true">IF(OR($I253="Attempted",$I253="Revisit"),"DUE",IF($M253="","",IF($M253&lt;=TODAY(),"DUE","")))</f>
        <v/>
      </c>
      <c r="O253" s="11"/>
    </row>
    <row r="254" customFormat="false" ht="15" hidden="false" customHeight="true" outlineLevel="0" collapsed="false">
      <c r="A254" s="12" t="n">
        <v>253</v>
      </c>
      <c r="B254" s="11" t="s">
        <v>421</v>
      </c>
      <c r="C254" s="11" t="s">
        <v>427</v>
      </c>
      <c r="D254" s="11" t="s">
        <v>428</v>
      </c>
      <c r="E254" s="19" t="s">
        <v>109</v>
      </c>
      <c r="F254" s="19" t="s">
        <v>95</v>
      </c>
      <c r="G254" s="12" t="s">
        <v>107</v>
      </c>
      <c r="H254" s="20" t="s">
        <v>97</v>
      </c>
      <c r="I254" s="19" t="s">
        <v>98</v>
      </c>
      <c r="J254" s="19"/>
      <c r="K254" s="12"/>
      <c r="L254" s="21"/>
      <c r="M254" s="21" t="str">
        <f aca="false">IF($L254="","",$L254+IF($J254="",Dashboard!$M$9,INDEX(Dashboard!$M$5:$M$9,$J254)))</f>
        <v/>
      </c>
      <c r="N254" s="22" t="str">
        <f aca="true">IF(OR($I254="Attempted",$I254="Revisit"),"DUE",IF($M254="","",IF($M254&lt;=TODAY(),"DUE","")))</f>
        <v/>
      </c>
      <c r="O254" s="11"/>
    </row>
    <row r="255" customFormat="false" ht="15" hidden="false" customHeight="true" outlineLevel="0" collapsed="false">
      <c r="A255" s="12" t="n">
        <v>254</v>
      </c>
      <c r="B255" s="11" t="s">
        <v>421</v>
      </c>
      <c r="C255" s="11" t="s">
        <v>427</v>
      </c>
      <c r="D255" s="11" t="s">
        <v>429</v>
      </c>
      <c r="E255" s="19" t="s">
        <v>109</v>
      </c>
      <c r="F255" s="19" t="s">
        <v>121</v>
      </c>
      <c r="G255" s="12" t="s">
        <v>107</v>
      </c>
      <c r="H255" s="20" t="s">
        <v>97</v>
      </c>
      <c r="I255" s="19" t="s">
        <v>98</v>
      </c>
      <c r="J255" s="19"/>
      <c r="K255" s="12"/>
      <c r="L255" s="21"/>
      <c r="M255" s="21" t="str">
        <f aca="false">IF($L255="","",$L255+IF($J255="",Dashboard!$M$9,INDEX(Dashboard!$M$5:$M$9,$J255)))</f>
        <v/>
      </c>
      <c r="N255" s="22" t="str">
        <f aca="true">IF(OR($I255="Attempted",$I255="Revisit"),"DUE",IF($M255="","",IF($M255&lt;=TODAY(),"DUE","")))</f>
        <v/>
      </c>
      <c r="O255" s="11"/>
    </row>
    <row r="256" customFormat="false" ht="15" hidden="false" customHeight="true" outlineLevel="0" collapsed="false">
      <c r="A256" s="12" t="n">
        <v>255</v>
      </c>
      <c r="B256" s="11" t="s">
        <v>421</v>
      </c>
      <c r="C256" s="11" t="s">
        <v>427</v>
      </c>
      <c r="D256" s="11" t="s">
        <v>430</v>
      </c>
      <c r="E256" s="19" t="s">
        <v>109</v>
      </c>
      <c r="F256" s="19" t="s">
        <v>121</v>
      </c>
      <c r="G256" s="12" t="s">
        <v>107</v>
      </c>
      <c r="H256" s="20" t="s">
        <v>97</v>
      </c>
      <c r="I256" s="19" t="s">
        <v>98</v>
      </c>
      <c r="J256" s="19"/>
      <c r="K256" s="12"/>
      <c r="L256" s="21"/>
      <c r="M256" s="21" t="str">
        <f aca="false">IF($L256="","",$L256+IF($J256="",Dashboard!$M$9,INDEX(Dashboard!$M$5:$M$9,$J256)))</f>
        <v/>
      </c>
      <c r="N256" s="22" t="str">
        <f aca="true">IF(OR($I256="Attempted",$I256="Revisit"),"DUE",IF($M256="","",IF($M256&lt;=TODAY(),"DUE","")))</f>
        <v/>
      </c>
      <c r="O256" s="11"/>
    </row>
    <row r="257" customFormat="false" ht="15" hidden="false" customHeight="true" outlineLevel="0" collapsed="false">
      <c r="A257" s="12" t="n">
        <v>256</v>
      </c>
      <c r="B257" s="11" t="s">
        <v>421</v>
      </c>
      <c r="C257" s="11" t="s">
        <v>427</v>
      </c>
      <c r="D257" s="11" t="s">
        <v>431</v>
      </c>
      <c r="E257" s="19" t="s">
        <v>94</v>
      </c>
      <c r="F257" s="19" t="s">
        <v>95</v>
      </c>
      <c r="G257" s="12" t="s">
        <v>107</v>
      </c>
      <c r="H257" s="20" t="s">
        <v>97</v>
      </c>
      <c r="I257" s="19" t="s">
        <v>98</v>
      </c>
      <c r="J257" s="19"/>
      <c r="K257" s="12"/>
      <c r="L257" s="21"/>
      <c r="M257" s="21" t="str">
        <f aca="false">IF($L257="","",$L257+IF($J257="",Dashboard!$M$9,INDEX(Dashboard!$M$5:$M$9,$J257)))</f>
        <v/>
      </c>
      <c r="N257" s="22" t="str">
        <f aca="true">IF(OR($I257="Attempted",$I257="Revisit"),"DUE",IF($M257="","",IF($M257&lt;=TODAY(),"DUE","")))</f>
        <v/>
      </c>
      <c r="O257" s="11"/>
    </row>
    <row r="258" customFormat="false" ht="15" hidden="false" customHeight="true" outlineLevel="0" collapsed="false">
      <c r="A258" s="12" t="n">
        <v>257</v>
      </c>
      <c r="B258" s="11" t="s">
        <v>421</v>
      </c>
      <c r="C258" s="11" t="s">
        <v>427</v>
      </c>
      <c r="D258" s="11" t="s">
        <v>432</v>
      </c>
      <c r="E258" s="19" t="s">
        <v>109</v>
      </c>
      <c r="F258" s="19" t="s">
        <v>121</v>
      </c>
      <c r="G258" s="12" t="s">
        <v>107</v>
      </c>
      <c r="H258" s="20" t="s">
        <v>97</v>
      </c>
      <c r="I258" s="19" t="s">
        <v>98</v>
      </c>
      <c r="J258" s="19"/>
      <c r="K258" s="12"/>
      <c r="L258" s="21"/>
      <c r="M258" s="21" t="str">
        <f aca="false">IF($L258="","",$L258+IF($J258="",Dashboard!$M$9,INDEX(Dashboard!$M$5:$M$9,$J258)))</f>
        <v/>
      </c>
      <c r="N258" s="22" t="str">
        <f aca="true">IF(OR($I258="Attempted",$I258="Revisit"),"DUE",IF($M258="","",IF($M258&lt;=TODAY(),"DUE","")))</f>
        <v/>
      </c>
      <c r="O258" s="11"/>
    </row>
    <row r="259" customFormat="false" ht="15" hidden="false" customHeight="true" outlineLevel="0" collapsed="false">
      <c r="A259" s="12" t="n">
        <v>258</v>
      </c>
      <c r="B259" s="11" t="s">
        <v>421</v>
      </c>
      <c r="C259" s="11" t="s">
        <v>433</v>
      </c>
      <c r="D259" s="11" t="s">
        <v>434</v>
      </c>
      <c r="E259" s="19" t="s">
        <v>109</v>
      </c>
      <c r="F259" s="19" t="s">
        <v>95</v>
      </c>
      <c r="G259" s="12" t="s">
        <v>96</v>
      </c>
      <c r="H259" s="20" t="s">
        <v>97</v>
      </c>
      <c r="I259" s="19" t="s">
        <v>98</v>
      </c>
      <c r="J259" s="19"/>
      <c r="K259" s="12"/>
      <c r="L259" s="21"/>
      <c r="M259" s="21" t="str">
        <f aca="false">IF($L259="","",$L259+IF($J259="",Dashboard!$M$9,INDEX(Dashboard!$M$5:$M$9,$J259)))</f>
        <v/>
      </c>
      <c r="N259" s="22" t="str">
        <f aca="true">IF(OR($I259="Attempted",$I259="Revisit"),"DUE",IF($M259="","",IF($M259&lt;=TODAY(),"DUE","")))</f>
        <v/>
      </c>
      <c r="O259" s="11"/>
    </row>
    <row r="260" customFormat="false" ht="15" hidden="false" customHeight="true" outlineLevel="0" collapsed="false">
      <c r="A260" s="12" t="n">
        <v>259</v>
      </c>
      <c r="B260" s="11" t="s">
        <v>421</v>
      </c>
      <c r="C260" s="11" t="s">
        <v>433</v>
      </c>
      <c r="D260" s="11" t="s">
        <v>435</v>
      </c>
      <c r="E260" s="19" t="s">
        <v>135</v>
      </c>
      <c r="F260" s="19" t="s">
        <v>95</v>
      </c>
      <c r="G260" s="12" t="s">
        <v>107</v>
      </c>
      <c r="H260" s="20" t="s">
        <v>97</v>
      </c>
      <c r="I260" s="19" t="s">
        <v>98</v>
      </c>
      <c r="J260" s="19"/>
      <c r="K260" s="12"/>
      <c r="L260" s="21"/>
      <c r="M260" s="21" t="str">
        <f aca="false">IF($L260="","",$L260+IF($J260="",Dashboard!$M$9,INDEX(Dashboard!$M$5:$M$9,$J260)))</f>
        <v/>
      </c>
      <c r="N260" s="22" t="str">
        <f aca="true">IF(OR($I260="Attempted",$I260="Revisit"),"DUE",IF($M260="","",IF($M260&lt;=TODAY(),"DUE","")))</f>
        <v/>
      </c>
      <c r="O260" s="11"/>
    </row>
    <row r="261" customFormat="false" ht="15" hidden="false" customHeight="true" outlineLevel="0" collapsed="false">
      <c r="A261" s="12" t="n">
        <v>260</v>
      </c>
      <c r="B261" s="11" t="s">
        <v>421</v>
      </c>
      <c r="C261" s="11" t="s">
        <v>436</v>
      </c>
      <c r="D261" s="11" t="s">
        <v>437</v>
      </c>
      <c r="E261" s="19" t="s">
        <v>94</v>
      </c>
      <c r="F261" s="19" t="s">
        <v>95</v>
      </c>
      <c r="G261" s="12" t="s">
        <v>107</v>
      </c>
      <c r="H261" s="20" t="s">
        <v>97</v>
      </c>
      <c r="I261" s="19" t="s">
        <v>98</v>
      </c>
      <c r="J261" s="19"/>
      <c r="K261" s="12"/>
      <c r="L261" s="21"/>
      <c r="M261" s="21" t="str">
        <f aca="false">IF($L261="","",$L261+IF($J261="",Dashboard!$M$9,INDEX(Dashboard!$M$5:$M$9,$J261)))</f>
        <v/>
      </c>
      <c r="N261" s="22" t="str">
        <f aca="true">IF(OR($I261="Attempted",$I261="Revisit"),"DUE",IF($M261="","",IF($M261&lt;=TODAY(),"DUE","")))</f>
        <v/>
      </c>
      <c r="O261" s="11"/>
    </row>
    <row r="262" customFormat="false" ht="15" hidden="false" customHeight="true" outlineLevel="0" collapsed="false">
      <c r="A262" s="12" t="n">
        <v>261</v>
      </c>
      <c r="B262" s="11" t="s">
        <v>421</v>
      </c>
      <c r="C262" s="11" t="s">
        <v>436</v>
      </c>
      <c r="D262" s="11" t="s">
        <v>438</v>
      </c>
      <c r="E262" s="19" t="s">
        <v>94</v>
      </c>
      <c r="F262" s="19" t="s">
        <v>95</v>
      </c>
      <c r="G262" s="12" t="s">
        <v>96</v>
      </c>
      <c r="H262" s="20" t="s">
        <v>97</v>
      </c>
      <c r="I262" s="19" t="s">
        <v>98</v>
      </c>
      <c r="J262" s="19"/>
      <c r="K262" s="12"/>
      <c r="L262" s="21"/>
      <c r="M262" s="21" t="str">
        <f aca="false">IF($L262="","",$L262+IF($J262="",Dashboard!$M$9,INDEX(Dashboard!$M$5:$M$9,$J262)))</f>
        <v/>
      </c>
      <c r="N262" s="22" t="str">
        <f aca="true">IF(OR($I262="Attempted",$I262="Revisit"),"DUE",IF($M262="","",IF($M262&lt;=TODAY(),"DUE","")))</f>
        <v/>
      </c>
      <c r="O262" s="11"/>
    </row>
    <row r="263" customFormat="false" ht="15" hidden="false" customHeight="true" outlineLevel="0" collapsed="false">
      <c r="A263" s="12" t="n">
        <v>262</v>
      </c>
      <c r="B263" s="11" t="s">
        <v>421</v>
      </c>
      <c r="C263" s="11" t="s">
        <v>436</v>
      </c>
      <c r="D263" s="11" t="s">
        <v>439</v>
      </c>
      <c r="E263" s="19" t="s">
        <v>109</v>
      </c>
      <c r="F263" s="19" t="s">
        <v>121</v>
      </c>
      <c r="G263" s="12" t="s">
        <v>107</v>
      </c>
      <c r="H263" s="20" t="s">
        <v>97</v>
      </c>
      <c r="I263" s="19" t="s">
        <v>98</v>
      </c>
      <c r="J263" s="19"/>
      <c r="K263" s="12"/>
      <c r="L263" s="21"/>
      <c r="M263" s="21" t="str">
        <f aca="false">IF($L263="","",$L263+IF($J263="",Dashboard!$M$9,INDEX(Dashboard!$M$5:$M$9,$J263)))</f>
        <v/>
      </c>
      <c r="N263" s="22" t="str">
        <f aca="true">IF(OR($I263="Attempted",$I263="Revisit"),"DUE",IF($M263="","",IF($M263&lt;=TODAY(),"DUE","")))</f>
        <v/>
      </c>
      <c r="O263" s="11"/>
    </row>
    <row r="264" customFormat="false" ht="15" hidden="false" customHeight="true" outlineLevel="0" collapsed="false">
      <c r="A264" s="12" t="n">
        <v>263</v>
      </c>
      <c r="B264" s="11" t="s">
        <v>421</v>
      </c>
      <c r="C264" s="11" t="s">
        <v>436</v>
      </c>
      <c r="D264" s="11" t="s">
        <v>440</v>
      </c>
      <c r="E264" s="19" t="s">
        <v>109</v>
      </c>
      <c r="F264" s="19" t="s">
        <v>121</v>
      </c>
      <c r="G264" s="12" t="s">
        <v>107</v>
      </c>
      <c r="H264" s="20" t="s">
        <v>97</v>
      </c>
      <c r="I264" s="19" t="s">
        <v>98</v>
      </c>
      <c r="J264" s="19"/>
      <c r="K264" s="12"/>
      <c r="L264" s="21"/>
      <c r="M264" s="21" t="str">
        <f aca="false">IF($L264="","",$L264+IF($J264="",Dashboard!$M$9,INDEX(Dashboard!$M$5:$M$9,$J264)))</f>
        <v/>
      </c>
      <c r="N264" s="22" t="str">
        <f aca="true">IF(OR($I264="Attempted",$I264="Revisit"),"DUE",IF($M264="","",IF($M264&lt;=TODAY(),"DUE","")))</f>
        <v/>
      </c>
      <c r="O264" s="11"/>
    </row>
    <row r="265" customFormat="false" ht="15" hidden="false" customHeight="true" outlineLevel="0" collapsed="false">
      <c r="A265" s="12" t="n">
        <v>264</v>
      </c>
      <c r="B265" s="11" t="s">
        <v>421</v>
      </c>
      <c r="C265" s="11" t="s">
        <v>436</v>
      </c>
      <c r="D265" s="11" t="s">
        <v>441</v>
      </c>
      <c r="E265" s="19" t="s">
        <v>109</v>
      </c>
      <c r="F265" s="19" t="s">
        <v>121</v>
      </c>
      <c r="G265" s="12" t="s">
        <v>107</v>
      </c>
      <c r="H265" s="20" t="s">
        <v>97</v>
      </c>
      <c r="I265" s="19" t="s">
        <v>98</v>
      </c>
      <c r="J265" s="19"/>
      <c r="K265" s="12"/>
      <c r="L265" s="21"/>
      <c r="M265" s="21" t="str">
        <f aca="false">IF($L265="","",$L265+IF($J265="",Dashboard!$M$9,INDEX(Dashboard!$M$5:$M$9,$J265)))</f>
        <v/>
      </c>
      <c r="N265" s="22" t="str">
        <f aca="true">IF(OR($I265="Attempted",$I265="Revisit"),"DUE",IF($M265="","",IF($M265&lt;=TODAY(),"DUE","")))</f>
        <v/>
      </c>
      <c r="O265" s="11"/>
    </row>
    <row r="266" customFormat="false" ht="15" hidden="false" customHeight="true" outlineLevel="0" collapsed="false">
      <c r="A266" s="12" t="n">
        <v>265</v>
      </c>
      <c r="B266" s="11" t="s">
        <v>421</v>
      </c>
      <c r="C266" s="11" t="s">
        <v>436</v>
      </c>
      <c r="D266" s="11" t="s">
        <v>442</v>
      </c>
      <c r="E266" s="19" t="s">
        <v>135</v>
      </c>
      <c r="F266" s="19" t="s">
        <v>136</v>
      </c>
      <c r="G266" s="12" t="s">
        <v>107</v>
      </c>
      <c r="H266" s="20" t="s">
        <v>97</v>
      </c>
      <c r="I266" s="19" t="s">
        <v>98</v>
      </c>
      <c r="J266" s="19"/>
      <c r="K266" s="12"/>
      <c r="L266" s="21"/>
      <c r="M266" s="21" t="str">
        <f aca="false">IF($L266="","",$L266+IF($J266="",Dashboard!$M$9,INDEX(Dashboard!$M$5:$M$9,$J266)))</f>
        <v/>
      </c>
      <c r="N266" s="22" t="str">
        <f aca="true">IF(OR($I266="Attempted",$I266="Revisit"),"DUE",IF($M266="","",IF($M266&lt;=TODAY(),"DUE","")))</f>
        <v/>
      </c>
      <c r="O266" s="11"/>
    </row>
    <row r="267" customFormat="false" ht="15" hidden="false" customHeight="true" outlineLevel="0" collapsed="false">
      <c r="A267" s="12" t="n">
        <v>266</v>
      </c>
      <c r="B267" s="11" t="s">
        <v>421</v>
      </c>
      <c r="C267" s="11" t="s">
        <v>436</v>
      </c>
      <c r="D267" s="11" t="s">
        <v>443</v>
      </c>
      <c r="E267" s="19" t="s">
        <v>135</v>
      </c>
      <c r="F267" s="19" t="s">
        <v>136</v>
      </c>
      <c r="G267" s="12" t="s">
        <v>107</v>
      </c>
      <c r="H267" s="20" t="s">
        <v>97</v>
      </c>
      <c r="I267" s="19" t="s">
        <v>98</v>
      </c>
      <c r="J267" s="19"/>
      <c r="K267" s="12"/>
      <c r="L267" s="21"/>
      <c r="M267" s="21" t="str">
        <f aca="false">IF($L267="","",$L267+IF($J267="",Dashboard!$M$9,INDEX(Dashboard!$M$5:$M$9,$J267)))</f>
        <v/>
      </c>
      <c r="N267" s="22" t="str">
        <f aca="true">IF(OR($I267="Attempted",$I267="Revisit"),"DUE",IF($M267="","",IF($M267&lt;=TODAY(),"DUE","")))</f>
        <v/>
      </c>
      <c r="O267" s="11"/>
    </row>
    <row r="268" customFormat="false" ht="15" hidden="false" customHeight="true" outlineLevel="0" collapsed="false">
      <c r="A268" s="12" t="n">
        <v>267</v>
      </c>
      <c r="B268" s="11" t="s">
        <v>421</v>
      </c>
      <c r="C268" s="11" t="s">
        <v>436</v>
      </c>
      <c r="D268" s="11" t="s">
        <v>444</v>
      </c>
      <c r="E268" s="19" t="s">
        <v>135</v>
      </c>
      <c r="F268" s="19" t="s">
        <v>136</v>
      </c>
      <c r="G268" s="12" t="s">
        <v>107</v>
      </c>
      <c r="H268" s="20" t="s">
        <v>97</v>
      </c>
      <c r="I268" s="19" t="s">
        <v>98</v>
      </c>
      <c r="J268" s="19"/>
      <c r="K268" s="12"/>
      <c r="L268" s="21"/>
      <c r="M268" s="21" t="str">
        <f aca="false">IF($L268="","",$L268+IF($J268="",Dashboard!$M$9,INDEX(Dashboard!$M$5:$M$9,$J268)))</f>
        <v/>
      </c>
      <c r="N268" s="22" t="str">
        <f aca="true">IF(OR($I268="Attempted",$I268="Revisit"),"DUE",IF($M268="","",IF($M268&lt;=TODAY(),"DUE","")))</f>
        <v/>
      </c>
      <c r="O268" s="11"/>
    </row>
    <row r="269" customFormat="false" ht="15" hidden="false" customHeight="true" outlineLevel="0" collapsed="false">
      <c r="A269" s="12" t="n">
        <v>268</v>
      </c>
      <c r="B269" s="11" t="s">
        <v>421</v>
      </c>
      <c r="C269" s="11" t="s">
        <v>436</v>
      </c>
      <c r="D269" s="11" t="s">
        <v>445</v>
      </c>
      <c r="E269" s="19" t="s">
        <v>109</v>
      </c>
      <c r="F269" s="19" t="s">
        <v>121</v>
      </c>
      <c r="G269" s="12" t="s">
        <v>107</v>
      </c>
      <c r="H269" s="20" t="s">
        <v>97</v>
      </c>
      <c r="I269" s="19" t="s">
        <v>98</v>
      </c>
      <c r="J269" s="19"/>
      <c r="K269" s="12"/>
      <c r="L269" s="21"/>
      <c r="M269" s="21" t="str">
        <f aca="false">IF($L269="","",$L269+IF($J269="",Dashboard!$M$9,INDEX(Dashboard!$M$5:$M$9,$J269)))</f>
        <v/>
      </c>
      <c r="N269" s="22" t="str">
        <f aca="true">IF(OR($I269="Attempted",$I269="Revisit"),"DUE",IF($M269="","",IF($M269&lt;=TODAY(),"DUE","")))</f>
        <v/>
      </c>
      <c r="O269" s="11"/>
    </row>
    <row r="270" customFormat="false" ht="15" hidden="false" customHeight="true" outlineLevel="0" collapsed="false">
      <c r="A270" s="12" t="n">
        <v>269</v>
      </c>
      <c r="B270" s="11" t="s">
        <v>421</v>
      </c>
      <c r="C270" s="11" t="s">
        <v>436</v>
      </c>
      <c r="D270" s="11" t="s">
        <v>446</v>
      </c>
      <c r="E270" s="19" t="s">
        <v>109</v>
      </c>
      <c r="F270" s="19" t="s">
        <v>121</v>
      </c>
      <c r="G270" s="12" t="s">
        <v>107</v>
      </c>
      <c r="H270" s="20" t="s">
        <v>97</v>
      </c>
      <c r="I270" s="19" t="s">
        <v>98</v>
      </c>
      <c r="J270" s="19"/>
      <c r="K270" s="12"/>
      <c r="L270" s="21"/>
      <c r="M270" s="21" t="str">
        <f aca="false">IF($L270="","",$L270+IF($J270="",Dashboard!$M$9,INDEX(Dashboard!$M$5:$M$9,$J270)))</f>
        <v/>
      </c>
      <c r="N270" s="22" t="str">
        <f aca="true">IF(OR($I270="Attempted",$I270="Revisit"),"DUE",IF($M270="","",IF($M270&lt;=TODAY(),"DUE","")))</f>
        <v/>
      </c>
      <c r="O270" s="11"/>
    </row>
    <row r="271" customFormat="false" ht="15" hidden="false" customHeight="true" outlineLevel="0" collapsed="false">
      <c r="A271" s="12" t="n">
        <v>270</v>
      </c>
      <c r="B271" s="11" t="s">
        <v>421</v>
      </c>
      <c r="C271" s="11" t="s">
        <v>447</v>
      </c>
      <c r="D271" s="11" t="s">
        <v>448</v>
      </c>
      <c r="E271" s="19" t="s">
        <v>135</v>
      </c>
      <c r="F271" s="19" t="s">
        <v>95</v>
      </c>
      <c r="G271" s="12" t="s">
        <v>107</v>
      </c>
      <c r="H271" s="20" t="s">
        <v>97</v>
      </c>
      <c r="I271" s="19" t="s">
        <v>98</v>
      </c>
      <c r="J271" s="19"/>
      <c r="K271" s="12"/>
      <c r="L271" s="21"/>
      <c r="M271" s="21" t="str">
        <f aca="false">IF($L271="","",$L271+IF($J271="",Dashboard!$M$9,INDEX(Dashboard!$M$5:$M$9,$J271)))</f>
        <v/>
      </c>
      <c r="N271" s="22" t="str">
        <f aca="true">IF(OR($I271="Attempted",$I271="Revisit"),"DUE",IF($M271="","",IF($M271&lt;=TODAY(),"DUE","")))</f>
        <v/>
      </c>
      <c r="O271" s="11"/>
    </row>
    <row r="272" customFormat="false" ht="15" hidden="false" customHeight="true" outlineLevel="0" collapsed="false">
      <c r="A272" s="12" t="n">
        <v>271</v>
      </c>
      <c r="B272" s="11" t="s">
        <v>421</v>
      </c>
      <c r="C272" s="11" t="s">
        <v>447</v>
      </c>
      <c r="D272" s="11" t="s">
        <v>449</v>
      </c>
      <c r="E272" s="19" t="s">
        <v>135</v>
      </c>
      <c r="F272" s="19" t="s">
        <v>95</v>
      </c>
      <c r="G272" s="12" t="s">
        <v>107</v>
      </c>
      <c r="H272" s="20" t="s">
        <v>97</v>
      </c>
      <c r="I272" s="19" t="s">
        <v>98</v>
      </c>
      <c r="J272" s="19"/>
      <c r="K272" s="12"/>
      <c r="L272" s="21"/>
      <c r="M272" s="21" t="str">
        <f aca="false">IF($L272="","",$L272+IF($J272="",Dashboard!$M$9,INDEX(Dashboard!$M$5:$M$9,$J272)))</f>
        <v/>
      </c>
      <c r="N272" s="22" t="str">
        <f aca="true">IF(OR($I272="Attempted",$I272="Revisit"),"DUE",IF($M272="","",IF($M272&lt;=TODAY(),"DUE","")))</f>
        <v/>
      </c>
      <c r="O272" s="11"/>
    </row>
    <row r="273" customFormat="false" ht="15" hidden="false" customHeight="true" outlineLevel="0" collapsed="false">
      <c r="A273" s="12" t="n">
        <v>272</v>
      </c>
      <c r="B273" s="11" t="s">
        <v>421</v>
      </c>
      <c r="C273" s="11" t="s">
        <v>386</v>
      </c>
      <c r="D273" s="11" t="s">
        <v>450</v>
      </c>
      <c r="E273" s="19" t="s">
        <v>109</v>
      </c>
      <c r="F273" s="19" t="s">
        <v>95</v>
      </c>
      <c r="G273" s="12" t="s">
        <v>107</v>
      </c>
      <c r="H273" s="20" t="s">
        <v>97</v>
      </c>
      <c r="I273" s="19" t="s">
        <v>98</v>
      </c>
      <c r="J273" s="19"/>
      <c r="K273" s="12"/>
      <c r="L273" s="21"/>
      <c r="M273" s="21" t="str">
        <f aca="false">IF($L273="","",$L273+IF($J273="",Dashboard!$M$9,INDEX(Dashboard!$M$5:$M$9,$J273)))</f>
        <v/>
      </c>
      <c r="N273" s="22" t="str">
        <f aca="true">IF(OR($I273="Attempted",$I273="Revisit"),"DUE",IF($M273="","",IF($M273&lt;=TODAY(),"DUE","")))</f>
        <v/>
      </c>
      <c r="O273" s="11"/>
    </row>
    <row r="274" customFormat="false" ht="15" hidden="false" customHeight="true" outlineLevel="0" collapsed="false">
      <c r="A274" s="12" t="n">
        <v>273</v>
      </c>
      <c r="B274" s="11" t="s">
        <v>421</v>
      </c>
      <c r="C274" s="11" t="s">
        <v>386</v>
      </c>
      <c r="D274" s="11" t="s">
        <v>451</v>
      </c>
      <c r="E274" s="19" t="s">
        <v>109</v>
      </c>
      <c r="F274" s="19" t="s">
        <v>95</v>
      </c>
      <c r="G274" s="12" t="s">
        <v>107</v>
      </c>
      <c r="H274" s="20" t="s">
        <v>97</v>
      </c>
      <c r="I274" s="19" t="s">
        <v>98</v>
      </c>
      <c r="J274" s="19"/>
      <c r="K274" s="12"/>
      <c r="L274" s="21"/>
      <c r="M274" s="21" t="str">
        <f aca="false">IF($L274="","",$L274+IF($J274="",Dashboard!$M$9,INDEX(Dashboard!$M$5:$M$9,$J274)))</f>
        <v/>
      </c>
      <c r="N274" s="22" t="str">
        <f aca="true">IF(OR($I274="Attempted",$I274="Revisit"),"DUE",IF($M274="","",IF($M274&lt;=TODAY(),"DUE","")))</f>
        <v/>
      </c>
      <c r="O274" s="11"/>
    </row>
    <row r="275" customFormat="false" ht="15" hidden="false" customHeight="true" outlineLevel="0" collapsed="false">
      <c r="A275" s="12" t="n">
        <v>274</v>
      </c>
      <c r="B275" s="11" t="s">
        <v>452</v>
      </c>
      <c r="C275" s="11" t="s">
        <v>453</v>
      </c>
      <c r="D275" s="11" t="s">
        <v>454</v>
      </c>
      <c r="E275" s="19" t="s">
        <v>94</v>
      </c>
      <c r="F275" s="19" t="s">
        <v>95</v>
      </c>
      <c r="G275" s="12" t="s">
        <v>107</v>
      </c>
      <c r="H275" s="20" t="s">
        <v>97</v>
      </c>
      <c r="I275" s="19" t="s">
        <v>98</v>
      </c>
      <c r="J275" s="19"/>
      <c r="K275" s="12"/>
      <c r="L275" s="21"/>
      <c r="M275" s="21" t="str">
        <f aca="false">IF($L275="","",$L275+IF($J275="",Dashboard!$M$9,INDEX(Dashboard!$M$5:$M$9,$J275)))</f>
        <v/>
      </c>
      <c r="N275" s="22" t="str">
        <f aca="true">IF(OR($I275="Attempted",$I275="Revisit"),"DUE",IF($M275="","",IF($M275&lt;=TODAY(),"DUE","")))</f>
        <v/>
      </c>
      <c r="O275" s="11"/>
    </row>
    <row r="276" customFormat="false" ht="15" hidden="false" customHeight="true" outlineLevel="0" collapsed="false">
      <c r="A276" s="12" t="n">
        <v>275</v>
      </c>
      <c r="B276" s="11" t="s">
        <v>452</v>
      </c>
      <c r="C276" s="11" t="s">
        <v>306</v>
      </c>
      <c r="D276" s="11" t="s">
        <v>455</v>
      </c>
      <c r="E276" s="19" t="s">
        <v>94</v>
      </c>
      <c r="F276" s="19" t="s">
        <v>95</v>
      </c>
      <c r="G276" s="12" t="s">
        <v>107</v>
      </c>
      <c r="H276" s="20" t="s">
        <v>97</v>
      </c>
      <c r="I276" s="19" t="s">
        <v>98</v>
      </c>
      <c r="J276" s="19"/>
      <c r="K276" s="12"/>
      <c r="L276" s="21"/>
      <c r="M276" s="21" t="str">
        <f aca="false">IF($L276="","",$L276+IF($J276="",Dashboard!$M$9,INDEX(Dashboard!$M$5:$M$9,$J276)))</f>
        <v/>
      </c>
      <c r="N276" s="22" t="str">
        <f aca="true">IF(OR($I276="Attempted",$I276="Revisit"),"DUE",IF($M276="","",IF($M276&lt;=TODAY(),"DUE","")))</f>
        <v/>
      </c>
      <c r="O276" s="11"/>
    </row>
    <row r="277" customFormat="false" ht="15" hidden="false" customHeight="true" outlineLevel="0" collapsed="false">
      <c r="A277" s="12" t="n">
        <v>276</v>
      </c>
      <c r="B277" s="11" t="s">
        <v>452</v>
      </c>
      <c r="C277" s="11" t="s">
        <v>456</v>
      </c>
      <c r="D277" s="11" t="s">
        <v>457</v>
      </c>
      <c r="E277" s="19" t="s">
        <v>109</v>
      </c>
      <c r="F277" s="19" t="s">
        <v>95</v>
      </c>
      <c r="G277" s="12" t="s">
        <v>107</v>
      </c>
      <c r="H277" s="20" t="s">
        <v>97</v>
      </c>
      <c r="I277" s="19" t="s">
        <v>98</v>
      </c>
      <c r="J277" s="19"/>
      <c r="K277" s="12"/>
      <c r="L277" s="21"/>
      <c r="M277" s="21" t="str">
        <f aca="false">IF($L277="","",$L277+IF($J277="",Dashboard!$M$9,INDEX(Dashboard!$M$5:$M$9,$J277)))</f>
        <v/>
      </c>
      <c r="N277" s="22" t="str">
        <f aca="true">IF(OR($I277="Attempted",$I277="Revisit"),"DUE",IF($M277="","",IF($M277&lt;=TODAY(),"DUE","")))</f>
        <v/>
      </c>
      <c r="O277" s="11"/>
    </row>
    <row r="278" customFormat="false" ht="15" hidden="false" customHeight="true" outlineLevel="0" collapsed="false">
      <c r="A278" s="12" t="n">
        <v>277</v>
      </c>
      <c r="B278" s="11" t="s">
        <v>452</v>
      </c>
      <c r="C278" s="11" t="s">
        <v>456</v>
      </c>
      <c r="D278" s="11" t="s">
        <v>458</v>
      </c>
      <c r="E278" s="19" t="s">
        <v>109</v>
      </c>
      <c r="F278" s="19" t="s">
        <v>95</v>
      </c>
      <c r="G278" s="12" t="s">
        <v>107</v>
      </c>
      <c r="H278" s="20" t="s">
        <v>97</v>
      </c>
      <c r="I278" s="19" t="s">
        <v>98</v>
      </c>
      <c r="J278" s="19"/>
      <c r="K278" s="12"/>
      <c r="L278" s="21"/>
      <c r="M278" s="21" t="str">
        <f aca="false">IF($L278="","",$L278+IF($J278="",Dashboard!$M$9,INDEX(Dashboard!$M$5:$M$9,$J278)))</f>
        <v/>
      </c>
      <c r="N278" s="22" t="str">
        <f aca="true">IF(OR($I278="Attempted",$I278="Revisit"),"DUE",IF($M278="","",IF($M278&lt;=TODAY(),"DUE","")))</f>
        <v/>
      </c>
      <c r="O278" s="11"/>
    </row>
    <row r="279" customFormat="false" ht="15" hidden="false" customHeight="true" outlineLevel="0" collapsed="false">
      <c r="A279" s="12" t="n">
        <v>278</v>
      </c>
      <c r="B279" s="11" t="s">
        <v>452</v>
      </c>
      <c r="C279" s="11" t="s">
        <v>459</v>
      </c>
      <c r="D279" s="11" t="s">
        <v>460</v>
      </c>
      <c r="E279" s="19" t="s">
        <v>109</v>
      </c>
      <c r="F279" s="19" t="s">
        <v>95</v>
      </c>
      <c r="G279" s="12" t="s">
        <v>107</v>
      </c>
      <c r="H279" s="20" t="s">
        <v>97</v>
      </c>
      <c r="I279" s="19" t="s">
        <v>98</v>
      </c>
      <c r="J279" s="19"/>
      <c r="K279" s="12"/>
      <c r="L279" s="21"/>
      <c r="M279" s="21" t="str">
        <f aca="false">IF($L279="","",$L279+IF($J279="",Dashboard!$M$9,INDEX(Dashboard!$M$5:$M$9,$J279)))</f>
        <v/>
      </c>
      <c r="N279" s="22" t="str">
        <f aca="true">IF(OR($I279="Attempted",$I279="Revisit"),"DUE",IF($M279="","",IF($M279&lt;=TODAY(),"DUE","")))</f>
        <v/>
      </c>
      <c r="O279" s="11"/>
    </row>
    <row r="280" customFormat="false" ht="15" hidden="false" customHeight="true" outlineLevel="0" collapsed="false">
      <c r="A280" s="12" t="n">
        <v>279</v>
      </c>
      <c r="B280" s="11" t="s">
        <v>452</v>
      </c>
      <c r="C280" s="11" t="s">
        <v>461</v>
      </c>
      <c r="D280" s="11" t="s">
        <v>462</v>
      </c>
      <c r="E280" s="19" t="s">
        <v>135</v>
      </c>
      <c r="F280" s="19" t="s">
        <v>95</v>
      </c>
      <c r="G280" s="12" t="s">
        <v>107</v>
      </c>
      <c r="H280" s="20" t="s">
        <v>97</v>
      </c>
      <c r="I280" s="19" t="s">
        <v>98</v>
      </c>
      <c r="J280" s="19"/>
      <c r="K280" s="12"/>
      <c r="L280" s="21"/>
      <c r="M280" s="21" t="str">
        <f aca="false">IF($L280="","",$L280+IF($J280="",Dashboard!$M$9,INDEX(Dashboard!$M$5:$M$9,$J280)))</f>
        <v/>
      </c>
      <c r="N280" s="22" t="str">
        <f aca="true">IF(OR($I280="Attempted",$I280="Revisit"),"DUE",IF($M280="","",IF($M280&lt;=TODAY(),"DUE","")))</f>
        <v/>
      </c>
      <c r="O280" s="11"/>
    </row>
    <row r="281" customFormat="false" ht="15" hidden="false" customHeight="true" outlineLevel="0" collapsed="false">
      <c r="A281" s="12" t="n">
        <v>280</v>
      </c>
      <c r="B281" s="11" t="s">
        <v>452</v>
      </c>
      <c r="C281" s="11" t="s">
        <v>461</v>
      </c>
      <c r="D281" s="11" t="s">
        <v>463</v>
      </c>
      <c r="E281" s="19" t="s">
        <v>109</v>
      </c>
      <c r="F281" s="19" t="s">
        <v>95</v>
      </c>
      <c r="G281" s="12" t="s">
        <v>107</v>
      </c>
      <c r="H281" s="20" t="s">
        <v>97</v>
      </c>
      <c r="I281" s="19" t="s">
        <v>98</v>
      </c>
      <c r="J281" s="19"/>
      <c r="K281" s="12"/>
      <c r="L281" s="21"/>
      <c r="M281" s="21" t="str">
        <f aca="false">IF($L281="","",$L281+IF($J281="",Dashboard!$M$9,INDEX(Dashboard!$M$5:$M$9,$J281)))</f>
        <v/>
      </c>
      <c r="N281" s="22" t="str">
        <f aca="true">IF(OR($I281="Attempted",$I281="Revisit"),"DUE",IF($M281="","",IF($M281&lt;=TODAY(),"DUE","")))</f>
        <v/>
      </c>
      <c r="O281" s="11"/>
    </row>
    <row r="282" customFormat="false" ht="15" hidden="false" customHeight="true" outlineLevel="0" collapsed="false">
      <c r="A282" s="12" t="n">
        <v>281</v>
      </c>
      <c r="B282" s="11" t="s">
        <v>452</v>
      </c>
      <c r="C282" s="11" t="s">
        <v>464</v>
      </c>
      <c r="D282" s="11" t="s">
        <v>465</v>
      </c>
      <c r="E282" s="19" t="s">
        <v>109</v>
      </c>
      <c r="F282" s="19" t="s">
        <v>95</v>
      </c>
      <c r="G282" s="12" t="s">
        <v>107</v>
      </c>
      <c r="H282" s="20" t="s">
        <v>97</v>
      </c>
      <c r="I282" s="19" t="s">
        <v>98</v>
      </c>
      <c r="J282" s="19"/>
      <c r="K282" s="12"/>
      <c r="L282" s="21"/>
      <c r="M282" s="21" t="str">
        <f aca="false">IF($L282="","",$L282+IF($J282="",Dashboard!$M$9,INDEX(Dashboard!$M$5:$M$9,$J282)))</f>
        <v/>
      </c>
      <c r="N282" s="22" t="str">
        <f aca="true">IF(OR($I282="Attempted",$I282="Revisit"),"DUE",IF($M282="","",IF($M282&lt;=TODAY(),"DUE","")))</f>
        <v/>
      </c>
      <c r="O282" s="11"/>
    </row>
    <row r="283" customFormat="false" ht="15" hidden="false" customHeight="true" outlineLevel="0" collapsed="false">
      <c r="A283" s="12" t="n">
        <v>282</v>
      </c>
      <c r="B283" s="11" t="s">
        <v>452</v>
      </c>
      <c r="C283" s="11" t="s">
        <v>466</v>
      </c>
      <c r="D283" s="11" t="s">
        <v>467</v>
      </c>
      <c r="E283" s="19" t="s">
        <v>109</v>
      </c>
      <c r="F283" s="19" t="s">
        <v>95</v>
      </c>
      <c r="G283" s="12" t="s">
        <v>107</v>
      </c>
      <c r="H283" s="20" t="s">
        <v>97</v>
      </c>
      <c r="I283" s="19" t="s">
        <v>98</v>
      </c>
      <c r="J283" s="19"/>
      <c r="K283" s="12"/>
      <c r="L283" s="21"/>
      <c r="M283" s="21" t="str">
        <f aca="false">IF($L283="","",$L283+IF($J283="",Dashboard!$M$9,INDEX(Dashboard!$M$5:$M$9,$J283)))</f>
        <v/>
      </c>
      <c r="N283" s="22" t="str">
        <f aca="true">IF(OR($I283="Attempted",$I283="Revisit"),"DUE",IF($M283="","",IF($M283&lt;=TODAY(),"DUE","")))</f>
        <v/>
      </c>
      <c r="O283" s="11"/>
    </row>
    <row r="284" customFormat="false" ht="15" hidden="false" customHeight="true" outlineLevel="0" collapsed="false">
      <c r="A284" s="12" t="n">
        <v>283</v>
      </c>
      <c r="B284" s="11" t="s">
        <v>452</v>
      </c>
      <c r="C284" s="11" t="s">
        <v>466</v>
      </c>
      <c r="D284" s="11" t="s">
        <v>468</v>
      </c>
      <c r="E284" s="19" t="s">
        <v>109</v>
      </c>
      <c r="F284" s="19" t="s">
        <v>121</v>
      </c>
      <c r="G284" s="12" t="s">
        <v>107</v>
      </c>
      <c r="H284" s="20" t="s">
        <v>97</v>
      </c>
      <c r="I284" s="19" t="s">
        <v>98</v>
      </c>
      <c r="J284" s="19"/>
      <c r="K284" s="12"/>
      <c r="L284" s="21"/>
      <c r="M284" s="21" t="str">
        <f aca="false">IF($L284="","",$L284+IF($J284="",Dashboard!$M$9,INDEX(Dashboard!$M$5:$M$9,$J284)))</f>
        <v/>
      </c>
      <c r="N284" s="22" t="str">
        <f aca="true">IF(OR($I284="Attempted",$I284="Revisit"),"DUE",IF($M284="","",IF($M284&lt;=TODAY(),"DUE","")))</f>
        <v/>
      </c>
      <c r="O284" s="11"/>
    </row>
    <row r="285" customFormat="false" ht="15" hidden="false" customHeight="true" outlineLevel="0" collapsed="false">
      <c r="A285" s="12" t="n">
        <v>284</v>
      </c>
      <c r="B285" s="11" t="s">
        <v>452</v>
      </c>
      <c r="C285" s="11" t="s">
        <v>466</v>
      </c>
      <c r="D285" s="11" t="s">
        <v>469</v>
      </c>
      <c r="E285" s="19" t="s">
        <v>94</v>
      </c>
      <c r="F285" s="19" t="s">
        <v>95</v>
      </c>
      <c r="G285" s="12" t="s">
        <v>96</v>
      </c>
      <c r="H285" s="20" t="s">
        <v>97</v>
      </c>
      <c r="I285" s="19" t="s">
        <v>98</v>
      </c>
      <c r="J285" s="19"/>
      <c r="K285" s="12"/>
      <c r="L285" s="21"/>
      <c r="M285" s="21" t="str">
        <f aca="false">IF($L285="","",$L285+IF($J285="",Dashboard!$M$9,INDEX(Dashboard!$M$5:$M$9,$J285)))</f>
        <v/>
      </c>
      <c r="N285" s="22" t="str">
        <f aca="true">IF(OR($I285="Attempted",$I285="Revisit"),"DUE",IF($M285="","",IF($M285&lt;=TODAY(),"DUE","")))</f>
        <v/>
      </c>
      <c r="O285" s="11"/>
    </row>
    <row r="286" customFormat="false" ht="15" hidden="false" customHeight="true" outlineLevel="0" collapsed="false">
      <c r="A286" s="12" t="n">
        <v>285</v>
      </c>
      <c r="B286" s="11" t="s">
        <v>452</v>
      </c>
      <c r="C286" s="11" t="s">
        <v>466</v>
      </c>
      <c r="D286" s="11" t="s">
        <v>470</v>
      </c>
      <c r="E286" s="19" t="s">
        <v>109</v>
      </c>
      <c r="F286" s="19" t="s">
        <v>121</v>
      </c>
      <c r="G286" s="12" t="s">
        <v>96</v>
      </c>
      <c r="H286" s="20" t="s">
        <v>97</v>
      </c>
      <c r="I286" s="19" t="s">
        <v>98</v>
      </c>
      <c r="J286" s="19"/>
      <c r="K286" s="12"/>
      <c r="L286" s="21"/>
      <c r="M286" s="21" t="str">
        <f aca="false">IF($L286="","",$L286+IF($J286="",Dashboard!$M$9,INDEX(Dashboard!$M$5:$M$9,$J286)))</f>
        <v/>
      </c>
      <c r="N286" s="22" t="str">
        <f aca="true">IF(OR($I286="Attempted",$I286="Revisit"),"DUE",IF($M286="","",IF($M286&lt;=TODAY(),"DUE","")))</f>
        <v/>
      </c>
      <c r="O286" s="11"/>
    </row>
    <row r="287" customFormat="false" ht="15" hidden="false" customHeight="true" outlineLevel="0" collapsed="false">
      <c r="A287" s="12" t="n">
        <v>286</v>
      </c>
      <c r="B287" s="11" t="s">
        <v>452</v>
      </c>
      <c r="C287" s="11" t="s">
        <v>466</v>
      </c>
      <c r="D287" s="11" t="s">
        <v>471</v>
      </c>
      <c r="E287" s="19" t="s">
        <v>109</v>
      </c>
      <c r="F287" s="19" t="s">
        <v>121</v>
      </c>
      <c r="G287" s="12" t="s">
        <v>96</v>
      </c>
      <c r="H287" s="20" t="s">
        <v>97</v>
      </c>
      <c r="I287" s="19" t="s">
        <v>98</v>
      </c>
      <c r="J287" s="19"/>
      <c r="K287" s="12"/>
      <c r="L287" s="21"/>
      <c r="M287" s="21" t="str">
        <f aca="false">IF($L287="","",$L287+IF($J287="",Dashboard!$M$9,INDEX(Dashboard!$M$5:$M$9,$J287)))</f>
        <v/>
      </c>
      <c r="N287" s="22" t="str">
        <f aca="true">IF(OR($I287="Attempted",$I287="Revisit"),"DUE",IF($M287="","",IF($M287&lt;=TODAY(),"DUE","")))</f>
        <v/>
      </c>
      <c r="O287" s="11"/>
    </row>
    <row r="288" customFormat="false" ht="15" hidden="false" customHeight="true" outlineLevel="0" collapsed="false">
      <c r="A288" s="12" t="n">
        <v>287</v>
      </c>
      <c r="B288" s="11" t="s">
        <v>452</v>
      </c>
      <c r="C288" s="11" t="s">
        <v>472</v>
      </c>
      <c r="D288" s="11" t="s">
        <v>473</v>
      </c>
      <c r="E288" s="19" t="s">
        <v>109</v>
      </c>
      <c r="F288" s="19" t="s">
        <v>121</v>
      </c>
      <c r="G288" s="12" t="s">
        <v>96</v>
      </c>
      <c r="H288" s="20" t="s">
        <v>97</v>
      </c>
      <c r="I288" s="19" t="s">
        <v>98</v>
      </c>
      <c r="J288" s="19"/>
      <c r="K288" s="12"/>
      <c r="L288" s="21"/>
      <c r="M288" s="21" t="str">
        <f aca="false">IF($L288="","",$L288+IF($J288="",Dashboard!$M$9,INDEX(Dashboard!$M$5:$M$9,$J288)))</f>
        <v/>
      </c>
      <c r="N288" s="22" t="str">
        <f aca="true">IF(OR($I288="Attempted",$I288="Revisit"),"DUE",IF($M288="","",IF($M288&lt;=TODAY(),"DUE","")))</f>
        <v/>
      </c>
      <c r="O288" s="11"/>
    </row>
    <row r="289" customFormat="false" ht="15" hidden="false" customHeight="true" outlineLevel="0" collapsed="false">
      <c r="A289" s="12" t="n">
        <v>288</v>
      </c>
      <c r="B289" s="11" t="s">
        <v>452</v>
      </c>
      <c r="C289" s="11" t="s">
        <v>472</v>
      </c>
      <c r="D289" s="11" t="s">
        <v>474</v>
      </c>
      <c r="E289" s="19" t="s">
        <v>94</v>
      </c>
      <c r="F289" s="19" t="s">
        <v>95</v>
      </c>
      <c r="G289" s="12" t="s">
        <v>96</v>
      </c>
      <c r="H289" s="20" t="s">
        <v>97</v>
      </c>
      <c r="I289" s="19" t="s">
        <v>98</v>
      </c>
      <c r="J289" s="19"/>
      <c r="K289" s="12"/>
      <c r="L289" s="21"/>
      <c r="M289" s="21" t="str">
        <f aca="false">IF($L289="","",$L289+IF($J289="",Dashboard!$M$9,INDEX(Dashboard!$M$5:$M$9,$J289)))</f>
        <v/>
      </c>
      <c r="N289" s="22" t="str">
        <f aca="true">IF(OR($I289="Attempted",$I289="Revisit"),"DUE",IF($M289="","",IF($M289&lt;=TODAY(),"DUE","")))</f>
        <v/>
      </c>
      <c r="O289" s="11"/>
    </row>
    <row r="290" customFormat="false" ht="15" hidden="false" customHeight="true" outlineLevel="0" collapsed="false">
      <c r="A290" s="12" t="n">
        <v>289</v>
      </c>
      <c r="B290" s="11" t="s">
        <v>452</v>
      </c>
      <c r="C290" s="11" t="s">
        <v>472</v>
      </c>
      <c r="D290" s="11" t="s">
        <v>475</v>
      </c>
      <c r="E290" s="19" t="s">
        <v>94</v>
      </c>
      <c r="F290" s="19" t="s">
        <v>95</v>
      </c>
      <c r="G290" s="12" t="s">
        <v>107</v>
      </c>
      <c r="H290" s="20" t="s">
        <v>97</v>
      </c>
      <c r="I290" s="19" t="s">
        <v>98</v>
      </c>
      <c r="J290" s="19"/>
      <c r="K290" s="12"/>
      <c r="L290" s="21"/>
      <c r="M290" s="21" t="str">
        <f aca="false">IF($L290="","",$L290+IF($J290="",Dashboard!$M$9,INDEX(Dashboard!$M$5:$M$9,$J290)))</f>
        <v/>
      </c>
      <c r="N290" s="22" t="str">
        <f aca="true">IF(OR($I290="Attempted",$I290="Revisit"),"DUE",IF($M290="","",IF($M290&lt;=TODAY(),"DUE","")))</f>
        <v/>
      </c>
      <c r="O290" s="11"/>
    </row>
    <row r="291" customFormat="false" ht="15" hidden="false" customHeight="true" outlineLevel="0" collapsed="false">
      <c r="A291" s="12" t="n">
        <v>290</v>
      </c>
      <c r="B291" s="11" t="s">
        <v>452</v>
      </c>
      <c r="C291" s="11" t="s">
        <v>476</v>
      </c>
      <c r="D291" s="11" t="s">
        <v>477</v>
      </c>
      <c r="E291" s="19" t="s">
        <v>109</v>
      </c>
      <c r="F291" s="19" t="s">
        <v>95</v>
      </c>
      <c r="G291" s="12" t="s">
        <v>107</v>
      </c>
      <c r="H291" s="20" t="s">
        <v>97</v>
      </c>
      <c r="I291" s="19" t="s">
        <v>98</v>
      </c>
      <c r="J291" s="19"/>
      <c r="K291" s="12"/>
      <c r="L291" s="21"/>
      <c r="M291" s="21" t="str">
        <f aca="false">IF($L291="","",$L291+IF($J291="",Dashboard!$M$9,INDEX(Dashboard!$M$5:$M$9,$J291)))</f>
        <v/>
      </c>
      <c r="N291" s="22" t="str">
        <f aca="true">IF(OR($I291="Attempted",$I291="Revisit"),"DUE",IF($M291="","",IF($M291&lt;=TODAY(),"DUE","")))</f>
        <v/>
      </c>
      <c r="O291" s="11"/>
    </row>
    <row r="292" customFormat="false" ht="15" hidden="false" customHeight="true" outlineLevel="0" collapsed="false">
      <c r="A292" s="12" t="n">
        <v>291</v>
      </c>
      <c r="B292" s="11" t="s">
        <v>452</v>
      </c>
      <c r="C292" s="11" t="s">
        <v>478</v>
      </c>
      <c r="D292" s="11" t="s">
        <v>479</v>
      </c>
      <c r="E292" s="19" t="s">
        <v>109</v>
      </c>
      <c r="F292" s="19" t="s">
        <v>95</v>
      </c>
      <c r="G292" s="12" t="s">
        <v>107</v>
      </c>
      <c r="H292" s="20" t="s">
        <v>97</v>
      </c>
      <c r="I292" s="19" t="s">
        <v>98</v>
      </c>
      <c r="J292" s="19"/>
      <c r="K292" s="12"/>
      <c r="L292" s="21"/>
      <c r="M292" s="21" t="str">
        <f aca="false">IF($L292="","",$L292+IF($J292="",Dashboard!$M$9,INDEX(Dashboard!$M$5:$M$9,$J292)))</f>
        <v/>
      </c>
      <c r="N292" s="22" t="str">
        <f aca="true">IF(OR($I292="Attempted",$I292="Revisit"),"DUE",IF($M292="","",IF($M292&lt;=TODAY(),"DUE","")))</f>
        <v/>
      </c>
      <c r="O292" s="11"/>
    </row>
    <row r="293" customFormat="false" ht="15" hidden="false" customHeight="true" outlineLevel="0" collapsed="false">
      <c r="A293" s="12" t="n">
        <v>292</v>
      </c>
      <c r="B293" s="11" t="s">
        <v>480</v>
      </c>
      <c r="C293" s="11" t="s">
        <v>481</v>
      </c>
      <c r="D293" s="11" t="s">
        <v>481</v>
      </c>
      <c r="E293" s="19" t="s">
        <v>109</v>
      </c>
      <c r="F293" s="19" t="s">
        <v>95</v>
      </c>
      <c r="G293" s="12" t="s">
        <v>107</v>
      </c>
      <c r="H293" s="20" t="s">
        <v>97</v>
      </c>
      <c r="I293" s="19" t="s">
        <v>98</v>
      </c>
      <c r="J293" s="19"/>
      <c r="K293" s="12"/>
      <c r="L293" s="21"/>
      <c r="M293" s="21" t="str">
        <f aca="false">IF($L293="","",$L293+IF($J293="",Dashboard!$M$9,INDEX(Dashboard!$M$5:$M$9,$J293)))</f>
        <v/>
      </c>
      <c r="N293" s="22" t="str">
        <f aca="true">IF(OR($I293="Attempted",$I293="Revisit"),"DUE",IF($M293="","",IF($M293&lt;=TODAY(),"DUE","")))</f>
        <v/>
      </c>
      <c r="O293" s="11"/>
    </row>
    <row r="294" customFormat="false" ht="15" hidden="false" customHeight="true" outlineLevel="0" collapsed="false">
      <c r="A294" s="12" t="n">
        <v>293</v>
      </c>
      <c r="B294" s="11" t="s">
        <v>480</v>
      </c>
      <c r="C294" s="11" t="s">
        <v>481</v>
      </c>
      <c r="D294" s="11" t="s">
        <v>482</v>
      </c>
      <c r="E294" s="19" t="s">
        <v>109</v>
      </c>
      <c r="F294" s="19" t="s">
        <v>95</v>
      </c>
      <c r="G294" s="12" t="s">
        <v>107</v>
      </c>
      <c r="H294" s="20" t="s">
        <v>97</v>
      </c>
      <c r="I294" s="19" t="s">
        <v>98</v>
      </c>
      <c r="J294" s="19"/>
      <c r="K294" s="12"/>
      <c r="L294" s="21"/>
      <c r="M294" s="21" t="str">
        <f aca="false">IF($L294="","",$L294+IF($J294="",Dashboard!$M$9,INDEX(Dashboard!$M$5:$M$9,$J294)))</f>
        <v/>
      </c>
      <c r="N294" s="22" t="str">
        <f aca="true">IF(OR($I294="Attempted",$I294="Revisit"),"DUE",IF($M294="","",IF($M294&lt;=TODAY(),"DUE","")))</f>
        <v/>
      </c>
      <c r="O294" s="11"/>
    </row>
    <row r="295" customFormat="false" ht="15" hidden="false" customHeight="true" outlineLevel="0" collapsed="false">
      <c r="A295" s="12" t="n">
        <v>294</v>
      </c>
      <c r="B295" s="11" t="s">
        <v>480</v>
      </c>
      <c r="C295" s="11" t="s">
        <v>481</v>
      </c>
      <c r="D295" s="11" t="s">
        <v>483</v>
      </c>
      <c r="E295" s="19" t="s">
        <v>109</v>
      </c>
      <c r="F295" s="19" t="s">
        <v>121</v>
      </c>
      <c r="G295" s="12" t="s">
        <v>96</v>
      </c>
      <c r="H295" s="20" t="s">
        <v>97</v>
      </c>
      <c r="I295" s="19" t="s">
        <v>98</v>
      </c>
      <c r="J295" s="19"/>
      <c r="K295" s="12"/>
      <c r="L295" s="21"/>
      <c r="M295" s="21" t="str">
        <f aca="false">IF($L295="","",$L295+IF($J295="",Dashboard!$M$9,INDEX(Dashboard!$M$5:$M$9,$J295)))</f>
        <v/>
      </c>
      <c r="N295" s="22" t="str">
        <f aca="true">IF(OR($I295="Attempted",$I295="Revisit"),"DUE",IF($M295="","",IF($M295&lt;=TODAY(),"DUE","")))</f>
        <v/>
      </c>
      <c r="O295" s="11"/>
    </row>
    <row r="296" customFormat="false" ht="15" hidden="false" customHeight="true" outlineLevel="0" collapsed="false">
      <c r="A296" s="12" t="n">
        <v>295</v>
      </c>
      <c r="B296" s="11" t="s">
        <v>480</v>
      </c>
      <c r="C296" s="11" t="s">
        <v>484</v>
      </c>
      <c r="D296" s="11" t="s">
        <v>484</v>
      </c>
      <c r="E296" s="19" t="s">
        <v>109</v>
      </c>
      <c r="F296" s="19" t="s">
        <v>95</v>
      </c>
      <c r="G296" s="12" t="s">
        <v>107</v>
      </c>
      <c r="H296" s="20" t="s">
        <v>97</v>
      </c>
      <c r="I296" s="19" t="s">
        <v>98</v>
      </c>
      <c r="J296" s="19"/>
      <c r="K296" s="12"/>
      <c r="L296" s="21"/>
      <c r="M296" s="21" t="str">
        <f aca="false">IF($L296="","",$L296+IF($J296="",Dashboard!$M$9,INDEX(Dashboard!$M$5:$M$9,$J296)))</f>
        <v/>
      </c>
      <c r="N296" s="22" t="str">
        <f aca="true">IF(OR($I296="Attempted",$I296="Revisit"),"DUE",IF($M296="","",IF($M296&lt;=TODAY(),"DUE","")))</f>
        <v/>
      </c>
      <c r="O296" s="11"/>
    </row>
    <row r="297" customFormat="false" ht="15" hidden="false" customHeight="true" outlineLevel="0" collapsed="false">
      <c r="A297" s="12" t="n">
        <v>296</v>
      </c>
      <c r="B297" s="11" t="s">
        <v>480</v>
      </c>
      <c r="C297" s="11" t="s">
        <v>484</v>
      </c>
      <c r="D297" s="11" t="s">
        <v>485</v>
      </c>
      <c r="E297" s="19" t="s">
        <v>109</v>
      </c>
      <c r="F297" s="19" t="s">
        <v>95</v>
      </c>
      <c r="G297" s="12" t="s">
        <v>107</v>
      </c>
      <c r="H297" s="20" t="s">
        <v>97</v>
      </c>
      <c r="I297" s="19" t="s">
        <v>98</v>
      </c>
      <c r="J297" s="19"/>
      <c r="K297" s="12"/>
      <c r="L297" s="21"/>
      <c r="M297" s="21" t="str">
        <f aca="false">IF($L297="","",$L297+IF($J297="",Dashboard!$M$9,INDEX(Dashboard!$M$5:$M$9,$J297)))</f>
        <v/>
      </c>
      <c r="N297" s="22" t="str">
        <f aca="true">IF(OR($I297="Attempted",$I297="Revisit"),"DUE",IF($M297="","",IF($M297&lt;=TODAY(),"DUE","")))</f>
        <v/>
      </c>
      <c r="O297" s="11"/>
    </row>
    <row r="298" customFormat="false" ht="15" hidden="false" customHeight="true" outlineLevel="0" collapsed="false">
      <c r="A298" s="12" t="n">
        <v>297</v>
      </c>
      <c r="B298" s="11" t="s">
        <v>480</v>
      </c>
      <c r="C298" s="11" t="s">
        <v>484</v>
      </c>
      <c r="D298" s="11" t="s">
        <v>486</v>
      </c>
      <c r="E298" s="19" t="s">
        <v>135</v>
      </c>
      <c r="F298" s="19" t="s">
        <v>136</v>
      </c>
      <c r="G298" s="12" t="s">
        <v>107</v>
      </c>
      <c r="H298" s="20" t="s">
        <v>97</v>
      </c>
      <c r="I298" s="19" t="s">
        <v>98</v>
      </c>
      <c r="J298" s="19"/>
      <c r="K298" s="12"/>
      <c r="L298" s="21"/>
      <c r="M298" s="21" t="str">
        <f aca="false">IF($L298="","",$L298+IF($J298="",Dashboard!$M$9,INDEX(Dashboard!$M$5:$M$9,$J298)))</f>
        <v/>
      </c>
      <c r="N298" s="22" t="str">
        <f aca="true">IF(OR($I298="Attempted",$I298="Revisit"),"DUE",IF($M298="","",IF($M298&lt;=TODAY(),"DUE","")))</f>
        <v/>
      </c>
      <c r="O298" s="11"/>
    </row>
    <row r="299" customFormat="false" ht="15" hidden="false" customHeight="true" outlineLevel="0" collapsed="false">
      <c r="A299" s="12" t="n">
        <v>298</v>
      </c>
      <c r="B299" s="11" t="s">
        <v>480</v>
      </c>
      <c r="C299" s="11" t="s">
        <v>487</v>
      </c>
      <c r="D299" s="11" t="s">
        <v>487</v>
      </c>
      <c r="E299" s="19" t="s">
        <v>109</v>
      </c>
      <c r="F299" s="19" t="s">
        <v>95</v>
      </c>
      <c r="G299" s="12" t="s">
        <v>107</v>
      </c>
      <c r="H299" s="20" t="s">
        <v>97</v>
      </c>
      <c r="I299" s="19" t="s">
        <v>98</v>
      </c>
      <c r="J299" s="19"/>
      <c r="K299" s="12"/>
      <c r="L299" s="21"/>
      <c r="M299" s="21" t="str">
        <f aca="false">IF($L299="","",$L299+IF($J299="",Dashboard!$M$9,INDEX(Dashboard!$M$5:$M$9,$J299)))</f>
        <v/>
      </c>
      <c r="N299" s="22" t="str">
        <f aca="true">IF(OR($I299="Attempted",$I299="Revisit"),"DUE",IF($M299="","",IF($M299&lt;=TODAY(),"DUE","")))</f>
        <v/>
      </c>
      <c r="O299" s="11"/>
    </row>
    <row r="300" customFormat="false" ht="15" hidden="false" customHeight="true" outlineLevel="0" collapsed="false">
      <c r="A300" s="12" t="n">
        <v>299</v>
      </c>
      <c r="B300" s="11" t="s">
        <v>480</v>
      </c>
      <c r="C300" s="11" t="s">
        <v>487</v>
      </c>
      <c r="D300" s="11" t="s">
        <v>488</v>
      </c>
      <c r="E300" s="19" t="s">
        <v>109</v>
      </c>
      <c r="F300" s="19" t="s">
        <v>95</v>
      </c>
      <c r="G300" s="12" t="s">
        <v>107</v>
      </c>
      <c r="H300" s="20" t="s">
        <v>97</v>
      </c>
      <c r="I300" s="19" t="s">
        <v>98</v>
      </c>
      <c r="J300" s="19"/>
      <c r="K300" s="12"/>
      <c r="L300" s="21"/>
      <c r="M300" s="21" t="str">
        <f aca="false">IF($L300="","",$L300+IF($J300="",Dashboard!$M$9,INDEX(Dashboard!$M$5:$M$9,$J300)))</f>
        <v/>
      </c>
      <c r="N300" s="22" t="str">
        <f aca="true">IF(OR($I300="Attempted",$I300="Revisit"),"DUE",IF($M300="","",IF($M300&lt;=TODAY(),"DUE","")))</f>
        <v/>
      </c>
      <c r="O300" s="11"/>
    </row>
    <row r="301" customFormat="false" ht="15" hidden="false" customHeight="true" outlineLevel="0" collapsed="false">
      <c r="A301" s="12" t="n">
        <v>300</v>
      </c>
      <c r="B301" s="11" t="s">
        <v>480</v>
      </c>
      <c r="C301" s="11" t="s">
        <v>487</v>
      </c>
      <c r="D301" s="11" t="s">
        <v>489</v>
      </c>
      <c r="E301" s="19" t="s">
        <v>109</v>
      </c>
      <c r="F301" s="19" t="s">
        <v>121</v>
      </c>
      <c r="G301" s="12" t="s">
        <v>107</v>
      </c>
      <c r="H301" s="20" t="s">
        <v>97</v>
      </c>
      <c r="I301" s="19" t="s">
        <v>98</v>
      </c>
      <c r="J301" s="19"/>
      <c r="K301" s="12"/>
      <c r="L301" s="21"/>
      <c r="M301" s="21" t="str">
        <f aca="false">IF($L301="","",$L301+IF($J301="",Dashboard!$M$9,INDEX(Dashboard!$M$5:$M$9,$J301)))</f>
        <v/>
      </c>
      <c r="N301" s="22" t="str">
        <f aca="true">IF(OR($I301="Attempted",$I301="Revisit"),"DUE",IF($M301="","",IF($M301&lt;=TODAY(),"DUE","")))</f>
        <v/>
      </c>
      <c r="O301" s="11"/>
    </row>
    <row r="302" customFormat="false" ht="15" hidden="false" customHeight="true" outlineLevel="0" collapsed="false">
      <c r="A302" s="12" t="n">
        <v>301</v>
      </c>
      <c r="B302" s="11" t="s">
        <v>480</v>
      </c>
      <c r="C302" s="11" t="s">
        <v>487</v>
      </c>
      <c r="D302" s="11" t="s">
        <v>490</v>
      </c>
      <c r="E302" s="19" t="s">
        <v>109</v>
      </c>
      <c r="F302" s="19" t="s">
        <v>121</v>
      </c>
      <c r="G302" s="12" t="s">
        <v>107</v>
      </c>
      <c r="H302" s="20" t="s">
        <v>97</v>
      </c>
      <c r="I302" s="19" t="s">
        <v>98</v>
      </c>
      <c r="J302" s="19"/>
      <c r="K302" s="12"/>
      <c r="L302" s="21"/>
      <c r="M302" s="21" t="str">
        <f aca="false">IF($L302="","",$L302+IF($J302="",Dashboard!$M$9,INDEX(Dashboard!$M$5:$M$9,$J302)))</f>
        <v/>
      </c>
      <c r="N302" s="22" t="str">
        <f aca="true">IF(OR($I302="Attempted",$I302="Revisit"),"DUE",IF($M302="","",IF($M302&lt;=TODAY(),"DUE","")))</f>
        <v/>
      </c>
      <c r="O302" s="11"/>
    </row>
    <row r="303" customFormat="false" ht="15" hidden="false" customHeight="true" outlineLevel="0" collapsed="false">
      <c r="A303" s="12" t="n">
        <v>302</v>
      </c>
      <c r="B303" s="11" t="s">
        <v>480</v>
      </c>
      <c r="C303" s="11" t="s">
        <v>487</v>
      </c>
      <c r="D303" s="11" t="s">
        <v>491</v>
      </c>
      <c r="E303" s="19" t="s">
        <v>109</v>
      </c>
      <c r="F303" s="19" t="s">
        <v>121</v>
      </c>
      <c r="G303" s="12" t="s">
        <v>107</v>
      </c>
      <c r="H303" s="20" t="s">
        <v>97</v>
      </c>
      <c r="I303" s="19" t="s">
        <v>98</v>
      </c>
      <c r="J303" s="19"/>
      <c r="K303" s="12"/>
      <c r="L303" s="21"/>
      <c r="M303" s="21" t="str">
        <f aca="false">IF($L303="","",$L303+IF($J303="",Dashboard!$M$9,INDEX(Dashboard!$M$5:$M$9,$J303)))</f>
        <v/>
      </c>
      <c r="N303" s="22" t="str">
        <f aca="true">IF(OR($I303="Attempted",$I303="Revisit"),"DUE",IF($M303="","",IF($M303&lt;=TODAY(),"DUE","")))</f>
        <v/>
      </c>
      <c r="O303" s="11"/>
    </row>
    <row r="304" customFormat="false" ht="15" hidden="false" customHeight="true" outlineLevel="0" collapsed="false">
      <c r="A304" s="12" t="n">
        <v>303</v>
      </c>
      <c r="B304" s="11" t="s">
        <v>480</v>
      </c>
      <c r="C304" s="11" t="s">
        <v>492</v>
      </c>
      <c r="D304" s="11" t="s">
        <v>493</v>
      </c>
      <c r="E304" s="19" t="s">
        <v>109</v>
      </c>
      <c r="F304" s="19" t="s">
        <v>95</v>
      </c>
      <c r="G304" s="12" t="s">
        <v>107</v>
      </c>
      <c r="H304" s="20" t="s">
        <v>97</v>
      </c>
      <c r="I304" s="19" t="s">
        <v>98</v>
      </c>
      <c r="J304" s="19"/>
      <c r="K304" s="12"/>
      <c r="L304" s="21"/>
      <c r="M304" s="21" t="str">
        <f aca="false">IF($L304="","",$L304+IF($J304="",Dashboard!$M$9,INDEX(Dashboard!$M$5:$M$9,$J304)))</f>
        <v/>
      </c>
      <c r="N304" s="22" t="str">
        <f aca="true">IF(OR($I304="Attempted",$I304="Revisit"),"DUE",IF($M304="","",IF($M304&lt;=TODAY(),"DUE","")))</f>
        <v/>
      </c>
      <c r="O304" s="11"/>
    </row>
    <row r="305" customFormat="false" ht="15" hidden="false" customHeight="true" outlineLevel="0" collapsed="false">
      <c r="A305" s="12" t="n">
        <v>304</v>
      </c>
      <c r="B305" s="11" t="s">
        <v>480</v>
      </c>
      <c r="C305" s="11" t="s">
        <v>492</v>
      </c>
      <c r="D305" s="11" t="s">
        <v>494</v>
      </c>
      <c r="E305" s="19" t="s">
        <v>109</v>
      </c>
      <c r="F305" s="19" t="s">
        <v>95</v>
      </c>
      <c r="G305" s="12" t="s">
        <v>107</v>
      </c>
      <c r="H305" s="20" t="s">
        <v>97</v>
      </c>
      <c r="I305" s="19" t="s">
        <v>98</v>
      </c>
      <c r="J305" s="19"/>
      <c r="K305" s="12"/>
      <c r="L305" s="21"/>
      <c r="M305" s="21" t="str">
        <f aca="false">IF($L305="","",$L305+IF($J305="",Dashboard!$M$9,INDEX(Dashboard!$M$5:$M$9,$J305)))</f>
        <v/>
      </c>
      <c r="N305" s="22" t="str">
        <f aca="true">IF(OR($I305="Attempted",$I305="Revisit"),"DUE",IF($M305="","",IF($M305&lt;=TODAY(),"DUE","")))</f>
        <v/>
      </c>
      <c r="O305" s="11"/>
    </row>
    <row r="306" customFormat="false" ht="15" hidden="false" customHeight="true" outlineLevel="0" collapsed="false">
      <c r="A306" s="12" t="n">
        <v>305</v>
      </c>
      <c r="B306" s="11" t="s">
        <v>480</v>
      </c>
      <c r="C306" s="11" t="s">
        <v>495</v>
      </c>
      <c r="D306" s="11" t="s">
        <v>496</v>
      </c>
      <c r="E306" s="19" t="s">
        <v>109</v>
      </c>
      <c r="F306" s="19" t="s">
        <v>95</v>
      </c>
      <c r="G306" s="12" t="s">
        <v>107</v>
      </c>
      <c r="H306" s="20" t="s">
        <v>97</v>
      </c>
      <c r="I306" s="19" t="s">
        <v>98</v>
      </c>
      <c r="J306" s="19"/>
      <c r="K306" s="12"/>
      <c r="L306" s="21"/>
      <c r="M306" s="21" t="str">
        <f aca="false">IF($L306="","",$L306+IF($J306="",Dashboard!$M$9,INDEX(Dashboard!$M$5:$M$9,$J306)))</f>
        <v/>
      </c>
      <c r="N306" s="22" t="str">
        <f aca="true">IF(OR($I306="Attempted",$I306="Revisit"),"DUE",IF($M306="","",IF($M306&lt;=TODAY(),"DUE","")))</f>
        <v/>
      </c>
      <c r="O306" s="11"/>
    </row>
    <row r="307" customFormat="false" ht="15" hidden="false" customHeight="true" outlineLevel="0" collapsed="false">
      <c r="A307" s="12" t="n">
        <v>306</v>
      </c>
      <c r="B307" s="11" t="s">
        <v>480</v>
      </c>
      <c r="C307" s="11" t="s">
        <v>495</v>
      </c>
      <c r="D307" s="11" t="s">
        <v>497</v>
      </c>
      <c r="E307" s="19" t="s">
        <v>135</v>
      </c>
      <c r="F307" s="19" t="s">
        <v>95</v>
      </c>
      <c r="G307" s="12" t="s">
        <v>107</v>
      </c>
      <c r="H307" s="20" t="s">
        <v>97</v>
      </c>
      <c r="I307" s="19" t="s">
        <v>98</v>
      </c>
      <c r="J307" s="19"/>
      <c r="K307" s="12"/>
      <c r="L307" s="21"/>
      <c r="M307" s="21" t="str">
        <f aca="false">IF($L307="","",$L307+IF($J307="",Dashboard!$M$9,INDEX(Dashboard!$M$5:$M$9,$J307)))</f>
        <v/>
      </c>
      <c r="N307" s="22" t="str">
        <f aca="true">IF(OR($I307="Attempted",$I307="Revisit"),"DUE",IF($M307="","",IF($M307&lt;=TODAY(),"DUE","")))</f>
        <v/>
      </c>
      <c r="O307" s="11"/>
    </row>
    <row r="308" customFormat="false" ht="15" hidden="false" customHeight="true" outlineLevel="0" collapsed="false">
      <c r="A308" s="12" t="n">
        <v>307</v>
      </c>
      <c r="B308" s="11" t="s">
        <v>480</v>
      </c>
      <c r="C308" s="11" t="s">
        <v>498</v>
      </c>
      <c r="D308" s="11" t="s">
        <v>499</v>
      </c>
      <c r="E308" s="19" t="s">
        <v>109</v>
      </c>
      <c r="F308" s="19" t="s">
        <v>95</v>
      </c>
      <c r="G308" s="12" t="s">
        <v>107</v>
      </c>
      <c r="H308" s="20" t="s">
        <v>97</v>
      </c>
      <c r="I308" s="19" t="s">
        <v>98</v>
      </c>
      <c r="J308" s="19"/>
      <c r="K308" s="12"/>
      <c r="L308" s="21"/>
      <c r="M308" s="21" t="str">
        <f aca="false">IF($L308="","",$L308+IF($J308="",Dashboard!$M$9,INDEX(Dashboard!$M$5:$M$9,$J308)))</f>
        <v/>
      </c>
      <c r="N308" s="22" t="str">
        <f aca="true">IF(OR($I308="Attempted",$I308="Revisit"),"DUE",IF($M308="","",IF($M308&lt;=TODAY(),"DUE","")))</f>
        <v/>
      </c>
      <c r="O308" s="11"/>
    </row>
    <row r="309" customFormat="false" ht="15" hidden="false" customHeight="true" outlineLevel="0" collapsed="false">
      <c r="A309" s="12" t="n">
        <v>308</v>
      </c>
      <c r="B309" s="11" t="s">
        <v>480</v>
      </c>
      <c r="C309" s="11" t="s">
        <v>498</v>
      </c>
      <c r="D309" s="11" t="s">
        <v>500</v>
      </c>
      <c r="E309" s="19" t="s">
        <v>109</v>
      </c>
      <c r="F309" s="19" t="s">
        <v>95</v>
      </c>
      <c r="G309" s="12" t="s">
        <v>96</v>
      </c>
      <c r="H309" s="20" t="s">
        <v>97</v>
      </c>
      <c r="I309" s="19" t="s">
        <v>98</v>
      </c>
      <c r="J309" s="19"/>
      <c r="K309" s="12"/>
      <c r="L309" s="21"/>
      <c r="M309" s="21" t="str">
        <f aca="false">IF($L309="","",$L309+IF($J309="",Dashboard!$M$9,INDEX(Dashboard!$M$5:$M$9,$J309)))</f>
        <v/>
      </c>
      <c r="N309" s="22" t="str">
        <f aca="true">IF(OR($I309="Attempted",$I309="Revisit"),"DUE",IF($M309="","",IF($M309&lt;=TODAY(),"DUE","")))</f>
        <v/>
      </c>
      <c r="O309" s="11"/>
    </row>
    <row r="310" customFormat="false" ht="15" hidden="false" customHeight="true" outlineLevel="0" collapsed="false">
      <c r="A310" s="12" t="n">
        <v>309</v>
      </c>
      <c r="B310" s="11" t="s">
        <v>480</v>
      </c>
      <c r="C310" s="11" t="s">
        <v>498</v>
      </c>
      <c r="D310" s="11" t="s">
        <v>501</v>
      </c>
      <c r="E310" s="19" t="s">
        <v>135</v>
      </c>
      <c r="F310" s="19" t="s">
        <v>136</v>
      </c>
      <c r="G310" s="12" t="s">
        <v>107</v>
      </c>
      <c r="H310" s="20" t="s">
        <v>97</v>
      </c>
      <c r="I310" s="19" t="s">
        <v>98</v>
      </c>
      <c r="J310" s="19"/>
      <c r="K310" s="12"/>
      <c r="L310" s="21"/>
      <c r="M310" s="21" t="str">
        <f aca="false">IF($L310="","",$L310+IF($J310="",Dashboard!$M$9,INDEX(Dashboard!$M$5:$M$9,$J310)))</f>
        <v/>
      </c>
      <c r="N310" s="22" t="str">
        <f aca="true">IF(OR($I310="Attempted",$I310="Revisit"),"DUE",IF($M310="","",IF($M310&lt;=TODAY(),"DUE","")))</f>
        <v/>
      </c>
      <c r="O310" s="11"/>
    </row>
    <row r="311" customFormat="false" ht="15" hidden="false" customHeight="true" outlineLevel="0" collapsed="false">
      <c r="A311" s="12" t="n">
        <v>310</v>
      </c>
      <c r="B311" s="11" t="s">
        <v>480</v>
      </c>
      <c r="C311" s="11" t="s">
        <v>498</v>
      </c>
      <c r="D311" s="11" t="s">
        <v>502</v>
      </c>
      <c r="E311" s="19" t="s">
        <v>135</v>
      </c>
      <c r="F311" s="19" t="s">
        <v>136</v>
      </c>
      <c r="G311" s="12" t="s">
        <v>107</v>
      </c>
      <c r="H311" s="20" t="s">
        <v>97</v>
      </c>
      <c r="I311" s="19" t="s">
        <v>98</v>
      </c>
      <c r="J311" s="19"/>
      <c r="K311" s="12"/>
      <c r="L311" s="21"/>
      <c r="M311" s="21" t="str">
        <f aca="false">IF($L311="","",$L311+IF($J311="",Dashboard!$M$9,INDEX(Dashboard!$M$5:$M$9,$J311)))</f>
        <v/>
      </c>
      <c r="N311" s="22" t="str">
        <f aca="true">IF(OR($I311="Attempted",$I311="Revisit"),"DUE",IF($M311="","",IF($M311&lt;=TODAY(),"DUE","")))</f>
        <v/>
      </c>
      <c r="O311" s="11"/>
    </row>
    <row r="312" customFormat="false" ht="15" hidden="false" customHeight="true" outlineLevel="0" collapsed="false">
      <c r="A312" s="12" t="n">
        <v>311</v>
      </c>
      <c r="B312" s="11" t="s">
        <v>480</v>
      </c>
      <c r="C312" s="11" t="s">
        <v>498</v>
      </c>
      <c r="D312" s="11" t="s">
        <v>503</v>
      </c>
      <c r="E312" s="19" t="s">
        <v>135</v>
      </c>
      <c r="F312" s="19" t="s">
        <v>136</v>
      </c>
      <c r="G312" s="12" t="s">
        <v>107</v>
      </c>
      <c r="H312" s="20" t="s">
        <v>97</v>
      </c>
      <c r="I312" s="19" t="s">
        <v>98</v>
      </c>
      <c r="J312" s="19"/>
      <c r="K312" s="12"/>
      <c r="L312" s="21"/>
      <c r="M312" s="21" t="str">
        <f aca="false">IF($L312="","",$L312+IF($J312="",Dashboard!$M$9,INDEX(Dashboard!$M$5:$M$9,$J312)))</f>
        <v/>
      </c>
      <c r="N312" s="22" t="str">
        <f aca="true">IF(OR($I312="Attempted",$I312="Revisit"),"DUE",IF($M312="","",IF($M312&lt;=TODAY(),"DUE","")))</f>
        <v/>
      </c>
      <c r="O312" s="11"/>
    </row>
    <row r="313" customFormat="false" ht="15" hidden="false" customHeight="true" outlineLevel="0" collapsed="false">
      <c r="A313" s="12" t="n">
        <v>312</v>
      </c>
      <c r="B313" s="11" t="s">
        <v>480</v>
      </c>
      <c r="C313" s="11" t="s">
        <v>504</v>
      </c>
      <c r="D313" s="11" t="s">
        <v>505</v>
      </c>
      <c r="E313" s="19" t="s">
        <v>109</v>
      </c>
      <c r="F313" s="19" t="s">
        <v>95</v>
      </c>
      <c r="G313" s="12" t="s">
        <v>107</v>
      </c>
      <c r="H313" s="20" t="s">
        <v>97</v>
      </c>
      <c r="I313" s="19" t="s">
        <v>98</v>
      </c>
      <c r="J313" s="19"/>
      <c r="K313" s="12"/>
      <c r="L313" s="21"/>
      <c r="M313" s="21" t="str">
        <f aca="false">IF($L313="","",$L313+IF($J313="",Dashboard!$M$9,INDEX(Dashboard!$M$5:$M$9,$J313)))</f>
        <v/>
      </c>
      <c r="N313" s="22" t="str">
        <f aca="true">IF(OR($I313="Attempted",$I313="Revisit"),"DUE",IF($M313="","",IF($M313&lt;=TODAY(),"DUE","")))</f>
        <v/>
      </c>
      <c r="O313" s="11"/>
    </row>
    <row r="314" customFormat="false" ht="15" hidden="false" customHeight="true" outlineLevel="0" collapsed="false">
      <c r="A314" s="12" t="n">
        <v>313</v>
      </c>
      <c r="B314" s="11" t="s">
        <v>480</v>
      </c>
      <c r="C314" s="11" t="s">
        <v>504</v>
      </c>
      <c r="D314" s="11" t="s">
        <v>506</v>
      </c>
      <c r="E314" s="19" t="s">
        <v>109</v>
      </c>
      <c r="F314" s="19" t="s">
        <v>95</v>
      </c>
      <c r="G314" s="12" t="s">
        <v>107</v>
      </c>
      <c r="H314" s="20" t="s">
        <v>97</v>
      </c>
      <c r="I314" s="19" t="s">
        <v>98</v>
      </c>
      <c r="J314" s="19"/>
      <c r="K314" s="12"/>
      <c r="L314" s="21"/>
      <c r="M314" s="21" t="str">
        <f aca="false">IF($L314="","",$L314+IF($J314="",Dashboard!$M$9,INDEX(Dashboard!$M$5:$M$9,$J314)))</f>
        <v/>
      </c>
      <c r="N314" s="22" t="str">
        <f aca="true">IF(OR($I314="Attempted",$I314="Revisit"),"DUE",IF($M314="","",IF($M314&lt;=TODAY(),"DUE","")))</f>
        <v/>
      </c>
      <c r="O314" s="11"/>
    </row>
    <row r="315" customFormat="false" ht="15" hidden="false" customHeight="true" outlineLevel="0" collapsed="false">
      <c r="A315" s="12" t="n">
        <v>314</v>
      </c>
      <c r="B315" s="11" t="s">
        <v>480</v>
      </c>
      <c r="C315" s="11" t="s">
        <v>507</v>
      </c>
      <c r="D315" s="11" t="s">
        <v>508</v>
      </c>
      <c r="E315" s="19" t="s">
        <v>109</v>
      </c>
      <c r="F315" s="19" t="s">
        <v>95</v>
      </c>
      <c r="G315" s="12" t="s">
        <v>96</v>
      </c>
      <c r="H315" s="20" t="s">
        <v>97</v>
      </c>
      <c r="I315" s="19" t="s">
        <v>98</v>
      </c>
      <c r="J315" s="19"/>
      <c r="K315" s="12"/>
      <c r="L315" s="21"/>
      <c r="M315" s="21" t="str">
        <f aca="false">IF($L315="","",$L315+IF($J315="",Dashboard!$M$9,INDEX(Dashboard!$M$5:$M$9,$J315)))</f>
        <v/>
      </c>
      <c r="N315" s="22" t="str">
        <f aca="true">IF(OR($I315="Attempted",$I315="Revisit"),"DUE",IF($M315="","",IF($M315&lt;=TODAY(),"DUE","")))</f>
        <v/>
      </c>
      <c r="O315" s="11"/>
    </row>
    <row r="316" customFormat="false" ht="15" hidden="false" customHeight="true" outlineLevel="0" collapsed="false">
      <c r="A316" s="12" t="n">
        <v>315</v>
      </c>
      <c r="B316" s="11" t="s">
        <v>480</v>
      </c>
      <c r="C316" s="11" t="s">
        <v>398</v>
      </c>
      <c r="D316" s="11" t="s">
        <v>509</v>
      </c>
      <c r="E316" s="19" t="s">
        <v>135</v>
      </c>
      <c r="F316" s="19" t="s">
        <v>95</v>
      </c>
      <c r="G316" s="12" t="s">
        <v>107</v>
      </c>
      <c r="H316" s="20" t="s">
        <v>97</v>
      </c>
      <c r="I316" s="19" t="s">
        <v>98</v>
      </c>
      <c r="J316" s="19"/>
      <c r="K316" s="12"/>
      <c r="L316" s="21"/>
      <c r="M316" s="21" t="str">
        <f aca="false">IF($L316="","",$L316+IF($J316="",Dashboard!$M$9,INDEX(Dashboard!$M$5:$M$9,$J316)))</f>
        <v/>
      </c>
      <c r="N316" s="22" t="str">
        <f aca="true">IF(OR($I316="Attempted",$I316="Revisit"),"DUE",IF($M316="","",IF($M316&lt;=TODAY(),"DUE","")))</f>
        <v/>
      </c>
      <c r="O316" s="11"/>
    </row>
    <row r="317" customFormat="false" ht="15" hidden="false" customHeight="true" outlineLevel="0" collapsed="false">
      <c r="A317" s="12" t="n">
        <v>316</v>
      </c>
      <c r="B317" s="11" t="s">
        <v>480</v>
      </c>
      <c r="C317" s="11" t="s">
        <v>510</v>
      </c>
      <c r="D317" s="11" t="s">
        <v>511</v>
      </c>
      <c r="E317" s="19" t="s">
        <v>109</v>
      </c>
      <c r="F317" s="19" t="s">
        <v>95</v>
      </c>
      <c r="G317" s="12" t="s">
        <v>107</v>
      </c>
      <c r="H317" s="20" t="s">
        <v>97</v>
      </c>
      <c r="I317" s="19" t="s">
        <v>98</v>
      </c>
      <c r="J317" s="19"/>
      <c r="K317" s="12"/>
      <c r="L317" s="21"/>
      <c r="M317" s="21" t="str">
        <f aca="false">IF($L317="","",$L317+IF($J317="",Dashboard!$M$9,INDEX(Dashboard!$M$5:$M$9,$J317)))</f>
        <v/>
      </c>
      <c r="N317" s="22" t="str">
        <f aca="true">IF(OR($I317="Attempted",$I317="Revisit"),"DUE",IF($M317="","",IF($M317&lt;=TODAY(),"DUE","")))</f>
        <v/>
      </c>
      <c r="O317" s="11"/>
    </row>
    <row r="318" customFormat="false" ht="15" hidden="false" customHeight="true" outlineLevel="0" collapsed="false">
      <c r="A318" s="12" t="n">
        <v>317</v>
      </c>
      <c r="B318" s="11" t="s">
        <v>512</v>
      </c>
      <c r="C318" s="11" t="s">
        <v>335</v>
      </c>
      <c r="D318" s="11" t="s">
        <v>513</v>
      </c>
      <c r="E318" s="19" t="s">
        <v>94</v>
      </c>
      <c r="F318" s="19" t="s">
        <v>95</v>
      </c>
      <c r="G318" s="12" t="s">
        <v>107</v>
      </c>
      <c r="H318" s="20" t="s">
        <v>97</v>
      </c>
      <c r="I318" s="19" t="s">
        <v>98</v>
      </c>
      <c r="J318" s="19"/>
      <c r="K318" s="12"/>
      <c r="L318" s="21"/>
      <c r="M318" s="21" t="str">
        <f aca="false">IF($L318="","",$L318+IF($J318="",Dashboard!$M$9,INDEX(Dashboard!$M$5:$M$9,$J318)))</f>
        <v/>
      </c>
      <c r="N318" s="22" t="str">
        <f aca="true">IF(OR($I318="Attempted",$I318="Revisit"),"DUE",IF($M318="","",IF($M318&lt;=TODAY(),"DUE","")))</f>
        <v/>
      </c>
      <c r="O318" s="11"/>
    </row>
    <row r="319" customFormat="false" ht="15" hidden="false" customHeight="true" outlineLevel="0" collapsed="false">
      <c r="A319" s="12" t="n">
        <v>318</v>
      </c>
      <c r="B319" s="11" t="s">
        <v>512</v>
      </c>
      <c r="C319" s="11" t="s">
        <v>335</v>
      </c>
      <c r="D319" s="11" t="s">
        <v>514</v>
      </c>
      <c r="E319" s="19" t="s">
        <v>94</v>
      </c>
      <c r="F319" s="19" t="s">
        <v>95</v>
      </c>
      <c r="G319" s="12" t="s">
        <v>107</v>
      </c>
      <c r="H319" s="20" t="s">
        <v>97</v>
      </c>
      <c r="I319" s="19" t="s">
        <v>98</v>
      </c>
      <c r="J319" s="19"/>
      <c r="K319" s="12"/>
      <c r="L319" s="21"/>
      <c r="M319" s="21" t="str">
        <f aca="false">IF($L319="","",$L319+IF($J319="",Dashboard!$M$9,INDEX(Dashboard!$M$5:$M$9,$J319)))</f>
        <v/>
      </c>
      <c r="N319" s="22" t="str">
        <f aca="true">IF(OR($I319="Attempted",$I319="Revisit"),"DUE",IF($M319="","",IF($M319&lt;=TODAY(),"DUE","")))</f>
        <v/>
      </c>
      <c r="O319" s="11"/>
    </row>
    <row r="320" customFormat="false" ht="15" hidden="false" customHeight="true" outlineLevel="0" collapsed="false">
      <c r="A320" s="12" t="n">
        <v>319</v>
      </c>
      <c r="B320" s="11" t="s">
        <v>512</v>
      </c>
      <c r="C320" s="11" t="s">
        <v>335</v>
      </c>
      <c r="D320" s="11" t="s">
        <v>515</v>
      </c>
      <c r="E320" s="19" t="s">
        <v>94</v>
      </c>
      <c r="F320" s="19" t="s">
        <v>121</v>
      </c>
      <c r="G320" s="12" t="s">
        <v>107</v>
      </c>
      <c r="H320" s="20" t="s">
        <v>97</v>
      </c>
      <c r="I320" s="19" t="s">
        <v>98</v>
      </c>
      <c r="J320" s="19"/>
      <c r="K320" s="12"/>
      <c r="L320" s="21"/>
      <c r="M320" s="21" t="str">
        <f aca="false">IF($L320="","",$L320+IF($J320="",Dashboard!$M$9,INDEX(Dashboard!$M$5:$M$9,$J320)))</f>
        <v/>
      </c>
      <c r="N320" s="22" t="str">
        <f aca="true">IF(OR($I320="Attempted",$I320="Revisit"),"DUE",IF($M320="","",IF($M320&lt;=TODAY(),"DUE","")))</f>
        <v/>
      </c>
      <c r="O320" s="11"/>
    </row>
    <row r="321" customFormat="false" ht="15" hidden="false" customHeight="true" outlineLevel="0" collapsed="false">
      <c r="A321" s="12" t="n">
        <v>320</v>
      </c>
      <c r="B321" s="11" t="s">
        <v>512</v>
      </c>
      <c r="C321" s="11" t="s">
        <v>335</v>
      </c>
      <c r="D321" s="11" t="s">
        <v>516</v>
      </c>
      <c r="E321" s="19" t="s">
        <v>109</v>
      </c>
      <c r="F321" s="19" t="s">
        <v>121</v>
      </c>
      <c r="G321" s="12" t="s">
        <v>96</v>
      </c>
      <c r="H321" s="20" t="s">
        <v>97</v>
      </c>
      <c r="I321" s="19" t="s">
        <v>98</v>
      </c>
      <c r="J321" s="19"/>
      <c r="K321" s="12"/>
      <c r="L321" s="21"/>
      <c r="M321" s="21" t="str">
        <f aca="false">IF($L321="","",$L321+IF($J321="",Dashboard!$M$9,INDEX(Dashboard!$M$5:$M$9,$J321)))</f>
        <v/>
      </c>
      <c r="N321" s="22" t="str">
        <f aca="true">IF(OR($I321="Attempted",$I321="Revisit"),"DUE",IF($M321="","",IF($M321&lt;=TODAY(),"DUE","")))</f>
        <v/>
      </c>
      <c r="O321" s="11"/>
    </row>
    <row r="322" customFormat="false" ht="15" hidden="false" customHeight="true" outlineLevel="0" collapsed="false">
      <c r="A322" s="12" t="n">
        <v>321</v>
      </c>
      <c r="B322" s="11" t="s">
        <v>512</v>
      </c>
      <c r="C322" s="11" t="s">
        <v>517</v>
      </c>
      <c r="D322" s="11" t="s">
        <v>518</v>
      </c>
      <c r="E322" s="19" t="s">
        <v>109</v>
      </c>
      <c r="F322" s="19" t="s">
        <v>95</v>
      </c>
      <c r="G322" s="12" t="s">
        <v>107</v>
      </c>
      <c r="H322" s="20" t="s">
        <v>97</v>
      </c>
      <c r="I322" s="19" t="s">
        <v>98</v>
      </c>
      <c r="J322" s="19"/>
      <c r="K322" s="12"/>
      <c r="L322" s="21"/>
      <c r="M322" s="21" t="str">
        <f aca="false">IF($L322="","",$L322+IF($J322="",Dashboard!$M$9,INDEX(Dashboard!$M$5:$M$9,$J322)))</f>
        <v/>
      </c>
      <c r="N322" s="22" t="str">
        <f aca="true">IF(OR($I322="Attempted",$I322="Revisit"),"DUE",IF($M322="","",IF($M322&lt;=TODAY(),"DUE","")))</f>
        <v/>
      </c>
      <c r="O322" s="11"/>
    </row>
    <row r="323" customFormat="false" ht="15" hidden="false" customHeight="true" outlineLevel="0" collapsed="false">
      <c r="A323" s="12" t="n">
        <v>322</v>
      </c>
      <c r="B323" s="11" t="s">
        <v>512</v>
      </c>
      <c r="C323" s="11" t="s">
        <v>517</v>
      </c>
      <c r="D323" s="11" t="s">
        <v>519</v>
      </c>
      <c r="E323" s="19" t="s">
        <v>109</v>
      </c>
      <c r="F323" s="19" t="s">
        <v>121</v>
      </c>
      <c r="G323" s="12" t="s">
        <v>107</v>
      </c>
      <c r="H323" s="20" t="s">
        <v>97</v>
      </c>
      <c r="I323" s="19" t="s">
        <v>98</v>
      </c>
      <c r="J323" s="19"/>
      <c r="K323" s="12"/>
      <c r="L323" s="21"/>
      <c r="M323" s="21" t="str">
        <f aca="false">IF($L323="","",$L323+IF($J323="",Dashboard!$M$9,INDEX(Dashboard!$M$5:$M$9,$J323)))</f>
        <v/>
      </c>
      <c r="N323" s="22" t="str">
        <f aca="true">IF(OR($I323="Attempted",$I323="Revisit"),"DUE",IF($M323="","",IF($M323&lt;=TODAY(),"DUE","")))</f>
        <v/>
      </c>
      <c r="O323" s="11"/>
    </row>
    <row r="324" customFormat="false" ht="15" hidden="false" customHeight="true" outlineLevel="0" collapsed="false">
      <c r="A324" s="12" t="n">
        <v>323</v>
      </c>
      <c r="B324" s="11" t="s">
        <v>512</v>
      </c>
      <c r="C324" s="11" t="s">
        <v>517</v>
      </c>
      <c r="D324" s="11" t="s">
        <v>520</v>
      </c>
      <c r="E324" s="19" t="s">
        <v>109</v>
      </c>
      <c r="F324" s="19" t="s">
        <v>121</v>
      </c>
      <c r="G324" s="12" t="s">
        <v>107</v>
      </c>
      <c r="H324" s="20" t="s">
        <v>97</v>
      </c>
      <c r="I324" s="19" t="s">
        <v>98</v>
      </c>
      <c r="J324" s="19"/>
      <c r="K324" s="12"/>
      <c r="L324" s="21"/>
      <c r="M324" s="21" t="str">
        <f aca="false">IF($L324="","",$L324+IF($J324="",Dashboard!$M$9,INDEX(Dashboard!$M$5:$M$9,$J324)))</f>
        <v/>
      </c>
      <c r="N324" s="22" t="str">
        <f aca="true">IF(OR($I324="Attempted",$I324="Revisit"),"DUE",IF($M324="","",IF($M324&lt;=TODAY(),"DUE","")))</f>
        <v/>
      </c>
      <c r="O324" s="11"/>
    </row>
    <row r="325" customFormat="false" ht="15" hidden="false" customHeight="true" outlineLevel="0" collapsed="false">
      <c r="A325" s="12" t="n">
        <v>324</v>
      </c>
      <c r="B325" s="11" t="s">
        <v>512</v>
      </c>
      <c r="C325" s="11" t="s">
        <v>517</v>
      </c>
      <c r="D325" s="11" t="s">
        <v>521</v>
      </c>
      <c r="E325" s="19" t="s">
        <v>94</v>
      </c>
      <c r="F325" s="19" t="s">
        <v>95</v>
      </c>
      <c r="G325" s="12" t="s">
        <v>107</v>
      </c>
      <c r="H325" s="20" t="s">
        <v>97</v>
      </c>
      <c r="I325" s="19" t="s">
        <v>98</v>
      </c>
      <c r="J325" s="19"/>
      <c r="K325" s="12"/>
      <c r="L325" s="21"/>
      <c r="M325" s="21" t="str">
        <f aca="false">IF($L325="","",$L325+IF($J325="",Dashboard!$M$9,INDEX(Dashboard!$M$5:$M$9,$J325)))</f>
        <v/>
      </c>
      <c r="N325" s="22" t="str">
        <f aca="true">IF(OR($I325="Attempted",$I325="Revisit"),"DUE",IF($M325="","",IF($M325&lt;=TODAY(),"DUE","")))</f>
        <v/>
      </c>
      <c r="O325" s="11"/>
    </row>
    <row r="326" customFormat="false" ht="15" hidden="false" customHeight="true" outlineLevel="0" collapsed="false">
      <c r="A326" s="12" t="n">
        <v>325</v>
      </c>
      <c r="B326" s="11" t="s">
        <v>512</v>
      </c>
      <c r="C326" s="11" t="s">
        <v>517</v>
      </c>
      <c r="D326" s="11" t="s">
        <v>522</v>
      </c>
      <c r="E326" s="19" t="s">
        <v>109</v>
      </c>
      <c r="F326" s="19" t="s">
        <v>121</v>
      </c>
      <c r="G326" s="12" t="s">
        <v>107</v>
      </c>
      <c r="H326" s="20" t="s">
        <v>97</v>
      </c>
      <c r="I326" s="19" t="s">
        <v>98</v>
      </c>
      <c r="J326" s="19"/>
      <c r="K326" s="12"/>
      <c r="L326" s="21"/>
      <c r="M326" s="21" t="str">
        <f aca="false">IF($L326="","",$L326+IF($J326="",Dashboard!$M$9,INDEX(Dashboard!$M$5:$M$9,$J326)))</f>
        <v/>
      </c>
      <c r="N326" s="22" t="str">
        <f aca="true">IF(OR($I326="Attempted",$I326="Revisit"),"DUE",IF($M326="","",IF($M326&lt;=TODAY(),"DUE","")))</f>
        <v/>
      </c>
      <c r="O326" s="11"/>
    </row>
    <row r="327" customFormat="false" ht="15" hidden="false" customHeight="true" outlineLevel="0" collapsed="false">
      <c r="A327" s="12" t="n">
        <v>326</v>
      </c>
      <c r="B327" s="11" t="s">
        <v>512</v>
      </c>
      <c r="C327" s="11" t="s">
        <v>523</v>
      </c>
      <c r="D327" s="11" t="s">
        <v>524</v>
      </c>
      <c r="E327" s="19" t="s">
        <v>109</v>
      </c>
      <c r="F327" s="19" t="s">
        <v>95</v>
      </c>
      <c r="G327" s="12" t="s">
        <v>107</v>
      </c>
      <c r="H327" s="20" t="s">
        <v>97</v>
      </c>
      <c r="I327" s="19" t="s">
        <v>98</v>
      </c>
      <c r="J327" s="19"/>
      <c r="K327" s="12"/>
      <c r="L327" s="21"/>
      <c r="M327" s="21" t="str">
        <f aca="false">IF($L327="","",$L327+IF($J327="",Dashboard!$M$9,INDEX(Dashboard!$M$5:$M$9,$J327)))</f>
        <v/>
      </c>
      <c r="N327" s="22" t="str">
        <f aca="true">IF(OR($I327="Attempted",$I327="Revisit"),"DUE",IF($M327="","",IF($M327&lt;=TODAY(),"DUE","")))</f>
        <v/>
      </c>
      <c r="O327" s="11"/>
    </row>
    <row r="328" customFormat="false" ht="15" hidden="false" customHeight="true" outlineLevel="0" collapsed="false">
      <c r="A328" s="12" t="n">
        <v>327</v>
      </c>
      <c r="B328" s="11" t="s">
        <v>512</v>
      </c>
      <c r="C328" s="11" t="s">
        <v>523</v>
      </c>
      <c r="D328" s="11" t="s">
        <v>525</v>
      </c>
      <c r="E328" s="19" t="s">
        <v>135</v>
      </c>
      <c r="F328" s="19" t="s">
        <v>136</v>
      </c>
      <c r="G328" s="12" t="s">
        <v>107</v>
      </c>
      <c r="H328" s="20" t="s">
        <v>97</v>
      </c>
      <c r="I328" s="19" t="s">
        <v>98</v>
      </c>
      <c r="J328" s="19"/>
      <c r="K328" s="12"/>
      <c r="L328" s="21"/>
      <c r="M328" s="21" t="str">
        <f aca="false">IF($L328="","",$L328+IF($J328="",Dashboard!$M$9,INDEX(Dashboard!$M$5:$M$9,$J328)))</f>
        <v/>
      </c>
      <c r="N328" s="22" t="str">
        <f aca="true">IF(OR($I328="Attempted",$I328="Revisit"),"DUE",IF($M328="","",IF($M328&lt;=TODAY(),"DUE","")))</f>
        <v/>
      </c>
      <c r="O328" s="11"/>
    </row>
    <row r="329" customFormat="false" ht="15" hidden="false" customHeight="true" outlineLevel="0" collapsed="false">
      <c r="A329" s="12" t="n">
        <v>328</v>
      </c>
      <c r="B329" s="11" t="s">
        <v>512</v>
      </c>
      <c r="C329" s="11" t="s">
        <v>523</v>
      </c>
      <c r="D329" s="11" t="s">
        <v>526</v>
      </c>
      <c r="E329" s="19" t="s">
        <v>109</v>
      </c>
      <c r="F329" s="19" t="s">
        <v>95</v>
      </c>
      <c r="G329" s="12" t="s">
        <v>96</v>
      </c>
      <c r="H329" s="20" t="s">
        <v>97</v>
      </c>
      <c r="I329" s="19" t="s">
        <v>98</v>
      </c>
      <c r="J329" s="19"/>
      <c r="K329" s="12"/>
      <c r="L329" s="21"/>
      <c r="M329" s="21" t="str">
        <f aca="false">IF($L329="","",$L329+IF($J329="",Dashboard!$M$9,INDEX(Dashboard!$M$5:$M$9,$J329)))</f>
        <v/>
      </c>
      <c r="N329" s="22" t="str">
        <f aca="true">IF(OR($I329="Attempted",$I329="Revisit"),"DUE",IF($M329="","",IF($M329&lt;=TODAY(),"DUE","")))</f>
        <v/>
      </c>
      <c r="O329" s="11"/>
    </row>
    <row r="330" customFormat="false" ht="15" hidden="false" customHeight="true" outlineLevel="0" collapsed="false">
      <c r="A330" s="12" t="n">
        <v>329</v>
      </c>
      <c r="B330" s="11" t="s">
        <v>512</v>
      </c>
      <c r="C330" s="11" t="s">
        <v>523</v>
      </c>
      <c r="D330" s="11" t="s">
        <v>527</v>
      </c>
      <c r="E330" s="19" t="s">
        <v>109</v>
      </c>
      <c r="F330" s="19" t="s">
        <v>121</v>
      </c>
      <c r="G330" s="12" t="s">
        <v>96</v>
      </c>
      <c r="H330" s="20" t="s">
        <v>97</v>
      </c>
      <c r="I330" s="19" t="s">
        <v>98</v>
      </c>
      <c r="J330" s="19"/>
      <c r="K330" s="12"/>
      <c r="L330" s="21"/>
      <c r="M330" s="21" t="str">
        <f aca="false">IF($L330="","",$L330+IF($J330="",Dashboard!$M$9,INDEX(Dashboard!$M$5:$M$9,$J330)))</f>
        <v/>
      </c>
      <c r="N330" s="22" t="str">
        <f aca="true">IF(OR($I330="Attempted",$I330="Revisit"),"DUE",IF($M330="","",IF($M330&lt;=TODAY(),"DUE","")))</f>
        <v/>
      </c>
      <c r="O330" s="11"/>
    </row>
    <row r="331" customFormat="false" ht="15" hidden="false" customHeight="true" outlineLevel="0" collapsed="false">
      <c r="A331" s="12" t="n">
        <v>330</v>
      </c>
      <c r="B331" s="11" t="s">
        <v>512</v>
      </c>
      <c r="C331" s="11" t="s">
        <v>523</v>
      </c>
      <c r="D331" s="11" t="s">
        <v>528</v>
      </c>
      <c r="E331" s="19" t="s">
        <v>109</v>
      </c>
      <c r="F331" s="19" t="s">
        <v>121</v>
      </c>
      <c r="G331" s="12" t="s">
        <v>96</v>
      </c>
      <c r="H331" s="20" t="s">
        <v>97</v>
      </c>
      <c r="I331" s="19" t="s">
        <v>98</v>
      </c>
      <c r="J331" s="19"/>
      <c r="K331" s="12"/>
      <c r="L331" s="21"/>
      <c r="M331" s="21" t="str">
        <f aca="false">IF($L331="","",$L331+IF($J331="",Dashboard!$M$9,INDEX(Dashboard!$M$5:$M$9,$J331)))</f>
        <v/>
      </c>
      <c r="N331" s="22" t="str">
        <f aca="true">IF(OR($I331="Attempted",$I331="Revisit"),"DUE",IF($M331="","",IF($M331&lt;=TODAY(),"DUE","")))</f>
        <v/>
      </c>
      <c r="O331" s="11"/>
    </row>
    <row r="332" customFormat="false" ht="15" hidden="false" customHeight="true" outlineLevel="0" collapsed="false">
      <c r="A332" s="12" t="n">
        <v>331</v>
      </c>
      <c r="B332" s="11" t="s">
        <v>512</v>
      </c>
      <c r="C332" s="11" t="s">
        <v>529</v>
      </c>
      <c r="D332" s="11" t="s">
        <v>530</v>
      </c>
      <c r="E332" s="19" t="s">
        <v>94</v>
      </c>
      <c r="F332" s="19" t="s">
        <v>95</v>
      </c>
      <c r="G332" s="12" t="s">
        <v>107</v>
      </c>
      <c r="H332" s="20" t="s">
        <v>97</v>
      </c>
      <c r="I332" s="19" t="s">
        <v>98</v>
      </c>
      <c r="J332" s="19"/>
      <c r="K332" s="12"/>
      <c r="L332" s="21"/>
      <c r="M332" s="21" t="str">
        <f aca="false">IF($L332="","",$L332+IF($J332="",Dashboard!$M$9,INDEX(Dashboard!$M$5:$M$9,$J332)))</f>
        <v/>
      </c>
      <c r="N332" s="22" t="str">
        <f aca="true">IF(OR($I332="Attempted",$I332="Revisit"),"DUE",IF($M332="","",IF($M332&lt;=TODAY(),"DUE","")))</f>
        <v/>
      </c>
      <c r="O332" s="11"/>
    </row>
    <row r="333" customFormat="false" ht="15" hidden="false" customHeight="true" outlineLevel="0" collapsed="false">
      <c r="A333" s="12" t="n">
        <v>332</v>
      </c>
      <c r="B333" s="11" t="s">
        <v>512</v>
      </c>
      <c r="C333" s="11" t="s">
        <v>529</v>
      </c>
      <c r="D333" s="11" t="s">
        <v>531</v>
      </c>
      <c r="E333" s="19" t="s">
        <v>94</v>
      </c>
      <c r="F333" s="19" t="s">
        <v>95</v>
      </c>
      <c r="G333" s="12" t="s">
        <v>107</v>
      </c>
      <c r="H333" s="20" t="s">
        <v>97</v>
      </c>
      <c r="I333" s="19" t="s">
        <v>98</v>
      </c>
      <c r="J333" s="19"/>
      <c r="K333" s="12"/>
      <c r="L333" s="21"/>
      <c r="M333" s="21" t="str">
        <f aca="false">IF($L333="","",$L333+IF($J333="",Dashboard!$M$9,INDEX(Dashboard!$M$5:$M$9,$J333)))</f>
        <v/>
      </c>
      <c r="N333" s="22" t="str">
        <f aca="true">IF(OR($I333="Attempted",$I333="Revisit"),"DUE",IF($M333="","",IF($M333&lt;=TODAY(),"DUE","")))</f>
        <v/>
      </c>
      <c r="O333" s="11"/>
    </row>
    <row r="334" customFormat="false" ht="15" hidden="false" customHeight="true" outlineLevel="0" collapsed="false">
      <c r="A334" s="12" t="n">
        <v>333</v>
      </c>
      <c r="B334" s="11" t="s">
        <v>512</v>
      </c>
      <c r="C334" s="11" t="s">
        <v>529</v>
      </c>
      <c r="D334" s="11" t="s">
        <v>532</v>
      </c>
      <c r="E334" s="19" t="s">
        <v>94</v>
      </c>
      <c r="F334" s="19" t="s">
        <v>121</v>
      </c>
      <c r="G334" s="12" t="s">
        <v>107</v>
      </c>
      <c r="H334" s="20" t="s">
        <v>97</v>
      </c>
      <c r="I334" s="19" t="s">
        <v>98</v>
      </c>
      <c r="J334" s="19"/>
      <c r="K334" s="12"/>
      <c r="L334" s="21"/>
      <c r="M334" s="21" t="str">
        <f aca="false">IF($L334="","",$L334+IF($J334="",Dashboard!$M$9,INDEX(Dashboard!$M$5:$M$9,$J334)))</f>
        <v/>
      </c>
      <c r="N334" s="22" t="str">
        <f aca="true">IF(OR($I334="Attempted",$I334="Revisit"),"DUE",IF($M334="","",IF($M334&lt;=TODAY(),"DUE","")))</f>
        <v/>
      </c>
      <c r="O334" s="11"/>
    </row>
    <row r="335" customFormat="false" ht="15" hidden="false" customHeight="true" outlineLevel="0" collapsed="false">
      <c r="A335" s="12" t="n">
        <v>334</v>
      </c>
      <c r="B335" s="11" t="s">
        <v>512</v>
      </c>
      <c r="C335" s="11" t="s">
        <v>529</v>
      </c>
      <c r="D335" s="11" t="s">
        <v>533</v>
      </c>
      <c r="E335" s="19" t="s">
        <v>94</v>
      </c>
      <c r="F335" s="19" t="s">
        <v>121</v>
      </c>
      <c r="G335" s="12" t="s">
        <v>107</v>
      </c>
      <c r="H335" s="20" t="s">
        <v>97</v>
      </c>
      <c r="I335" s="19" t="s">
        <v>98</v>
      </c>
      <c r="J335" s="19"/>
      <c r="K335" s="12"/>
      <c r="L335" s="21"/>
      <c r="M335" s="21" t="str">
        <f aca="false">IF($L335="","",$L335+IF($J335="",Dashboard!$M$9,INDEX(Dashboard!$M$5:$M$9,$J335)))</f>
        <v/>
      </c>
      <c r="N335" s="22" t="str">
        <f aca="true">IF(OR($I335="Attempted",$I335="Revisit"),"DUE",IF($M335="","",IF($M335&lt;=TODAY(),"DUE","")))</f>
        <v/>
      </c>
      <c r="O335" s="11"/>
    </row>
    <row r="336" customFormat="false" ht="15" hidden="false" customHeight="true" outlineLevel="0" collapsed="false">
      <c r="A336" s="12" t="n">
        <v>335</v>
      </c>
      <c r="B336" s="11" t="s">
        <v>512</v>
      </c>
      <c r="C336" s="11" t="s">
        <v>534</v>
      </c>
      <c r="D336" s="11" t="s">
        <v>535</v>
      </c>
      <c r="E336" s="19" t="s">
        <v>94</v>
      </c>
      <c r="F336" s="19" t="s">
        <v>95</v>
      </c>
      <c r="G336" s="12" t="s">
        <v>107</v>
      </c>
      <c r="H336" s="20" t="s">
        <v>97</v>
      </c>
      <c r="I336" s="19" t="s">
        <v>98</v>
      </c>
      <c r="J336" s="19"/>
      <c r="K336" s="12"/>
      <c r="L336" s="21"/>
      <c r="M336" s="21" t="str">
        <f aca="false">IF($L336="","",$L336+IF($J336="",Dashboard!$M$9,INDEX(Dashboard!$M$5:$M$9,$J336)))</f>
        <v/>
      </c>
      <c r="N336" s="22" t="str">
        <f aca="true">IF(OR($I336="Attempted",$I336="Revisit"),"DUE",IF($M336="","",IF($M336&lt;=TODAY(),"DUE","")))</f>
        <v/>
      </c>
      <c r="O336" s="11"/>
    </row>
    <row r="337" customFormat="false" ht="15" hidden="false" customHeight="true" outlineLevel="0" collapsed="false">
      <c r="A337" s="12" t="n">
        <v>336</v>
      </c>
      <c r="B337" s="11" t="s">
        <v>512</v>
      </c>
      <c r="C337" s="11" t="s">
        <v>534</v>
      </c>
      <c r="D337" s="11" t="s">
        <v>536</v>
      </c>
      <c r="E337" s="19" t="s">
        <v>94</v>
      </c>
      <c r="F337" s="19" t="s">
        <v>95</v>
      </c>
      <c r="G337" s="12" t="s">
        <v>107</v>
      </c>
      <c r="H337" s="20" t="s">
        <v>97</v>
      </c>
      <c r="I337" s="19" t="s">
        <v>98</v>
      </c>
      <c r="J337" s="19"/>
      <c r="K337" s="12"/>
      <c r="L337" s="21"/>
      <c r="M337" s="21" t="str">
        <f aca="false">IF($L337="","",$L337+IF($J337="",Dashboard!$M$9,INDEX(Dashboard!$M$5:$M$9,$J337)))</f>
        <v/>
      </c>
      <c r="N337" s="22" t="str">
        <f aca="true">IF(OR($I337="Attempted",$I337="Revisit"),"DUE",IF($M337="","",IF($M337&lt;=TODAY(),"DUE","")))</f>
        <v/>
      </c>
      <c r="O337" s="11"/>
    </row>
    <row r="338" customFormat="false" ht="15" hidden="false" customHeight="true" outlineLevel="0" collapsed="false">
      <c r="A338" s="12" t="n">
        <v>337</v>
      </c>
      <c r="B338" s="11" t="s">
        <v>512</v>
      </c>
      <c r="C338" s="11" t="s">
        <v>534</v>
      </c>
      <c r="D338" s="11" t="s">
        <v>537</v>
      </c>
      <c r="E338" s="19" t="s">
        <v>94</v>
      </c>
      <c r="F338" s="19" t="s">
        <v>121</v>
      </c>
      <c r="G338" s="12" t="s">
        <v>107</v>
      </c>
      <c r="H338" s="20" t="s">
        <v>97</v>
      </c>
      <c r="I338" s="19" t="s">
        <v>98</v>
      </c>
      <c r="J338" s="19"/>
      <c r="K338" s="12"/>
      <c r="L338" s="21"/>
      <c r="M338" s="21" t="str">
        <f aca="false">IF($L338="","",$L338+IF($J338="",Dashboard!$M$9,INDEX(Dashboard!$M$5:$M$9,$J338)))</f>
        <v/>
      </c>
      <c r="N338" s="22" t="str">
        <f aca="true">IF(OR($I338="Attempted",$I338="Revisit"),"DUE",IF($M338="","",IF($M338&lt;=TODAY(),"DUE","")))</f>
        <v/>
      </c>
      <c r="O338" s="11"/>
    </row>
    <row r="339" customFormat="false" ht="15" hidden="false" customHeight="true" outlineLevel="0" collapsed="false">
      <c r="A339" s="12" t="n">
        <v>338</v>
      </c>
      <c r="B339" s="11" t="s">
        <v>512</v>
      </c>
      <c r="C339" s="11" t="s">
        <v>534</v>
      </c>
      <c r="D339" s="11" t="s">
        <v>538</v>
      </c>
      <c r="E339" s="19" t="s">
        <v>94</v>
      </c>
      <c r="F339" s="19" t="s">
        <v>121</v>
      </c>
      <c r="G339" s="12" t="s">
        <v>107</v>
      </c>
      <c r="H339" s="20" t="s">
        <v>97</v>
      </c>
      <c r="I339" s="19" t="s">
        <v>98</v>
      </c>
      <c r="J339" s="19"/>
      <c r="K339" s="12"/>
      <c r="L339" s="21"/>
      <c r="M339" s="21" t="str">
        <f aca="false">IF($L339="","",$L339+IF($J339="",Dashboard!$M$9,INDEX(Dashboard!$M$5:$M$9,$J339)))</f>
        <v/>
      </c>
      <c r="N339" s="22" t="str">
        <f aca="true">IF(OR($I339="Attempted",$I339="Revisit"),"DUE",IF($M339="","",IF($M339&lt;=TODAY(),"DUE","")))</f>
        <v/>
      </c>
      <c r="O339" s="11"/>
    </row>
    <row r="340" customFormat="false" ht="15" hidden="false" customHeight="true" outlineLevel="0" collapsed="false">
      <c r="A340" s="12" t="n">
        <v>339</v>
      </c>
      <c r="B340" s="11" t="s">
        <v>512</v>
      </c>
      <c r="C340" s="11" t="s">
        <v>534</v>
      </c>
      <c r="D340" s="11" t="s">
        <v>539</v>
      </c>
      <c r="E340" s="19" t="s">
        <v>109</v>
      </c>
      <c r="F340" s="19" t="s">
        <v>121</v>
      </c>
      <c r="G340" s="12" t="s">
        <v>107</v>
      </c>
      <c r="H340" s="20" t="s">
        <v>97</v>
      </c>
      <c r="I340" s="19" t="s">
        <v>98</v>
      </c>
      <c r="J340" s="19"/>
      <c r="K340" s="12"/>
      <c r="L340" s="21"/>
      <c r="M340" s="21" t="str">
        <f aca="false">IF($L340="","",$L340+IF($J340="",Dashboard!$M$9,INDEX(Dashboard!$M$5:$M$9,$J340)))</f>
        <v/>
      </c>
      <c r="N340" s="22" t="str">
        <f aca="true">IF(OR($I340="Attempted",$I340="Revisit"),"DUE",IF($M340="","",IF($M340&lt;=TODAY(),"DUE","")))</f>
        <v/>
      </c>
      <c r="O340" s="11"/>
    </row>
    <row r="341" customFormat="false" ht="15" hidden="false" customHeight="true" outlineLevel="0" collapsed="false">
      <c r="A341" s="12" t="n">
        <v>340</v>
      </c>
      <c r="B341" s="11" t="s">
        <v>512</v>
      </c>
      <c r="C341" s="11" t="s">
        <v>534</v>
      </c>
      <c r="D341" s="11" t="s">
        <v>540</v>
      </c>
      <c r="E341" s="19" t="s">
        <v>109</v>
      </c>
      <c r="F341" s="19" t="s">
        <v>121</v>
      </c>
      <c r="G341" s="12" t="s">
        <v>107</v>
      </c>
      <c r="H341" s="20" t="s">
        <v>97</v>
      </c>
      <c r="I341" s="19" t="s">
        <v>98</v>
      </c>
      <c r="J341" s="19"/>
      <c r="K341" s="12"/>
      <c r="L341" s="21"/>
      <c r="M341" s="21" t="str">
        <f aca="false">IF($L341="","",$L341+IF($J341="",Dashboard!$M$9,INDEX(Dashboard!$M$5:$M$9,$J341)))</f>
        <v/>
      </c>
      <c r="N341" s="22" t="str">
        <f aca="true">IF(OR($I341="Attempted",$I341="Revisit"),"DUE",IF($M341="","",IF($M341&lt;=TODAY(),"DUE","")))</f>
        <v/>
      </c>
      <c r="O341" s="11"/>
    </row>
    <row r="342" customFormat="false" ht="15" hidden="false" customHeight="true" outlineLevel="0" collapsed="false">
      <c r="A342" s="12" t="n">
        <v>341</v>
      </c>
      <c r="B342" s="11" t="s">
        <v>512</v>
      </c>
      <c r="C342" s="11" t="s">
        <v>534</v>
      </c>
      <c r="D342" s="11" t="s">
        <v>541</v>
      </c>
      <c r="E342" s="19" t="s">
        <v>94</v>
      </c>
      <c r="F342" s="19" t="s">
        <v>121</v>
      </c>
      <c r="G342" s="12" t="s">
        <v>107</v>
      </c>
      <c r="H342" s="20" t="s">
        <v>97</v>
      </c>
      <c r="I342" s="19" t="s">
        <v>98</v>
      </c>
      <c r="J342" s="19"/>
      <c r="K342" s="12"/>
      <c r="L342" s="21"/>
      <c r="M342" s="21" t="str">
        <f aca="false">IF($L342="","",$L342+IF($J342="",Dashboard!$M$9,INDEX(Dashboard!$M$5:$M$9,$J342)))</f>
        <v/>
      </c>
      <c r="N342" s="22" t="str">
        <f aca="true">IF(OR($I342="Attempted",$I342="Revisit"),"DUE",IF($M342="","",IF($M342&lt;=TODAY(),"DUE","")))</f>
        <v/>
      </c>
      <c r="O342" s="11"/>
    </row>
    <row r="343" customFormat="false" ht="15" hidden="false" customHeight="true" outlineLevel="0" collapsed="false">
      <c r="A343" s="12" t="n">
        <v>342</v>
      </c>
      <c r="B343" s="11" t="s">
        <v>512</v>
      </c>
      <c r="C343" s="11" t="s">
        <v>542</v>
      </c>
      <c r="D343" s="11" t="s">
        <v>543</v>
      </c>
      <c r="E343" s="19" t="s">
        <v>94</v>
      </c>
      <c r="F343" s="19" t="s">
        <v>95</v>
      </c>
      <c r="G343" s="12" t="s">
        <v>107</v>
      </c>
      <c r="H343" s="20" t="s">
        <v>97</v>
      </c>
      <c r="I343" s="19" t="s">
        <v>98</v>
      </c>
      <c r="J343" s="19"/>
      <c r="K343" s="12"/>
      <c r="L343" s="21"/>
      <c r="M343" s="21" t="str">
        <f aca="false">IF($L343="","",$L343+IF($J343="",Dashboard!$M$9,INDEX(Dashboard!$M$5:$M$9,$J343)))</f>
        <v/>
      </c>
      <c r="N343" s="22" t="str">
        <f aca="true">IF(OR($I343="Attempted",$I343="Revisit"),"DUE",IF($M343="","",IF($M343&lt;=TODAY(),"DUE","")))</f>
        <v/>
      </c>
      <c r="O343" s="11"/>
    </row>
    <row r="344" customFormat="false" ht="15" hidden="false" customHeight="true" outlineLevel="0" collapsed="false">
      <c r="A344" s="12" t="n">
        <v>343</v>
      </c>
      <c r="B344" s="11" t="s">
        <v>512</v>
      </c>
      <c r="C344" s="11" t="s">
        <v>542</v>
      </c>
      <c r="D344" s="11" t="s">
        <v>544</v>
      </c>
      <c r="E344" s="19" t="s">
        <v>109</v>
      </c>
      <c r="F344" s="19" t="s">
        <v>121</v>
      </c>
      <c r="G344" s="12" t="s">
        <v>107</v>
      </c>
      <c r="H344" s="20" t="s">
        <v>97</v>
      </c>
      <c r="I344" s="19" t="s">
        <v>98</v>
      </c>
      <c r="J344" s="19"/>
      <c r="K344" s="12"/>
      <c r="L344" s="21"/>
      <c r="M344" s="21" t="str">
        <f aca="false">IF($L344="","",$L344+IF($J344="",Dashboard!$M$9,INDEX(Dashboard!$M$5:$M$9,$J344)))</f>
        <v/>
      </c>
      <c r="N344" s="22" t="str">
        <f aca="true">IF(OR($I344="Attempted",$I344="Revisit"),"DUE",IF($M344="","",IF($M344&lt;=TODAY(),"DUE","")))</f>
        <v/>
      </c>
      <c r="O344" s="11"/>
    </row>
    <row r="345" customFormat="false" ht="15" hidden="false" customHeight="true" outlineLevel="0" collapsed="false">
      <c r="A345" s="12" t="n">
        <v>344</v>
      </c>
      <c r="B345" s="11" t="s">
        <v>512</v>
      </c>
      <c r="C345" s="11" t="s">
        <v>542</v>
      </c>
      <c r="D345" s="11" t="s">
        <v>545</v>
      </c>
      <c r="E345" s="19" t="s">
        <v>109</v>
      </c>
      <c r="F345" s="19" t="s">
        <v>121</v>
      </c>
      <c r="G345" s="12" t="s">
        <v>107</v>
      </c>
      <c r="H345" s="20" t="s">
        <v>97</v>
      </c>
      <c r="I345" s="19" t="s">
        <v>98</v>
      </c>
      <c r="J345" s="19"/>
      <c r="K345" s="12"/>
      <c r="L345" s="21"/>
      <c r="M345" s="21" t="str">
        <f aca="false">IF($L345="","",$L345+IF($J345="",Dashboard!$M$9,INDEX(Dashboard!$M$5:$M$9,$J345)))</f>
        <v/>
      </c>
      <c r="N345" s="22" t="str">
        <f aca="true">IF(OR($I345="Attempted",$I345="Revisit"),"DUE",IF($M345="","",IF($M345&lt;=TODAY(),"DUE","")))</f>
        <v/>
      </c>
      <c r="O345" s="11"/>
    </row>
    <row r="346" customFormat="false" ht="15" hidden="false" customHeight="true" outlineLevel="0" collapsed="false">
      <c r="A346" s="12" t="n">
        <v>345</v>
      </c>
      <c r="B346" s="11" t="s">
        <v>512</v>
      </c>
      <c r="C346" s="11" t="s">
        <v>542</v>
      </c>
      <c r="D346" s="11" t="s">
        <v>546</v>
      </c>
      <c r="E346" s="19" t="s">
        <v>109</v>
      </c>
      <c r="F346" s="19" t="s">
        <v>121</v>
      </c>
      <c r="G346" s="12" t="s">
        <v>107</v>
      </c>
      <c r="H346" s="20" t="s">
        <v>97</v>
      </c>
      <c r="I346" s="19" t="s">
        <v>98</v>
      </c>
      <c r="J346" s="19"/>
      <c r="K346" s="12"/>
      <c r="L346" s="21"/>
      <c r="M346" s="21" t="str">
        <f aca="false">IF($L346="","",$L346+IF($J346="",Dashboard!$M$9,INDEX(Dashboard!$M$5:$M$9,$J346)))</f>
        <v/>
      </c>
      <c r="N346" s="22" t="str">
        <f aca="true">IF(OR($I346="Attempted",$I346="Revisit"),"DUE",IF($M346="","",IF($M346&lt;=TODAY(),"DUE","")))</f>
        <v/>
      </c>
      <c r="O346" s="11"/>
    </row>
    <row r="347" customFormat="false" ht="15" hidden="false" customHeight="true" outlineLevel="0" collapsed="false">
      <c r="A347" s="12" t="n">
        <v>346</v>
      </c>
      <c r="B347" s="11" t="s">
        <v>512</v>
      </c>
      <c r="C347" s="11" t="s">
        <v>542</v>
      </c>
      <c r="D347" s="11" t="s">
        <v>547</v>
      </c>
      <c r="E347" s="19" t="s">
        <v>94</v>
      </c>
      <c r="F347" s="19" t="s">
        <v>95</v>
      </c>
      <c r="G347" s="12" t="s">
        <v>107</v>
      </c>
      <c r="H347" s="20" t="s">
        <v>97</v>
      </c>
      <c r="I347" s="19" t="s">
        <v>98</v>
      </c>
      <c r="J347" s="19"/>
      <c r="K347" s="12"/>
      <c r="L347" s="21"/>
      <c r="M347" s="21" t="str">
        <f aca="false">IF($L347="","",$L347+IF($J347="",Dashboard!$M$9,INDEX(Dashboard!$M$5:$M$9,$J347)))</f>
        <v/>
      </c>
      <c r="N347" s="22" t="str">
        <f aca="true">IF(OR($I347="Attempted",$I347="Revisit"),"DUE",IF($M347="","",IF($M347&lt;=TODAY(),"DUE","")))</f>
        <v/>
      </c>
      <c r="O347" s="11"/>
    </row>
    <row r="348" customFormat="false" ht="15" hidden="false" customHeight="true" outlineLevel="0" collapsed="false">
      <c r="A348" s="12" t="n">
        <v>347</v>
      </c>
      <c r="B348" s="11" t="s">
        <v>512</v>
      </c>
      <c r="C348" s="11" t="s">
        <v>542</v>
      </c>
      <c r="D348" s="11" t="s">
        <v>548</v>
      </c>
      <c r="E348" s="19" t="s">
        <v>135</v>
      </c>
      <c r="F348" s="19" t="s">
        <v>136</v>
      </c>
      <c r="G348" s="12" t="s">
        <v>107</v>
      </c>
      <c r="H348" s="20" t="s">
        <v>97</v>
      </c>
      <c r="I348" s="19" t="s">
        <v>98</v>
      </c>
      <c r="J348" s="19"/>
      <c r="K348" s="12"/>
      <c r="L348" s="21"/>
      <c r="M348" s="21" t="str">
        <f aca="false">IF($L348="","",$L348+IF($J348="",Dashboard!$M$9,INDEX(Dashboard!$M$5:$M$9,$J348)))</f>
        <v/>
      </c>
      <c r="N348" s="22" t="str">
        <f aca="true">IF(OR($I348="Attempted",$I348="Revisit"),"DUE",IF($M348="","",IF($M348&lt;=TODAY(),"DUE","")))</f>
        <v/>
      </c>
      <c r="O348" s="11"/>
    </row>
    <row r="349" customFormat="false" ht="15" hidden="false" customHeight="true" outlineLevel="0" collapsed="false">
      <c r="A349" s="12" t="n">
        <v>348</v>
      </c>
      <c r="B349" s="11" t="s">
        <v>512</v>
      </c>
      <c r="C349" s="11" t="s">
        <v>549</v>
      </c>
      <c r="D349" s="11" t="s">
        <v>550</v>
      </c>
      <c r="E349" s="19" t="s">
        <v>109</v>
      </c>
      <c r="F349" s="19" t="s">
        <v>95</v>
      </c>
      <c r="G349" s="12" t="s">
        <v>107</v>
      </c>
      <c r="H349" s="20" t="s">
        <v>97</v>
      </c>
      <c r="I349" s="19" t="s">
        <v>98</v>
      </c>
      <c r="J349" s="19"/>
      <c r="K349" s="12"/>
      <c r="L349" s="21"/>
      <c r="M349" s="21" t="str">
        <f aca="false">IF($L349="","",$L349+IF($J349="",Dashboard!$M$9,INDEX(Dashboard!$M$5:$M$9,$J349)))</f>
        <v/>
      </c>
      <c r="N349" s="22" t="str">
        <f aca="true">IF(OR($I349="Attempted",$I349="Revisit"),"DUE",IF($M349="","",IF($M349&lt;=TODAY(),"DUE","")))</f>
        <v/>
      </c>
      <c r="O349" s="11"/>
    </row>
    <row r="350" customFormat="false" ht="15" hidden="false" customHeight="true" outlineLevel="0" collapsed="false">
      <c r="A350" s="12" t="n">
        <v>349</v>
      </c>
      <c r="B350" s="11" t="s">
        <v>512</v>
      </c>
      <c r="C350" s="11" t="s">
        <v>549</v>
      </c>
      <c r="D350" s="11" t="s">
        <v>551</v>
      </c>
      <c r="E350" s="19" t="s">
        <v>109</v>
      </c>
      <c r="F350" s="19" t="s">
        <v>95</v>
      </c>
      <c r="G350" s="12" t="s">
        <v>107</v>
      </c>
      <c r="H350" s="20" t="s">
        <v>97</v>
      </c>
      <c r="I350" s="19" t="s">
        <v>98</v>
      </c>
      <c r="J350" s="19"/>
      <c r="K350" s="12"/>
      <c r="L350" s="21"/>
      <c r="M350" s="21" t="str">
        <f aca="false">IF($L350="","",$L350+IF($J350="",Dashboard!$M$9,INDEX(Dashboard!$M$5:$M$9,$J350)))</f>
        <v/>
      </c>
      <c r="N350" s="22" t="str">
        <f aca="true">IF(OR($I350="Attempted",$I350="Revisit"),"DUE",IF($M350="","",IF($M350&lt;=TODAY(),"DUE","")))</f>
        <v/>
      </c>
      <c r="O350" s="11"/>
    </row>
    <row r="351" customFormat="false" ht="15" hidden="false" customHeight="true" outlineLevel="0" collapsed="false">
      <c r="A351" s="12" t="n">
        <v>350</v>
      </c>
      <c r="B351" s="11" t="s">
        <v>512</v>
      </c>
      <c r="C351" s="11" t="s">
        <v>552</v>
      </c>
      <c r="D351" s="11" t="s">
        <v>553</v>
      </c>
      <c r="E351" s="19" t="s">
        <v>109</v>
      </c>
      <c r="F351" s="19" t="s">
        <v>95</v>
      </c>
      <c r="G351" s="12" t="s">
        <v>107</v>
      </c>
      <c r="H351" s="20" t="s">
        <v>97</v>
      </c>
      <c r="I351" s="19" t="s">
        <v>98</v>
      </c>
      <c r="J351" s="19"/>
      <c r="K351" s="12"/>
      <c r="L351" s="21"/>
      <c r="M351" s="21" t="str">
        <f aca="false">IF($L351="","",$L351+IF($J351="",Dashboard!$M$9,INDEX(Dashboard!$M$5:$M$9,$J351)))</f>
        <v/>
      </c>
      <c r="N351" s="22" t="str">
        <f aca="true">IF(OR($I351="Attempted",$I351="Revisit"),"DUE",IF($M351="","",IF($M351&lt;=TODAY(),"DUE","")))</f>
        <v/>
      </c>
      <c r="O351" s="11"/>
    </row>
    <row r="352" customFormat="false" ht="15" hidden="false" customHeight="true" outlineLevel="0" collapsed="false">
      <c r="A352" s="12" t="n">
        <v>351</v>
      </c>
      <c r="B352" s="11" t="s">
        <v>512</v>
      </c>
      <c r="C352" s="11" t="s">
        <v>552</v>
      </c>
      <c r="D352" s="11" t="s">
        <v>554</v>
      </c>
      <c r="E352" s="19" t="s">
        <v>109</v>
      </c>
      <c r="F352" s="19" t="s">
        <v>95</v>
      </c>
      <c r="G352" s="12" t="s">
        <v>107</v>
      </c>
      <c r="H352" s="20" t="s">
        <v>97</v>
      </c>
      <c r="I352" s="19" t="s">
        <v>98</v>
      </c>
      <c r="J352" s="19"/>
      <c r="K352" s="12"/>
      <c r="L352" s="21"/>
      <c r="M352" s="21" t="str">
        <f aca="false">IF($L352="","",$L352+IF($J352="",Dashboard!$M$9,INDEX(Dashboard!$M$5:$M$9,$J352)))</f>
        <v/>
      </c>
      <c r="N352" s="22" t="str">
        <f aca="true">IF(OR($I352="Attempted",$I352="Revisit"),"DUE",IF($M352="","",IF($M352&lt;=TODAY(),"DUE","")))</f>
        <v/>
      </c>
      <c r="O352" s="11"/>
    </row>
    <row r="353" customFormat="false" ht="15" hidden="false" customHeight="true" outlineLevel="0" collapsed="false">
      <c r="A353" s="12" t="n">
        <v>352</v>
      </c>
      <c r="B353" s="11" t="s">
        <v>512</v>
      </c>
      <c r="C353" s="11" t="s">
        <v>552</v>
      </c>
      <c r="D353" s="11" t="s">
        <v>555</v>
      </c>
      <c r="E353" s="19" t="s">
        <v>109</v>
      </c>
      <c r="F353" s="19" t="s">
        <v>121</v>
      </c>
      <c r="G353" s="12" t="s">
        <v>107</v>
      </c>
      <c r="H353" s="20" t="s">
        <v>97</v>
      </c>
      <c r="I353" s="19" t="s">
        <v>98</v>
      </c>
      <c r="J353" s="19"/>
      <c r="K353" s="12"/>
      <c r="L353" s="21"/>
      <c r="M353" s="21" t="str">
        <f aca="false">IF($L353="","",$L353+IF($J353="",Dashboard!$M$9,INDEX(Dashboard!$M$5:$M$9,$J353)))</f>
        <v/>
      </c>
      <c r="N353" s="22" t="str">
        <f aca="true">IF(OR($I353="Attempted",$I353="Revisit"),"DUE",IF($M353="","",IF($M353&lt;=TODAY(),"DUE","")))</f>
        <v/>
      </c>
      <c r="O353" s="11"/>
    </row>
    <row r="354" customFormat="false" ht="15" hidden="false" customHeight="true" outlineLevel="0" collapsed="false">
      <c r="A354" s="12" t="n">
        <v>353</v>
      </c>
      <c r="B354" s="11" t="s">
        <v>512</v>
      </c>
      <c r="C354" s="11" t="s">
        <v>347</v>
      </c>
      <c r="D354" s="11" t="s">
        <v>556</v>
      </c>
      <c r="E354" s="19" t="s">
        <v>109</v>
      </c>
      <c r="F354" s="19" t="s">
        <v>95</v>
      </c>
      <c r="G354" s="12" t="s">
        <v>107</v>
      </c>
      <c r="H354" s="20" t="s">
        <v>97</v>
      </c>
      <c r="I354" s="19" t="s">
        <v>98</v>
      </c>
      <c r="J354" s="19"/>
      <c r="K354" s="12"/>
      <c r="L354" s="21"/>
      <c r="M354" s="21" t="str">
        <f aca="false">IF($L354="","",$L354+IF($J354="",Dashboard!$M$9,INDEX(Dashboard!$M$5:$M$9,$J354)))</f>
        <v/>
      </c>
      <c r="N354" s="22" t="str">
        <f aca="true">IF(OR($I354="Attempted",$I354="Revisit"),"DUE",IF($M354="","",IF($M354&lt;=TODAY(),"DUE","")))</f>
        <v/>
      </c>
      <c r="O354" s="11"/>
    </row>
    <row r="355" customFormat="false" ht="15" hidden="false" customHeight="true" outlineLevel="0" collapsed="false">
      <c r="A355" s="12" t="n">
        <v>354</v>
      </c>
      <c r="B355" s="11" t="s">
        <v>512</v>
      </c>
      <c r="C355" s="11" t="s">
        <v>347</v>
      </c>
      <c r="D355" s="11" t="s">
        <v>557</v>
      </c>
      <c r="E355" s="19" t="s">
        <v>109</v>
      </c>
      <c r="F355" s="19" t="s">
        <v>121</v>
      </c>
      <c r="G355" s="12" t="s">
        <v>107</v>
      </c>
      <c r="H355" s="20" t="s">
        <v>97</v>
      </c>
      <c r="I355" s="19" t="s">
        <v>98</v>
      </c>
      <c r="J355" s="19"/>
      <c r="K355" s="12"/>
      <c r="L355" s="21"/>
      <c r="M355" s="21" t="str">
        <f aca="false">IF($L355="","",$L355+IF($J355="",Dashboard!$M$9,INDEX(Dashboard!$M$5:$M$9,$J355)))</f>
        <v/>
      </c>
      <c r="N355" s="22" t="str">
        <f aca="true">IF(OR($I355="Attempted",$I355="Revisit"),"DUE",IF($M355="","",IF($M355&lt;=TODAY(),"DUE","")))</f>
        <v/>
      </c>
      <c r="O355" s="11"/>
    </row>
    <row r="356" customFormat="false" ht="15" hidden="false" customHeight="true" outlineLevel="0" collapsed="false">
      <c r="A356" s="12" t="n">
        <v>355</v>
      </c>
      <c r="B356" s="11" t="s">
        <v>512</v>
      </c>
      <c r="C356" s="11" t="s">
        <v>347</v>
      </c>
      <c r="D356" s="11" t="s">
        <v>558</v>
      </c>
      <c r="E356" s="19" t="s">
        <v>94</v>
      </c>
      <c r="F356" s="19" t="s">
        <v>95</v>
      </c>
      <c r="G356" s="12" t="s">
        <v>107</v>
      </c>
      <c r="H356" s="20" t="s">
        <v>97</v>
      </c>
      <c r="I356" s="19" t="s">
        <v>98</v>
      </c>
      <c r="J356" s="19"/>
      <c r="K356" s="12"/>
      <c r="L356" s="21"/>
      <c r="M356" s="21" t="str">
        <f aca="false">IF($L356="","",$L356+IF($J356="",Dashboard!$M$9,INDEX(Dashboard!$M$5:$M$9,$J356)))</f>
        <v/>
      </c>
      <c r="N356" s="22" t="str">
        <f aca="true">IF(OR($I356="Attempted",$I356="Revisit"),"DUE",IF($M356="","",IF($M356&lt;=TODAY(),"DUE","")))</f>
        <v/>
      </c>
      <c r="O356" s="11"/>
    </row>
    <row r="357" customFormat="false" ht="15" hidden="false" customHeight="true" outlineLevel="0" collapsed="false">
      <c r="A357" s="12" t="n">
        <v>356</v>
      </c>
      <c r="B357" s="11" t="s">
        <v>512</v>
      </c>
      <c r="C357" s="11" t="s">
        <v>347</v>
      </c>
      <c r="D357" s="11" t="s">
        <v>559</v>
      </c>
      <c r="E357" s="19" t="s">
        <v>109</v>
      </c>
      <c r="F357" s="19" t="s">
        <v>121</v>
      </c>
      <c r="G357" s="12" t="s">
        <v>107</v>
      </c>
      <c r="H357" s="20" t="s">
        <v>97</v>
      </c>
      <c r="I357" s="19" t="s">
        <v>98</v>
      </c>
      <c r="J357" s="19"/>
      <c r="K357" s="12"/>
      <c r="L357" s="21"/>
      <c r="M357" s="21" t="str">
        <f aca="false">IF($L357="","",$L357+IF($J357="",Dashboard!$M$9,INDEX(Dashboard!$M$5:$M$9,$J357)))</f>
        <v/>
      </c>
      <c r="N357" s="22" t="str">
        <f aca="true">IF(OR($I357="Attempted",$I357="Revisit"),"DUE",IF($M357="","",IF($M357&lt;=TODAY(),"DUE","")))</f>
        <v/>
      </c>
      <c r="O357" s="11"/>
    </row>
    <row r="358" customFormat="false" ht="15" hidden="false" customHeight="true" outlineLevel="0" collapsed="false">
      <c r="A358" s="12" t="n">
        <v>357</v>
      </c>
      <c r="B358" s="11" t="s">
        <v>512</v>
      </c>
      <c r="C358" s="11" t="s">
        <v>560</v>
      </c>
      <c r="D358" s="11" t="s">
        <v>561</v>
      </c>
      <c r="E358" s="19" t="s">
        <v>135</v>
      </c>
      <c r="F358" s="19" t="s">
        <v>95</v>
      </c>
      <c r="G358" s="12" t="s">
        <v>107</v>
      </c>
      <c r="H358" s="20" t="s">
        <v>97</v>
      </c>
      <c r="I358" s="19" t="s">
        <v>98</v>
      </c>
      <c r="J358" s="19"/>
      <c r="K358" s="12"/>
      <c r="L358" s="21"/>
      <c r="M358" s="21" t="str">
        <f aca="false">IF($L358="","",$L358+IF($J358="",Dashboard!$M$9,INDEX(Dashboard!$M$5:$M$9,$J358)))</f>
        <v/>
      </c>
      <c r="N358" s="22" t="str">
        <f aca="true">IF(OR($I358="Attempted",$I358="Revisit"),"DUE",IF($M358="","",IF($M358&lt;=TODAY(),"DUE","")))</f>
        <v/>
      </c>
      <c r="O358" s="11"/>
    </row>
    <row r="359" customFormat="false" ht="15" hidden="false" customHeight="true" outlineLevel="0" collapsed="false">
      <c r="A359" s="12" t="n">
        <v>358</v>
      </c>
      <c r="B359" s="11" t="s">
        <v>512</v>
      </c>
      <c r="C359" s="11" t="s">
        <v>562</v>
      </c>
      <c r="D359" s="11" t="s">
        <v>563</v>
      </c>
      <c r="E359" s="19" t="s">
        <v>94</v>
      </c>
      <c r="F359" s="19" t="s">
        <v>95</v>
      </c>
      <c r="G359" s="12" t="s">
        <v>107</v>
      </c>
      <c r="H359" s="20" t="s">
        <v>97</v>
      </c>
      <c r="I359" s="19" t="s">
        <v>98</v>
      </c>
      <c r="J359" s="19"/>
      <c r="K359" s="12"/>
      <c r="L359" s="21"/>
      <c r="M359" s="21" t="str">
        <f aca="false">IF($L359="","",$L359+IF($J359="",Dashboard!$M$9,INDEX(Dashboard!$M$5:$M$9,$J359)))</f>
        <v/>
      </c>
      <c r="N359" s="22" t="str">
        <f aca="true">IF(OR($I359="Attempted",$I359="Revisit"),"DUE",IF($M359="","",IF($M359&lt;=TODAY(),"DUE","")))</f>
        <v/>
      </c>
      <c r="O359" s="11"/>
    </row>
    <row r="360" customFormat="false" ht="15" hidden="false" customHeight="true" outlineLevel="0" collapsed="false">
      <c r="A360" s="12" t="n">
        <v>359</v>
      </c>
      <c r="B360" s="11" t="s">
        <v>512</v>
      </c>
      <c r="C360" s="11" t="s">
        <v>562</v>
      </c>
      <c r="D360" s="11" t="s">
        <v>564</v>
      </c>
      <c r="E360" s="19" t="s">
        <v>109</v>
      </c>
      <c r="F360" s="19" t="s">
        <v>121</v>
      </c>
      <c r="G360" s="12" t="s">
        <v>107</v>
      </c>
      <c r="H360" s="20" t="s">
        <v>97</v>
      </c>
      <c r="I360" s="19" t="s">
        <v>98</v>
      </c>
      <c r="J360" s="19"/>
      <c r="K360" s="12"/>
      <c r="L360" s="21"/>
      <c r="M360" s="21" t="str">
        <f aca="false">IF($L360="","",$L360+IF($J360="",Dashboard!$M$9,INDEX(Dashboard!$M$5:$M$9,$J360)))</f>
        <v/>
      </c>
      <c r="N360" s="22" t="str">
        <f aca="true">IF(OR($I360="Attempted",$I360="Revisit"),"DUE",IF($M360="","",IF($M360&lt;=TODAY(),"DUE","")))</f>
        <v/>
      </c>
      <c r="O360" s="11"/>
    </row>
    <row r="361" customFormat="false" ht="15" hidden="false" customHeight="true" outlineLevel="0" collapsed="false">
      <c r="A361" s="12" t="n">
        <v>360</v>
      </c>
      <c r="B361" s="11" t="s">
        <v>512</v>
      </c>
      <c r="C361" s="11" t="s">
        <v>562</v>
      </c>
      <c r="D361" s="11" t="s">
        <v>565</v>
      </c>
      <c r="E361" s="19" t="s">
        <v>109</v>
      </c>
      <c r="F361" s="19" t="s">
        <v>121</v>
      </c>
      <c r="G361" s="12" t="s">
        <v>107</v>
      </c>
      <c r="H361" s="20" t="s">
        <v>97</v>
      </c>
      <c r="I361" s="19" t="s">
        <v>98</v>
      </c>
      <c r="J361" s="19"/>
      <c r="K361" s="12"/>
      <c r="L361" s="21"/>
      <c r="M361" s="21" t="str">
        <f aca="false">IF($L361="","",$L361+IF($J361="",Dashboard!$M$9,INDEX(Dashboard!$M$5:$M$9,$J361)))</f>
        <v/>
      </c>
      <c r="N361" s="22" t="str">
        <f aca="true">IF(OR($I361="Attempted",$I361="Revisit"),"DUE",IF($M361="","",IF($M361&lt;=TODAY(),"DUE","")))</f>
        <v/>
      </c>
      <c r="O361" s="11"/>
    </row>
    <row r="362" customFormat="false" ht="15" hidden="false" customHeight="true" outlineLevel="0" collapsed="false">
      <c r="A362" s="12" t="n">
        <v>361</v>
      </c>
      <c r="B362" s="11" t="s">
        <v>512</v>
      </c>
      <c r="C362" s="11" t="s">
        <v>562</v>
      </c>
      <c r="D362" s="11" t="s">
        <v>566</v>
      </c>
      <c r="E362" s="19" t="s">
        <v>94</v>
      </c>
      <c r="F362" s="19" t="s">
        <v>95</v>
      </c>
      <c r="G362" s="12" t="s">
        <v>107</v>
      </c>
      <c r="H362" s="20" t="s">
        <v>97</v>
      </c>
      <c r="I362" s="19" t="s">
        <v>98</v>
      </c>
      <c r="J362" s="19"/>
      <c r="K362" s="12"/>
      <c r="L362" s="21"/>
      <c r="M362" s="21" t="str">
        <f aca="false">IF($L362="","",$L362+IF($J362="",Dashboard!$M$9,INDEX(Dashboard!$M$5:$M$9,$J362)))</f>
        <v/>
      </c>
      <c r="N362" s="22" t="str">
        <f aca="true">IF(OR($I362="Attempted",$I362="Revisit"),"DUE",IF($M362="","",IF($M362&lt;=TODAY(),"DUE","")))</f>
        <v/>
      </c>
      <c r="O362" s="11"/>
    </row>
    <row r="363" customFormat="false" ht="15" hidden="false" customHeight="true" outlineLevel="0" collapsed="false">
      <c r="A363" s="12" t="n">
        <v>362</v>
      </c>
      <c r="B363" s="11" t="s">
        <v>512</v>
      </c>
      <c r="C363" s="11" t="s">
        <v>567</v>
      </c>
      <c r="D363" s="11" t="s">
        <v>568</v>
      </c>
      <c r="E363" s="19" t="s">
        <v>109</v>
      </c>
      <c r="F363" s="19" t="s">
        <v>95</v>
      </c>
      <c r="G363" s="12" t="s">
        <v>107</v>
      </c>
      <c r="H363" s="20" t="s">
        <v>97</v>
      </c>
      <c r="I363" s="19" t="s">
        <v>98</v>
      </c>
      <c r="J363" s="19"/>
      <c r="K363" s="12"/>
      <c r="L363" s="21"/>
      <c r="M363" s="21" t="str">
        <f aca="false">IF($L363="","",$L363+IF($J363="",Dashboard!$M$9,INDEX(Dashboard!$M$5:$M$9,$J363)))</f>
        <v/>
      </c>
      <c r="N363" s="22" t="str">
        <f aca="true">IF(OR($I363="Attempted",$I363="Revisit"),"DUE",IF($M363="","",IF($M363&lt;=TODAY(),"DUE","")))</f>
        <v/>
      </c>
      <c r="O363" s="11"/>
    </row>
    <row r="364" customFormat="false" ht="15" hidden="false" customHeight="true" outlineLevel="0" collapsed="false">
      <c r="A364" s="12" t="n">
        <v>363</v>
      </c>
      <c r="B364" s="11" t="s">
        <v>512</v>
      </c>
      <c r="C364" s="11" t="s">
        <v>567</v>
      </c>
      <c r="D364" s="11" t="s">
        <v>569</v>
      </c>
      <c r="E364" s="19" t="s">
        <v>109</v>
      </c>
      <c r="F364" s="19" t="s">
        <v>121</v>
      </c>
      <c r="G364" s="12" t="s">
        <v>107</v>
      </c>
      <c r="H364" s="20" t="s">
        <v>97</v>
      </c>
      <c r="I364" s="19" t="s">
        <v>98</v>
      </c>
      <c r="J364" s="19"/>
      <c r="K364" s="12"/>
      <c r="L364" s="21"/>
      <c r="M364" s="21" t="str">
        <f aca="false">IF($L364="","",$L364+IF($J364="",Dashboard!$M$9,INDEX(Dashboard!$M$5:$M$9,$J364)))</f>
        <v/>
      </c>
      <c r="N364" s="22" t="str">
        <f aca="true">IF(OR($I364="Attempted",$I364="Revisit"),"DUE",IF($M364="","",IF($M364&lt;=TODAY(),"DUE","")))</f>
        <v/>
      </c>
      <c r="O364" s="11"/>
    </row>
    <row r="365" customFormat="false" ht="15" hidden="false" customHeight="true" outlineLevel="0" collapsed="false">
      <c r="A365" s="12" t="n">
        <v>364</v>
      </c>
      <c r="B365" s="11" t="s">
        <v>512</v>
      </c>
      <c r="C365" s="11" t="s">
        <v>567</v>
      </c>
      <c r="D365" s="11" t="s">
        <v>570</v>
      </c>
      <c r="E365" s="19" t="s">
        <v>94</v>
      </c>
      <c r="F365" s="19" t="s">
        <v>95</v>
      </c>
      <c r="G365" s="12" t="s">
        <v>107</v>
      </c>
      <c r="H365" s="20" t="s">
        <v>97</v>
      </c>
      <c r="I365" s="19" t="s">
        <v>98</v>
      </c>
      <c r="J365" s="19"/>
      <c r="K365" s="12"/>
      <c r="L365" s="21"/>
      <c r="M365" s="21" t="str">
        <f aca="false">IF($L365="","",$L365+IF($J365="",Dashboard!$M$9,INDEX(Dashboard!$M$5:$M$9,$J365)))</f>
        <v/>
      </c>
      <c r="N365" s="22" t="str">
        <f aca="true">IF(OR($I365="Attempted",$I365="Revisit"),"DUE",IF($M365="","",IF($M365&lt;=TODAY(),"DUE","")))</f>
        <v/>
      </c>
      <c r="O365" s="11"/>
    </row>
    <row r="366" customFormat="false" ht="15" hidden="false" customHeight="true" outlineLevel="0" collapsed="false">
      <c r="A366" s="12" t="n">
        <v>365</v>
      </c>
      <c r="B366" s="11" t="s">
        <v>512</v>
      </c>
      <c r="C366" s="11" t="s">
        <v>567</v>
      </c>
      <c r="D366" s="11" t="s">
        <v>571</v>
      </c>
      <c r="E366" s="19" t="s">
        <v>109</v>
      </c>
      <c r="F366" s="19" t="s">
        <v>121</v>
      </c>
      <c r="G366" s="12" t="s">
        <v>107</v>
      </c>
      <c r="H366" s="20" t="s">
        <v>97</v>
      </c>
      <c r="I366" s="19" t="s">
        <v>98</v>
      </c>
      <c r="J366" s="19"/>
      <c r="K366" s="12"/>
      <c r="L366" s="21"/>
      <c r="M366" s="21" t="str">
        <f aca="false">IF($L366="","",$L366+IF($J366="",Dashboard!$M$9,INDEX(Dashboard!$M$5:$M$9,$J366)))</f>
        <v/>
      </c>
      <c r="N366" s="22" t="str">
        <f aca="true">IF(OR($I366="Attempted",$I366="Revisit"),"DUE",IF($M366="","",IF($M366&lt;=TODAY(),"DUE","")))</f>
        <v/>
      </c>
      <c r="O366" s="11"/>
    </row>
    <row r="367" customFormat="false" ht="15" hidden="false" customHeight="true" outlineLevel="0" collapsed="false">
      <c r="A367" s="12" t="n">
        <v>366</v>
      </c>
      <c r="B367" s="11" t="s">
        <v>512</v>
      </c>
      <c r="C367" s="11" t="s">
        <v>567</v>
      </c>
      <c r="D367" s="11" t="s">
        <v>572</v>
      </c>
      <c r="E367" s="19" t="s">
        <v>109</v>
      </c>
      <c r="F367" s="19" t="s">
        <v>121</v>
      </c>
      <c r="G367" s="12" t="s">
        <v>107</v>
      </c>
      <c r="H367" s="20" t="s">
        <v>97</v>
      </c>
      <c r="I367" s="19" t="s">
        <v>98</v>
      </c>
      <c r="J367" s="19"/>
      <c r="K367" s="12"/>
      <c r="L367" s="21"/>
      <c r="M367" s="21" t="str">
        <f aca="false">IF($L367="","",$L367+IF($J367="",Dashboard!$M$9,INDEX(Dashboard!$M$5:$M$9,$J367)))</f>
        <v/>
      </c>
      <c r="N367" s="22" t="str">
        <f aca="true">IF(OR($I367="Attempted",$I367="Revisit"),"DUE",IF($M367="","",IF($M367&lt;=TODAY(),"DUE","")))</f>
        <v/>
      </c>
      <c r="O367" s="11"/>
    </row>
    <row r="368" customFormat="false" ht="15" hidden="false" customHeight="true" outlineLevel="0" collapsed="false">
      <c r="A368" s="12" t="n">
        <v>367</v>
      </c>
      <c r="B368" s="11" t="s">
        <v>512</v>
      </c>
      <c r="C368" s="11" t="s">
        <v>567</v>
      </c>
      <c r="D368" s="11" t="s">
        <v>573</v>
      </c>
      <c r="E368" s="19" t="s">
        <v>109</v>
      </c>
      <c r="F368" s="19" t="s">
        <v>121</v>
      </c>
      <c r="G368" s="12" t="s">
        <v>96</v>
      </c>
      <c r="H368" s="20" t="s">
        <v>97</v>
      </c>
      <c r="I368" s="19" t="s">
        <v>98</v>
      </c>
      <c r="J368" s="19"/>
      <c r="K368" s="12"/>
      <c r="L368" s="21"/>
      <c r="M368" s="21" t="str">
        <f aca="false">IF($L368="","",$L368+IF($J368="",Dashboard!$M$9,INDEX(Dashboard!$M$5:$M$9,$J368)))</f>
        <v/>
      </c>
      <c r="N368" s="22" t="str">
        <f aca="true">IF(OR($I368="Attempted",$I368="Revisit"),"DUE",IF($M368="","",IF($M368&lt;=TODAY(),"DUE","")))</f>
        <v/>
      </c>
      <c r="O368" s="11"/>
    </row>
    <row r="369" customFormat="false" ht="15" hidden="false" customHeight="true" outlineLevel="0" collapsed="false">
      <c r="A369" s="12" t="n">
        <v>368</v>
      </c>
      <c r="B369" s="11" t="s">
        <v>512</v>
      </c>
      <c r="C369" s="11" t="s">
        <v>567</v>
      </c>
      <c r="D369" s="11" t="s">
        <v>574</v>
      </c>
      <c r="E369" s="19" t="s">
        <v>135</v>
      </c>
      <c r="F369" s="19" t="s">
        <v>136</v>
      </c>
      <c r="G369" s="12" t="s">
        <v>96</v>
      </c>
      <c r="H369" s="20" t="s">
        <v>97</v>
      </c>
      <c r="I369" s="19" t="s">
        <v>98</v>
      </c>
      <c r="J369" s="19"/>
      <c r="K369" s="12"/>
      <c r="L369" s="21"/>
      <c r="M369" s="21" t="str">
        <f aca="false">IF($L369="","",$L369+IF($J369="",Dashboard!$M$9,INDEX(Dashboard!$M$5:$M$9,$J369)))</f>
        <v/>
      </c>
      <c r="N369" s="22" t="str">
        <f aca="true">IF(OR($I369="Attempted",$I369="Revisit"),"DUE",IF($M369="","",IF($M369&lt;=TODAY(),"DUE","")))</f>
        <v/>
      </c>
      <c r="O369" s="11"/>
    </row>
    <row r="370" customFormat="false" ht="15" hidden="false" customHeight="true" outlineLevel="0" collapsed="false">
      <c r="A370" s="12" t="n">
        <v>369</v>
      </c>
      <c r="B370" s="11" t="s">
        <v>575</v>
      </c>
      <c r="C370" s="11" t="s">
        <v>386</v>
      </c>
      <c r="D370" s="11" t="s">
        <v>576</v>
      </c>
      <c r="E370" s="19" t="s">
        <v>109</v>
      </c>
      <c r="F370" s="19" t="s">
        <v>95</v>
      </c>
      <c r="G370" s="12" t="s">
        <v>107</v>
      </c>
      <c r="H370" s="20" t="s">
        <v>97</v>
      </c>
      <c r="I370" s="19" t="s">
        <v>98</v>
      </c>
      <c r="J370" s="19"/>
      <c r="K370" s="12"/>
      <c r="L370" s="21"/>
      <c r="M370" s="21" t="str">
        <f aca="false">IF($L370="","",$L370+IF($J370="",Dashboard!$M$9,INDEX(Dashboard!$M$5:$M$9,$J370)))</f>
        <v/>
      </c>
      <c r="N370" s="22" t="str">
        <f aca="true">IF(OR($I370="Attempted",$I370="Revisit"),"DUE",IF($M370="","",IF($M370&lt;=TODAY(),"DUE","")))</f>
        <v/>
      </c>
      <c r="O370" s="11"/>
    </row>
    <row r="371" customFormat="false" ht="15" hidden="false" customHeight="true" outlineLevel="0" collapsed="false">
      <c r="A371" s="12" t="n">
        <v>370</v>
      </c>
      <c r="B371" s="11" t="s">
        <v>575</v>
      </c>
      <c r="C371" s="11" t="s">
        <v>386</v>
      </c>
      <c r="D371" s="11" t="s">
        <v>577</v>
      </c>
      <c r="E371" s="19" t="s">
        <v>109</v>
      </c>
      <c r="F371" s="19" t="s">
        <v>95</v>
      </c>
      <c r="G371" s="12" t="s">
        <v>107</v>
      </c>
      <c r="H371" s="20" t="s">
        <v>97</v>
      </c>
      <c r="I371" s="19" t="s">
        <v>98</v>
      </c>
      <c r="J371" s="19"/>
      <c r="K371" s="12"/>
      <c r="L371" s="21"/>
      <c r="M371" s="21" t="str">
        <f aca="false">IF($L371="","",$L371+IF($J371="",Dashboard!$M$9,INDEX(Dashboard!$M$5:$M$9,$J371)))</f>
        <v/>
      </c>
      <c r="N371" s="22" t="str">
        <f aca="true">IF(OR($I371="Attempted",$I371="Revisit"),"DUE",IF($M371="","",IF($M371&lt;=TODAY(),"DUE","")))</f>
        <v/>
      </c>
      <c r="O371" s="11"/>
    </row>
    <row r="372" customFormat="false" ht="15" hidden="false" customHeight="true" outlineLevel="0" collapsed="false">
      <c r="A372" s="12" t="n">
        <v>371</v>
      </c>
      <c r="B372" s="11" t="s">
        <v>575</v>
      </c>
      <c r="C372" s="11" t="s">
        <v>386</v>
      </c>
      <c r="D372" s="11" t="s">
        <v>578</v>
      </c>
      <c r="E372" s="19" t="s">
        <v>109</v>
      </c>
      <c r="F372" s="19" t="s">
        <v>121</v>
      </c>
      <c r="G372" s="12" t="s">
        <v>107</v>
      </c>
      <c r="H372" s="20" t="s">
        <v>97</v>
      </c>
      <c r="I372" s="19" t="s">
        <v>98</v>
      </c>
      <c r="J372" s="19"/>
      <c r="K372" s="12"/>
      <c r="L372" s="21"/>
      <c r="M372" s="21" t="str">
        <f aca="false">IF($L372="","",$L372+IF($J372="",Dashboard!$M$9,INDEX(Dashboard!$M$5:$M$9,$J372)))</f>
        <v/>
      </c>
      <c r="N372" s="22" t="str">
        <f aca="true">IF(OR($I372="Attempted",$I372="Revisit"),"DUE",IF($M372="","",IF($M372&lt;=TODAY(),"DUE","")))</f>
        <v/>
      </c>
      <c r="O372" s="11"/>
    </row>
    <row r="373" customFormat="false" ht="15" hidden="false" customHeight="true" outlineLevel="0" collapsed="false">
      <c r="A373" s="12" t="n">
        <v>372</v>
      </c>
      <c r="B373" s="11" t="s">
        <v>575</v>
      </c>
      <c r="C373" s="11" t="s">
        <v>386</v>
      </c>
      <c r="D373" s="11" t="s">
        <v>579</v>
      </c>
      <c r="E373" s="19" t="s">
        <v>109</v>
      </c>
      <c r="F373" s="19" t="s">
        <v>121</v>
      </c>
      <c r="G373" s="12" t="s">
        <v>96</v>
      </c>
      <c r="H373" s="20" t="s">
        <v>97</v>
      </c>
      <c r="I373" s="19" t="s">
        <v>98</v>
      </c>
      <c r="J373" s="19"/>
      <c r="K373" s="12"/>
      <c r="L373" s="21"/>
      <c r="M373" s="21" t="str">
        <f aca="false">IF($L373="","",$L373+IF($J373="",Dashboard!$M$9,INDEX(Dashboard!$M$5:$M$9,$J373)))</f>
        <v/>
      </c>
      <c r="N373" s="22" t="str">
        <f aca="true">IF(OR($I373="Attempted",$I373="Revisit"),"DUE",IF($M373="","",IF($M373&lt;=TODAY(),"DUE","")))</f>
        <v/>
      </c>
      <c r="O373" s="11"/>
    </row>
    <row r="374" customFormat="false" ht="15" hidden="false" customHeight="true" outlineLevel="0" collapsed="false">
      <c r="A374" s="12" t="n">
        <v>373</v>
      </c>
      <c r="B374" s="11" t="s">
        <v>575</v>
      </c>
      <c r="C374" s="11" t="s">
        <v>580</v>
      </c>
      <c r="D374" s="11" t="s">
        <v>581</v>
      </c>
      <c r="E374" s="19" t="s">
        <v>109</v>
      </c>
      <c r="F374" s="19" t="s">
        <v>95</v>
      </c>
      <c r="G374" s="12" t="s">
        <v>107</v>
      </c>
      <c r="H374" s="20" t="s">
        <v>97</v>
      </c>
      <c r="I374" s="19" t="s">
        <v>98</v>
      </c>
      <c r="J374" s="19"/>
      <c r="K374" s="12"/>
      <c r="L374" s="21"/>
      <c r="M374" s="21" t="str">
        <f aca="false">IF($L374="","",$L374+IF($J374="",Dashboard!$M$9,INDEX(Dashboard!$M$5:$M$9,$J374)))</f>
        <v/>
      </c>
      <c r="N374" s="22" t="str">
        <f aca="true">IF(OR($I374="Attempted",$I374="Revisit"),"DUE",IF($M374="","",IF($M374&lt;=TODAY(),"DUE","")))</f>
        <v/>
      </c>
      <c r="O374" s="11"/>
    </row>
    <row r="375" customFormat="false" ht="15" hidden="false" customHeight="true" outlineLevel="0" collapsed="false">
      <c r="A375" s="12" t="n">
        <v>374</v>
      </c>
      <c r="B375" s="11" t="s">
        <v>575</v>
      </c>
      <c r="C375" s="11" t="s">
        <v>580</v>
      </c>
      <c r="D375" s="11" t="s">
        <v>582</v>
      </c>
      <c r="E375" s="19" t="s">
        <v>109</v>
      </c>
      <c r="F375" s="19" t="s">
        <v>95</v>
      </c>
      <c r="G375" s="12" t="s">
        <v>107</v>
      </c>
      <c r="H375" s="20" t="s">
        <v>97</v>
      </c>
      <c r="I375" s="19" t="s">
        <v>98</v>
      </c>
      <c r="J375" s="19"/>
      <c r="K375" s="12"/>
      <c r="L375" s="21"/>
      <c r="M375" s="21" t="str">
        <f aca="false">IF($L375="","",$L375+IF($J375="",Dashboard!$M$9,INDEX(Dashboard!$M$5:$M$9,$J375)))</f>
        <v/>
      </c>
      <c r="N375" s="22" t="str">
        <f aca="true">IF(OR($I375="Attempted",$I375="Revisit"),"DUE",IF($M375="","",IF($M375&lt;=TODAY(),"DUE","")))</f>
        <v/>
      </c>
      <c r="O375" s="11"/>
    </row>
    <row r="376" customFormat="false" ht="15" hidden="false" customHeight="true" outlineLevel="0" collapsed="false">
      <c r="A376" s="12" t="n">
        <v>375</v>
      </c>
      <c r="B376" s="11" t="s">
        <v>575</v>
      </c>
      <c r="C376" s="11" t="s">
        <v>580</v>
      </c>
      <c r="D376" s="11" t="s">
        <v>583</v>
      </c>
      <c r="E376" s="19" t="s">
        <v>109</v>
      </c>
      <c r="F376" s="19" t="s">
        <v>121</v>
      </c>
      <c r="G376" s="12" t="s">
        <v>107</v>
      </c>
      <c r="H376" s="20" t="s">
        <v>97</v>
      </c>
      <c r="I376" s="19" t="s">
        <v>98</v>
      </c>
      <c r="J376" s="19"/>
      <c r="K376" s="12"/>
      <c r="L376" s="21"/>
      <c r="M376" s="21" t="str">
        <f aca="false">IF($L376="","",$L376+IF($J376="",Dashboard!$M$9,INDEX(Dashboard!$M$5:$M$9,$J376)))</f>
        <v/>
      </c>
      <c r="N376" s="22" t="str">
        <f aca="true">IF(OR($I376="Attempted",$I376="Revisit"),"DUE",IF($M376="","",IF($M376&lt;=TODAY(),"DUE","")))</f>
        <v/>
      </c>
      <c r="O376" s="11"/>
    </row>
    <row r="377" customFormat="false" ht="15" hidden="false" customHeight="true" outlineLevel="0" collapsed="false">
      <c r="A377" s="12" t="n">
        <v>376</v>
      </c>
      <c r="B377" s="11" t="s">
        <v>575</v>
      </c>
      <c r="C377" s="11" t="s">
        <v>584</v>
      </c>
      <c r="D377" s="11" t="s">
        <v>585</v>
      </c>
      <c r="E377" s="19" t="s">
        <v>135</v>
      </c>
      <c r="F377" s="19" t="s">
        <v>95</v>
      </c>
      <c r="G377" s="12" t="s">
        <v>107</v>
      </c>
      <c r="H377" s="20" t="s">
        <v>97</v>
      </c>
      <c r="I377" s="19" t="s">
        <v>98</v>
      </c>
      <c r="J377" s="19"/>
      <c r="K377" s="12"/>
      <c r="L377" s="21"/>
      <c r="M377" s="21" t="str">
        <f aca="false">IF($L377="","",$L377+IF($J377="",Dashboard!$M$9,INDEX(Dashboard!$M$5:$M$9,$J377)))</f>
        <v/>
      </c>
      <c r="N377" s="22" t="str">
        <f aca="true">IF(OR($I377="Attempted",$I377="Revisit"),"DUE",IF($M377="","",IF($M377&lt;=TODAY(),"DUE","")))</f>
        <v/>
      </c>
      <c r="O377" s="11"/>
    </row>
    <row r="378" customFormat="false" ht="15" hidden="false" customHeight="true" outlineLevel="0" collapsed="false">
      <c r="A378" s="12" t="n">
        <v>377</v>
      </c>
      <c r="B378" s="11" t="s">
        <v>575</v>
      </c>
      <c r="C378" s="11" t="s">
        <v>586</v>
      </c>
      <c r="D378" s="11" t="s">
        <v>587</v>
      </c>
      <c r="E378" s="19" t="s">
        <v>109</v>
      </c>
      <c r="F378" s="19" t="s">
        <v>95</v>
      </c>
      <c r="G378" s="12" t="s">
        <v>107</v>
      </c>
      <c r="H378" s="20" t="s">
        <v>97</v>
      </c>
      <c r="I378" s="19" t="s">
        <v>98</v>
      </c>
      <c r="J378" s="19"/>
      <c r="K378" s="12"/>
      <c r="L378" s="21"/>
      <c r="M378" s="21" t="str">
        <f aca="false">IF($L378="","",$L378+IF($J378="",Dashboard!$M$9,INDEX(Dashboard!$M$5:$M$9,$J378)))</f>
        <v/>
      </c>
      <c r="N378" s="22" t="str">
        <f aca="true">IF(OR($I378="Attempted",$I378="Revisit"),"DUE",IF($M378="","",IF($M378&lt;=TODAY(),"DUE","")))</f>
        <v/>
      </c>
      <c r="O378" s="11"/>
    </row>
    <row r="379" customFormat="false" ht="15" hidden="false" customHeight="true" outlineLevel="0" collapsed="false">
      <c r="A379" s="12" t="n">
        <v>378</v>
      </c>
      <c r="B379" s="11" t="s">
        <v>575</v>
      </c>
      <c r="C379" s="11" t="s">
        <v>510</v>
      </c>
      <c r="D379" s="11" t="s">
        <v>588</v>
      </c>
      <c r="E379" s="19" t="s">
        <v>135</v>
      </c>
      <c r="F379" s="19" t="s">
        <v>95</v>
      </c>
      <c r="G379" s="12" t="s">
        <v>96</v>
      </c>
      <c r="H379" s="20" t="s">
        <v>97</v>
      </c>
      <c r="I379" s="19" t="s">
        <v>98</v>
      </c>
      <c r="J379" s="19"/>
      <c r="K379" s="12"/>
      <c r="L379" s="21"/>
      <c r="M379" s="21" t="str">
        <f aca="false">IF($L379="","",$L379+IF($J379="",Dashboard!$M$9,INDEX(Dashboard!$M$5:$M$9,$J379)))</f>
        <v/>
      </c>
      <c r="N379" s="22" t="str">
        <f aca="true">IF(OR($I379="Attempted",$I379="Revisit"),"DUE",IF($M379="","",IF($M379&lt;=TODAY(),"DUE","")))</f>
        <v/>
      </c>
      <c r="O379" s="11"/>
    </row>
    <row r="380" customFormat="false" ht="15" hidden="false" customHeight="true" outlineLevel="0" collapsed="false">
      <c r="A380" s="12" t="n">
        <v>379</v>
      </c>
      <c r="B380" s="11" t="s">
        <v>589</v>
      </c>
      <c r="C380" s="11" t="s">
        <v>590</v>
      </c>
      <c r="D380" s="11" t="s">
        <v>591</v>
      </c>
      <c r="E380" s="19" t="s">
        <v>94</v>
      </c>
      <c r="F380" s="19" t="s">
        <v>95</v>
      </c>
      <c r="G380" s="12" t="s">
        <v>96</v>
      </c>
      <c r="H380" s="20" t="s">
        <v>97</v>
      </c>
      <c r="I380" s="19" t="s">
        <v>98</v>
      </c>
      <c r="J380" s="19"/>
      <c r="K380" s="12"/>
      <c r="L380" s="21"/>
      <c r="M380" s="21" t="str">
        <f aca="false">IF($L380="","",$L380+IF($J380="",Dashboard!$M$9,INDEX(Dashboard!$M$5:$M$9,$J380)))</f>
        <v/>
      </c>
      <c r="N380" s="22" t="str">
        <f aca="true">IF(OR($I380="Attempted",$I380="Revisit"),"DUE",IF($M380="","",IF($M380&lt;=TODAY(),"DUE","")))</f>
        <v/>
      </c>
      <c r="O380" s="11"/>
    </row>
    <row r="381" customFormat="false" ht="15" hidden="false" customHeight="true" outlineLevel="0" collapsed="false">
      <c r="A381" s="12" t="n">
        <v>380</v>
      </c>
      <c r="B381" s="11" t="s">
        <v>589</v>
      </c>
      <c r="C381" s="11" t="s">
        <v>335</v>
      </c>
      <c r="D381" s="11" t="s">
        <v>592</v>
      </c>
      <c r="E381" s="19" t="s">
        <v>94</v>
      </c>
      <c r="F381" s="19" t="s">
        <v>95</v>
      </c>
      <c r="G381" s="12" t="s">
        <v>96</v>
      </c>
      <c r="H381" s="20" t="s">
        <v>97</v>
      </c>
      <c r="I381" s="19" t="s">
        <v>98</v>
      </c>
      <c r="J381" s="19"/>
      <c r="K381" s="12"/>
      <c r="L381" s="21"/>
      <c r="M381" s="21" t="str">
        <f aca="false">IF($L381="","",$L381+IF($J381="",Dashboard!$M$9,INDEX(Dashboard!$M$5:$M$9,$J381)))</f>
        <v/>
      </c>
      <c r="N381" s="22" t="str">
        <f aca="true">IF(OR($I381="Attempted",$I381="Revisit"),"DUE",IF($M381="","",IF($M381&lt;=TODAY(),"DUE","")))</f>
        <v/>
      </c>
      <c r="O381" s="11"/>
    </row>
    <row r="382" customFormat="false" ht="15" hidden="false" customHeight="true" outlineLevel="0" collapsed="false">
      <c r="A382" s="12" t="n">
        <v>381</v>
      </c>
      <c r="B382" s="11" t="s">
        <v>589</v>
      </c>
      <c r="C382" s="11" t="s">
        <v>335</v>
      </c>
      <c r="D382" s="11" t="s">
        <v>593</v>
      </c>
      <c r="E382" s="19" t="s">
        <v>94</v>
      </c>
      <c r="F382" s="19" t="s">
        <v>95</v>
      </c>
      <c r="G382" s="12" t="s">
        <v>96</v>
      </c>
      <c r="H382" s="20" t="s">
        <v>97</v>
      </c>
      <c r="I382" s="19" t="s">
        <v>98</v>
      </c>
      <c r="J382" s="19"/>
      <c r="K382" s="12"/>
      <c r="L382" s="21"/>
      <c r="M382" s="21" t="str">
        <f aca="false">IF($L382="","",$L382+IF($J382="",Dashboard!$M$9,INDEX(Dashboard!$M$5:$M$9,$J382)))</f>
        <v/>
      </c>
      <c r="N382" s="22" t="str">
        <f aca="true">IF(OR($I382="Attempted",$I382="Revisit"),"DUE",IF($M382="","",IF($M382&lt;=TODAY(),"DUE","")))</f>
        <v/>
      </c>
      <c r="O382" s="11"/>
    </row>
    <row r="383" customFormat="false" ht="15" hidden="false" customHeight="true" outlineLevel="0" collapsed="false">
      <c r="A383" s="12" t="n">
        <v>382</v>
      </c>
      <c r="B383" s="11" t="s">
        <v>589</v>
      </c>
      <c r="C383" s="11" t="s">
        <v>335</v>
      </c>
      <c r="D383" s="11" t="s">
        <v>594</v>
      </c>
      <c r="E383" s="19" t="s">
        <v>109</v>
      </c>
      <c r="F383" s="19" t="s">
        <v>121</v>
      </c>
      <c r="G383" s="12" t="s">
        <v>107</v>
      </c>
      <c r="H383" s="20" t="s">
        <v>97</v>
      </c>
      <c r="I383" s="19" t="s">
        <v>98</v>
      </c>
      <c r="J383" s="19"/>
      <c r="K383" s="12"/>
      <c r="L383" s="21"/>
      <c r="M383" s="21" t="str">
        <f aca="false">IF($L383="","",$L383+IF($J383="",Dashboard!$M$9,INDEX(Dashboard!$M$5:$M$9,$J383)))</f>
        <v/>
      </c>
      <c r="N383" s="22" t="str">
        <f aca="true">IF(OR($I383="Attempted",$I383="Revisit"),"DUE",IF($M383="","",IF($M383&lt;=TODAY(),"DUE","")))</f>
        <v/>
      </c>
      <c r="O383" s="11"/>
    </row>
    <row r="384" customFormat="false" ht="15" hidden="false" customHeight="true" outlineLevel="0" collapsed="false">
      <c r="A384" s="12" t="n">
        <v>383</v>
      </c>
      <c r="B384" s="11" t="s">
        <v>589</v>
      </c>
      <c r="C384" s="11" t="s">
        <v>595</v>
      </c>
      <c r="D384" s="11" t="s">
        <v>596</v>
      </c>
      <c r="E384" s="19" t="s">
        <v>109</v>
      </c>
      <c r="F384" s="19" t="s">
        <v>95</v>
      </c>
      <c r="G384" s="12" t="s">
        <v>107</v>
      </c>
      <c r="H384" s="20" t="s">
        <v>97</v>
      </c>
      <c r="I384" s="19" t="s">
        <v>98</v>
      </c>
      <c r="J384" s="19"/>
      <c r="K384" s="12"/>
      <c r="L384" s="21"/>
      <c r="M384" s="21" t="str">
        <f aca="false">IF($L384="","",$L384+IF($J384="",Dashboard!$M$9,INDEX(Dashboard!$M$5:$M$9,$J384)))</f>
        <v/>
      </c>
      <c r="N384" s="22" t="str">
        <f aca="true">IF(OR($I384="Attempted",$I384="Revisit"),"DUE",IF($M384="","",IF($M384&lt;=TODAY(),"DUE","")))</f>
        <v/>
      </c>
      <c r="O384" s="11"/>
    </row>
    <row r="385" customFormat="false" ht="15" hidden="false" customHeight="true" outlineLevel="0" collapsed="false">
      <c r="A385" s="12" t="n">
        <v>384</v>
      </c>
      <c r="B385" s="11" t="s">
        <v>589</v>
      </c>
      <c r="C385" s="11" t="s">
        <v>595</v>
      </c>
      <c r="D385" s="11" t="s">
        <v>597</v>
      </c>
      <c r="E385" s="19" t="s">
        <v>109</v>
      </c>
      <c r="F385" s="19" t="s">
        <v>121</v>
      </c>
      <c r="G385" s="12" t="s">
        <v>107</v>
      </c>
      <c r="H385" s="20" t="s">
        <v>97</v>
      </c>
      <c r="I385" s="19" t="s">
        <v>98</v>
      </c>
      <c r="J385" s="19"/>
      <c r="K385" s="12"/>
      <c r="L385" s="21"/>
      <c r="M385" s="21" t="str">
        <f aca="false">IF($L385="","",$L385+IF($J385="",Dashboard!$M$9,INDEX(Dashboard!$M$5:$M$9,$J385)))</f>
        <v/>
      </c>
      <c r="N385" s="22" t="str">
        <f aca="true">IF(OR($I385="Attempted",$I385="Revisit"),"DUE",IF($M385="","",IF($M385&lt;=TODAY(),"DUE","")))</f>
        <v/>
      </c>
      <c r="O385" s="11"/>
    </row>
    <row r="386" customFormat="false" ht="15" hidden="false" customHeight="true" outlineLevel="0" collapsed="false">
      <c r="A386" s="12" t="n">
        <v>385</v>
      </c>
      <c r="B386" s="11" t="s">
        <v>589</v>
      </c>
      <c r="C386" s="11" t="s">
        <v>595</v>
      </c>
      <c r="D386" s="11" t="s">
        <v>598</v>
      </c>
      <c r="E386" s="19" t="s">
        <v>94</v>
      </c>
      <c r="F386" s="19" t="s">
        <v>95</v>
      </c>
      <c r="G386" s="12" t="s">
        <v>107</v>
      </c>
      <c r="H386" s="20" t="s">
        <v>97</v>
      </c>
      <c r="I386" s="19" t="s">
        <v>98</v>
      </c>
      <c r="J386" s="19"/>
      <c r="K386" s="12"/>
      <c r="L386" s="21"/>
      <c r="M386" s="21" t="str">
        <f aca="false">IF($L386="","",$L386+IF($J386="",Dashboard!$M$9,INDEX(Dashboard!$M$5:$M$9,$J386)))</f>
        <v/>
      </c>
      <c r="N386" s="22" t="str">
        <f aca="true">IF(OR($I386="Attempted",$I386="Revisit"),"DUE",IF($M386="","",IF($M386&lt;=TODAY(),"DUE","")))</f>
        <v/>
      </c>
      <c r="O386" s="11"/>
    </row>
    <row r="387" customFormat="false" ht="15" hidden="false" customHeight="true" outlineLevel="0" collapsed="false">
      <c r="A387" s="12" t="n">
        <v>386</v>
      </c>
      <c r="B387" s="11" t="s">
        <v>589</v>
      </c>
      <c r="C387" s="11" t="s">
        <v>595</v>
      </c>
      <c r="D387" s="11" t="s">
        <v>599</v>
      </c>
      <c r="E387" s="19" t="s">
        <v>109</v>
      </c>
      <c r="F387" s="19" t="s">
        <v>121</v>
      </c>
      <c r="G387" s="12" t="s">
        <v>107</v>
      </c>
      <c r="H387" s="20" t="s">
        <v>97</v>
      </c>
      <c r="I387" s="19" t="s">
        <v>98</v>
      </c>
      <c r="J387" s="19"/>
      <c r="K387" s="12"/>
      <c r="L387" s="21"/>
      <c r="M387" s="21" t="str">
        <f aca="false">IF($L387="","",$L387+IF($J387="",Dashboard!$M$9,INDEX(Dashboard!$M$5:$M$9,$J387)))</f>
        <v/>
      </c>
      <c r="N387" s="22" t="str">
        <f aca="true">IF(OR($I387="Attempted",$I387="Revisit"),"DUE",IF($M387="","",IF($M387&lt;=TODAY(),"DUE","")))</f>
        <v/>
      </c>
      <c r="O387" s="11"/>
    </row>
    <row r="388" customFormat="false" ht="15" hidden="false" customHeight="true" outlineLevel="0" collapsed="false">
      <c r="A388" s="12" t="n">
        <v>387</v>
      </c>
      <c r="B388" s="11" t="s">
        <v>589</v>
      </c>
      <c r="C388" s="11" t="s">
        <v>595</v>
      </c>
      <c r="D388" s="11" t="s">
        <v>600</v>
      </c>
      <c r="E388" s="19" t="s">
        <v>109</v>
      </c>
      <c r="F388" s="19" t="s">
        <v>121</v>
      </c>
      <c r="G388" s="12" t="s">
        <v>107</v>
      </c>
      <c r="H388" s="20" t="s">
        <v>97</v>
      </c>
      <c r="I388" s="19" t="s">
        <v>98</v>
      </c>
      <c r="J388" s="19"/>
      <c r="K388" s="12"/>
      <c r="L388" s="21"/>
      <c r="M388" s="21" t="str">
        <f aca="false">IF($L388="","",$L388+IF($J388="",Dashboard!$M$9,INDEX(Dashboard!$M$5:$M$9,$J388)))</f>
        <v/>
      </c>
      <c r="N388" s="22" t="str">
        <f aca="true">IF(OR($I388="Attempted",$I388="Revisit"),"DUE",IF($M388="","",IF($M388&lt;=TODAY(),"DUE","")))</f>
        <v/>
      </c>
      <c r="O388" s="11"/>
    </row>
    <row r="389" customFormat="false" ht="15" hidden="false" customHeight="true" outlineLevel="0" collapsed="false">
      <c r="A389" s="12" t="n">
        <v>388</v>
      </c>
      <c r="B389" s="11" t="s">
        <v>589</v>
      </c>
      <c r="C389" s="11" t="s">
        <v>595</v>
      </c>
      <c r="D389" s="11" t="s">
        <v>601</v>
      </c>
      <c r="E389" s="19" t="s">
        <v>109</v>
      </c>
      <c r="F389" s="19" t="s">
        <v>121</v>
      </c>
      <c r="G389" s="12" t="s">
        <v>96</v>
      </c>
      <c r="H389" s="20" t="s">
        <v>97</v>
      </c>
      <c r="I389" s="19" t="s">
        <v>98</v>
      </c>
      <c r="J389" s="19"/>
      <c r="K389" s="12"/>
      <c r="L389" s="21"/>
      <c r="M389" s="21" t="str">
        <f aca="false">IF($L389="","",$L389+IF($J389="",Dashboard!$M$9,INDEX(Dashboard!$M$5:$M$9,$J389)))</f>
        <v/>
      </c>
      <c r="N389" s="22" t="str">
        <f aca="true">IF(OR($I389="Attempted",$I389="Revisit"),"DUE",IF($M389="","",IF($M389&lt;=TODAY(),"DUE","")))</f>
        <v/>
      </c>
      <c r="O389" s="11"/>
    </row>
    <row r="390" customFormat="false" ht="15" hidden="false" customHeight="true" outlineLevel="0" collapsed="false">
      <c r="A390" s="12" t="n">
        <v>389</v>
      </c>
      <c r="B390" s="11" t="s">
        <v>589</v>
      </c>
      <c r="C390" s="11" t="s">
        <v>595</v>
      </c>
      <c r="D390" s="11" t="s">
        <v>602</v>
      </c>
      <c r="E390" s="19" t="s">
        <v>109</v>
      </c>
      <c r="F390" s="19" t="s">
        <v>121</v>
      </c>
      <c r="G390" s="12" t="s">
        <v>107</v>
      </c>
      <c r="H390" s="20" t="s">
        <v>97</v>
      </c>
      <c r="I390" s="19" t="s">
        <v>98</v>
      </c>
      <c r="J390" s="19"/>
      <c r="K390" s="12"/>
      <c r="L390" s="21"/>
      <c r="M390" s="21" t="str">
        <f aca="false">IF($L390="","",$L390+IF($J390="",Dashboard!$M$9,INDEX(Dashboard!$M$5:$M$9,$J390)))</f>
        <v/>
      </c>
      <c r="N390" s="22" t="str">
        <f aca="true">IF(OR($I390="Attempted",$I390="Revisit"),"DUE",IF($M390="","",IF($M390&lt;=TODAY(),"DUE","")))</f>
        <v/>
      </c>
      <c r="O390" s="11"/>
    </row>
    <row r="391" customFormat="false" ht="15" hidden="false" customHeight="true" outlineLevel="0" collapsed="false">
      <c r="A391" s="12" t="n">
        <v>390</v>
      </c>
      <c r="B391" s="11" t="s">
        <v>589</v>
      </c>
      <c r="C391" s="11" t="s">
        <v>603</v>
      </c>
      <c r="D391" s="11" t="s">
        <v>604</v>
      </c>
      <c r="E391" s="19" t="s">
        <v>109</v>
      </c>
      <c r="F391" s="19" t="s">
        <v>95</v>
      </c>
      <c r="G391" s="12" t="s">
        <v>107</v>
      </c>
      <c r="H391" s="20" t="s">
        <v>97</v>
      </c>
      <c r="I391" s="19" t="s">
        <v>98</v>
      </c>
      <c r="J391" s="19"/>
      <c r="K391" s="12"/>
      <c r="L391" s="21"/>
      <c r="M391" s="21" t="str">
        <f aca="false">IF($L391="","",$L391+IF($J391="",Dashboard!$M$9,INDEX(Dashboard!$M$5:$M$9,$J391)))</f>
        <v/>
      </c>
      <c r="N391" s="22" t="str">
        <f aca="true">IF(OR($I391="Attempted",$I391="Revisit"),"DUE",IF($M391="","",IF($M391&lt;=TODAY(),"DUE","")))</f>
        <v/>
      </c>
      <c r="O391" s="11"/>
    </row>
    <row r="392" customFormat="false" ht="15" hidden="false" customHeight="true" outlineLevel="0" collapsed="false">
      <c r="A392" s="12" t="n">
        <v>391</v>
      </c>
      <c r="B392" s="11" t="s">
        <v>589</v>
      </c>
      <c r="C392" s="11" t="s">
        <v>603</v>
      </c>
      <c r="D392" s="11" t="s">
        <v>605</v>
      </c>
      <c r="E392" s="19" t="s">
        <v>109</v>
      </c>
      <c r="F392" s="19" t="s">
        <v>95</v>
      </c>
      <c r="G392" s="12" t="s">
        <v>107</v>
      </c>
      <c r="H392" s="20" t="s">
        <v>97</v>
      </c>
      <c r="I392" s="19" t="s">
        <v>98</v>
      </c>
      <c r="J392" s="19"/>
      <c r="K392" s="12"/>
      <c r="L392" s="21"/>
      <c r="M392" s="21" t="str">
        <f aca="false">IF($L392="","",$L392+IF($J392="",Dashboard!$M$9,INDEX(Dashboard!$M$5:$M$9,$J392)))</f>
        <v/>
      </c>
      <c r="N392" s="22" t="str">
        <f aca="true">IF(OR($I392="Attempted",$I392="Revisit"),"DUE",IF($M392="","",IF($M392&lt;=TODAY(),"DUE","")))</f>
        <v/>
      </c>
      <c r="O392" s="11"/>
    </row>
    <row r="393" customFormat="false" ht="15" hidden="false" customHeight="true" outlineLevel="0" collapsed="false">
      <c r="A393" s="12" t="n">
        <v>392</v>
      </c>
      <c r="B393" s="11" t="s">
        <v>589</v>
      </c>
      <c r="C393" s="11" t="s">
        <v>606</v>
      </c>
      <c r="D393" s="11" t="s">
        <v>607</v>
      </c>
      <c r="E393" s="19" t="s">
        <v>109</v>
      </c>
      <c r="F393" s="19" t="s">
        <v>95</v>
      </c>
      <c r="G393" s="12" t="s">
        <v>107</v>
      </c>
      <c r="H393" s="20" t="s">
        <v>97</v>
      </c>
      <c r="I393" s="19" t="s">
        <v>98</v>
      </c>
      <c r="J393" s="19"/>
      <c r="K393" s="12"/>
      <c r="L393" s="21"/>
      <c r="M393" s="21" t="str">
        <f aca="false">IF($L393="","",$L393+IF($J393="",Dashboard!$M$9,INDEX(Dashboard!$M$5:$M$9,$J393)))</f>
        <v/>
      </c>
      <c r="N393" s="22" t="str">
        <f aca="true">IF(OR($I393="Attempted",$I393="Revisit"),"DUE",IF($M393="","",IF($M393&lt;=TODAY(),"DUE","")))</f>
        <v/>
      </c>
      <c r="O393" s="11"/>
    </row>
    <row r="394" customFormat="false" ht="15" hidden="false" customHeight="true" outlineLevel="0" collapsed="false">
      <c r="A394" s="12" t="n">
        <v>393</v>
      </c>
      <c r="B394" s="11" t="s">
        <v>589</v>
      </c>
      <c r="C394" s="11" t="s">
        <v>606</v>
      </c>
      <c r="D394" s="11" t="s">
        <v>608</v>
      </c>
      <c r="E394" s="19" t="s">
        <v>109</v>
      </c>
      <c r="F394" s="19" t="s">
        <v>95</v>
      </c>
      <c r="G394" s="12" t="s">
        <v>96</v>
      </c>
      <c r="H394" s="20" t="s">
        <v>97</v>
      </c>
      <c r="I394" s="19" t="s">
        <v>98</v>
      </c>
      <c r="J394" s="19"/>
      <c r="K394" s="12"/>
      <c r="L394" s="21"/>
      <c r="M394" s="21" t="str">
        <f aca="false">IF($L394="","",$L394+IF($J394="",Dashboard!$M$9,INDEX(Dashboard!$M$5:$M$9,$J394)))</f>
        <v/>
      </c>
      <c r="N394" s="22" t="str">
        <f aca="true">IF(OR($I394="Attempted",$I394="Revisit"),"DUE",IF($M394="","",IF($M394&lt;=TODAY(),"DUE","")))</f>
        <v/>
      </c>
      <c r="O394" s="11"/>
    </row>
    <row r="395" customFormat="false" ht="15" hidden="false" customHeight="true" outlineLevel="0" collapsed="false">
      <c r="A395" s="12" t="n">
        <v>394</v>
      </c>
      <c r="B395" s="11" t="s">
        <v>589</v>
      </c>
      <c r="C395" s="11" t="s">
        <v>606</v>
      </c>
      <c r="D395" s="11" t="s">
        <v>609</v>
      </c>
      <c r="E395" s="19" t="s">
        <v>135</v>
      </c>
      <c r="F395" s="19" t="s">
        <v>136</v>
      </c>
      <c r="G395" s="12" t="s">
        <v>107</v>
      </c>
      <c r="H395" s="20" t="s">
        <v>97</v>
      </c>
      <c r="I395" s="19" t="s">
        <v>98</v>
      </c>
      <c r="J395" s="19"/>
      <c r="K395" s="12"/>
      <c r="L395" s="21"/>
      <c r="M395" s="21" t="str">
        <f aca="false">IF($L395="","",$L395+IF($J395="",Dashboard!$M$9,INDEX(Dashboard!$M$5:$M$9,$J395)))</f>
        <v/>
      </c>
      <c r="N395" s="22" t="str">
        <f aca="true">IF(OR($I395="Attempted",$I395="Revisit"),"DUE",IF($M395="","",IF($M395&lt;=TODAY(),"DUE","")))</f>
        <v/>
      </c>
      <c r="O395" s="11"/>
    </row>
    <row r="396" customFormat="false" ht="15" hidden="false" customHeight="true" outlineLevel="0" collapsed="false">
      <c r="A396" s="12" t="n">
        <v>395</v>
      </c>
      <c r="B396" s="11" t="s">
        <v>589</v>
      </c>
      <c r="C396" s="11" t="s">
        <v>606</v>
      </c>
      <c r="D396" s="11" t="s">
        <v>610</v>
      </c>
      <c r="E396" s="19" t="s">
        <v>135</v>
      </c>
      <c r="F396" s="19" t="s">
        <v>136</v>
      </c>
      <c r="G396" s="12" t="s">
        <v>107</v>
      </c>
      <c r="H396" s="20" t="s">
        <v>97</v>
      </c>
      <c r="I396" s="19" t="s">
        <v>98</v>
      </c>
      <c r="J396" s="19"/>
      <c r="K396" s="12"/>
      <c r="L396" s="21"/>
      <c r="M396" s="21" t="str">
        <f aca="false">IF($L396="","",$L396+IF($J396="",Dashboard!$M$9,INDEX(Dashboard!$M$5:$M$9,$J396)))</f>
        <v/>
      </c>
      <c r="N396" s="22" t="str">
        <f aca="true">IF(OR($I396="Attempted",$I396="Revisit"),"DUE",IF($M396="","",IF($M396&lt;=TODAY(),"DUE","")))</f>
        <v/>
      </c>
      <c r="O396" s="11"/>
    </row>
    <row r="397" customFormat="false" ht="15" hidden="false" customHeight="true" outlineLevel="0" collapsed="false">
      <c r="A397" s="12" t="n">
        <v>396</v>
      </c>
      <c r="B397" s="11" t="s">
        <v>589</v>
      </c>
      <c r="C397" s="11" t="s">
        <v>606</v>
      </c>
      <c r="D397" s="11" t="s">
        <v>611</v>
      </c>
      <c r="E397" s="19" t="s">
        <v>109</v>
      </c>
      <c r="F397" s="19" t="s">
        <v>121</v>
      </c>
      <c r="G397" s="12" t="s">
        <v>96</v>
      </c>
      <c r="H397" s="20" t="s">
        <v>97</v>
      </c>
      <c r="I397" s="19" t="s">
        <v>98</v>
      </c>
      <c r="J397" s="19"/>
      <c r="K397" s="12"/>
      <c r="L397" s="21"/>
      <c r="M397" s="21" t="str">
        <f aca="false">IF($L397="","",$L397+IF($J397="",Dashboard!$M$9,INDEX(Dashboard!$M$5:$M$9,$J397)))</f>
        <v/>
      </c>
      <c r="N397" s="22" t="str">
        <f aca="true">IF(OR($I397="Attempted",$I397="Revisit"),"DUE",IF($M397="","",IF($M397&lt;=TODAY(),"DUE","")))</f>
        <v/>
      </c>
      <c r="O397" s="11"/>
    </row>
    <row r="398" customFormat="false" ht="15" hidden="false" customHeight="true" outlineLevel="0" collapsed="false">
      <c r="A398" s="12" t="n">
        <v>397</v>
      </c>
      <c r="B398" s="11" t="s">
        <v>589</v>
      </c>
      <c r="C398" s="11" t="s">
        <v>612</v>
      </c>
      <c r="D398" s="11" t="s">
        <v>613</v>
      </c>
      <c r="E398" s="19" t="s">
        <v>109</v>
      </c>
      <c r="F398" s="19" t="s">
        <v>95</v>
      </c>
      <c r="G398" s="12" t="s">
        <v>107</v>
      </c>
      <c r="H398" s="20" t="s">
        <v>97</v>
      </c>
      <c r="I398" s="19" t="s">
        <v>98</v>
      </c>
      <c r="J398" s="19"/>
      <c r="K398" s="12"/>
      <c r="L398" s="21"/>
      <c r="M398" s="21" t="str">
        <f aca="false">IF($L398="","",$L398+IF($J398="",Dashboard!$M$9,INDEX(Dashboard!$M$5:$M$9,$J398)))</f>
        <v/>
      </c>
      <c r="N398" s="22" t="str">
        <f aca="true">IF(OR($I398="Attempted",$I398="Revisit"),"DUE",IF($M398="","",IF($M398&lt;=TODAY(),"DUE","")))</f>
        <v/>
      </c>
      <c r="O398" s="11"/>
    </row>
    <row r="399" customFormat="false" ht="15" hidden="false" customHeight="true" outlineLevel="0" collapsed="false">
      <c r="A399" s="12" t="n">
        <v>398</v>
      </c>
      <c r="B399" s="11" t="s">
        <v>589</v>
      </c>
      <c r="C399" s="11" t="s">
        <v>323</v>
      </c>
      <c r="D399" s="11" t="s">
        <v>614</v>
      </c>
      <c r="E399" s="19" t="s">
        <v>109</v>
      </c>
      <c r="F399" s="19" t="s">
        <v>95</v>
      </c>
      <c r="G399" s="12" t="s">
        <v>96</v>
      </c>
      <c r="H399" s="20" t="s">
        <v>97</v>
      </c>
      <c r="I399" s="19" t="s">
        <v>98</v>
      </c>
      <c r="J399" s="19"/>
      <c r="K399" s="12"/>
      <c r="L399" s="21"/>
      <c r="M399" s="21" t="str">
        <f aca="false">IF($L399="","",$L399+IF($J399="",Dashboard!$M$9,INDEX(Dashboard!$M$5:$M$9,$J399)))</f>
        <v/>
      </c>
      <c r="N399" s="22" t="str">
        <f aca="true">IF(OR($I399="Attempted",$I399="Revisit"),"DUE",IF($M399="","",IF($M399&lt;=TODAY(),"DUE","")))</f>
        <v/>
      </c>
      <c r="O399" s="11"/>
    </row>
    <row r="400" customFormat="false" ht="15" hidden="false" customHeight="true" outlineLevel="0" collapsed="false">
      <c r="A400" s="12" t="n">
        <v>399</v>
      </c>
      <c r="B400" s="11" t="s">
        <v>589</v>
      </c>
      <c r="C400" s="11" t="s">
        <v>323</v>
      </c>
      <c r="D400" s="11" t="s">
        <v>615</v>
      </c>
      <c r="E400" s="19" t="s">
        <v>109</v>
      </c>
      <c r="F400" s="19" t="s">
        <v>95</v>
      </c>
      <c r="G400" s="12" t="s">
        <v>96</v>
      </c>
      <c r="H400" s="20" t="s">
        <v>97</v>
      </c>
      <c r="I400" s="19" t="s">
        <v>98</v>
      </c>
      <c r="J400" s="19"/>
      <c r="K400" s="12"/>
      <c r="L400" s="21"/>
      <c r="M400" s="21" t="str">
        <f aca="false">IF($L400="","",$L400+IF($J400="",Dashboard!$M$9,INDEX(Dashboard!$M$5:$M$9,$J400)))</f>
        <v/>
      </c>
      <c r="N400" s="22" t="str">
        <f aca="true">IF(OR($I400="Attempted",$I400="Revisit"),"DUE",IF($M400="","",IF($M400&lt;=TODAY(),"DUE","")))</f>
        <v/>
      </c>
      <c r="O400" s="11"/>
    </row>
    <row r="401" customFormat="false" ht="15" hidden="false" customHeight="true" outlineLevel="0" collapsed="false">
      <c r="A401" s="12" t="n">
        <v>400</v>
      </c>
      <c r="B401" s="11" t="s">
        <v>589</v>
      </c>
      <c r="C401" s="11" t="s">
        <v>323</v>
      </c>
      <c r="D401" s="11" t="s">
        <v>616</v>
      </c>
      <c r="E401" s="19" t="s">
        <v>109</v>
      </c>
      <c r="F401" s="19" t="s">
        <v>121</v>
      </c>
      <c r="G401" s="12" t="s">
        <v>107</v>
      </c>
      <c r="H401" s="20" t="s">
        <v>97</v>
      </c>
      <c r="I401" s="19" t="s">
        <v>98</v>
      </c>
      <c r="J401" s="19"/>
      <c r="K401" s="12"/>
      <c r="L401" s="21"/>
      <c r="M401" s="21" t="str">
        <f aca="false">IF($L401="","",$L401+IF($J401="",Dashboard!$M$9,INDEX(Dashboard!$M$5:$M$9,$J401)))</f>
        <v/>
      </c>
      <c r="N401" s="22" t="str">
        <f aca="true">IF(OR($I401="Attempted",$I401="Revisit"),"DUE",IF($M401="","",IF($M401&lt;=TODAY(),"DUE","")))</f>
        <v/>
      </c>
      <c r="O401" s="11"/>
    </row>
    <row r="402" customFormat="false" ht="15" hidden="false" customHeight="true" outlineLevel="0" collapsed="false">
      <c r="A402" s="12" t="n">
        <v>401</v>
      </c>
      <c r="B402" s="11" t="s">
        <v>589</v>
      </c>
      <c r="C402" s="11" t="s">
        <v>617</v>
      </c>
      <c r="D402" s="11" t="s">
        <v>618</v>
      </c>
      <c r="E402" s="19" t="s">
        <v>109</v>
      </c>
      <c r="F402" s="19" t="s">
        <v>95</v>
      </c>
      <c r="G402" s="12" t="s">
        <v>107</v>
      </c>
      <c r="H402" s="20" t="s">
        <v>97</v>
      </c>
      <c r="I402" s="19" t="s">
        <v>98</v>
      </c>
      <c r="J402" s="19"/>
      <c r="K402" s="12"/>
      <c r="L402" s="21"/>
      <c r="M402" s="21" t="str">
        <f aca="false">IF($L402="","",$L402+IF($J402="",Dashboard!$M$9,INDEX(Dashboard!$M$5:$M$9,$J402)))</f>
        <v/>
      </c>
      <c r="N402" s="22" t="str">
        <f aca="true">IF(OR($I402="Attempted",$I402="Revisit"),"DUE",IF($M402="","",IF($M402&lt;=TODAY(),"DUE","")))</f>
        <v/>
      </c>
      <c r="O402" s="11"/>
    </row>
    <row r="403" customFormat="false" ht="15" hidden="false" customHeight="true" outlineLevel="0" collapsed="false">
      <c r="A403" s="12" t="n">
        <v>402</v>
      </c>
      <c r="B403" s="11" t="s">
        <v>589</v>
      </c>
      <c r="C403" s="11" t="s">
        <v>619</v>
      </c>
      <c r="D403" s="11" t="s">
        <v>620</v>
      </c>
      <c r="E403" s="19" t="s">
        <v>109</v>
      </c>
      <c r="F403" s="19" t="s">
        <v>95</v>
      </c>
      <c r="G403" s="12" t="s">
        <v>96</v>
      </c>
      <c r="H403" s="20" t="s">
        <v>97</v>
      </c>
      <c r="I403" s="19" t="s">
        <v>98</v>
      </c>
      <c r="J403" s="19"/>
      <c r="K403" s="12"/>
      <c r="L403" s="21"/>
      <c r="M403" s="21" t="str">
        <f aca="false">IF($L403="","",$L403+IF($J403="",Dashboard!$M$9,INDEX(Dashboard!$M$5:$M$9,$J403)))</f>
        <v/>
      </c>
      <c r="N403" s="22" t="str">
        <f aca="true">IF(OR($I403="Attempted",$I403="Revisit"),"DUE",IF($M403="","",IF($M403&lt;=TODAY(),"DUE","")))</f>
        <v/>
      </c>
      <c r="O403" s="11"/>
    </row>
    <row r="404" customFormat="false" ht="15" hidden="false" customHeight="true" outlineLevel="0" collapsed="false">
      <c r="A404" s="12" t="n">
        <v>403</v>
      </c>
      <c r="B404" s="11" t="s">
        <v>589</v>
      </c>
      <c r="C404" s="11" t="s">
        <v>619</v>
      </c>
      <c r="D404" s="11" t="s">
        <v>621</v>
      </c>
      <c r="E404" s="19" t="s">
        <v>109</v>
      </c>
      <c r="F404" s="19" t="s">
        <v>95</v>
      </c>
      <c r="G404" s="12" t="s">
        <v>107</v>
      </c>
      <c r="H404" s="20" t="s">
        <v>97</v>
      </c>
      <c r="I404" s="19" t="s">
        <v>98</v>
      </c>
      <c r="J404" s="19"/>
      <c r="K404" s="12"/>
      <c r="L404" s="21"/>
      <c r="M404" s="21" t="str">
        <f aca="false">IF($L404="","",$L404+IF($J404="",Dashboard!$M$9,INDEX(Dashboard!$M$5:$M$9,$J404)))</f>
        <v/>
      </c>
      <c r="N404" s="22" t="str">
        <f aca="true">IF(OR($I404="Attempted",$I404="Revisit"),"DUE",IF($M404="","",IF($M404&lt;=TODAY(),"DUE","")))</f>
        <v/>
      </c>
      <c r="O404" s="11"/>
    </row>
    <row r="405" customFormat="false" ht="15" hidden="false" customHeight="true" outlineLevel="0" collapsed="false">
      <c r="A405" s="12" t="n">
        <v>404</v>
      </c>
      <c r="B405" s="11" t="s">
        <v>589</v>
      </c>
      <c r="C405" s="11" t="s">
        <v>619</v>
      </c>
      <c r="D405" s="11" t="s">
        <v>622</v>
      </c>
      <c r="E405" s="19" t="s">
        <v>109</v>
      </c>
      <c r="F405" s="19" t="s">
        <v>121</v>
      </c>
      <c r="G405" s="12" t="s">
        <v>107</v>
      </c>
      <c r="H405" s="20" t="s">
        <v>97</v>
      </c>
      <c r="I405" s="19" t="s">
        <v>98</v>
      </c>
      <c r="J405" s="19"/>
      <c r="K405" s="12"/>
      <c r="L405" s="21"/>
      <c r="M405" s="21" t="str">
        <f aca="false">IF($L405="","",$L405+IF($J405="",Dashboard!$M$9,INDEX(Dashboard!$M$5:$M$9,$J405)))</f>
        <v/>
      </c>
      <c r="N405" s="22" t="str">
        <f aca="true">IF(OR($I405="Attempted",$I405="Revisit"),"DUE",IF($M405="","",IF($M405&lt;=TODAY(),"DUE","")))</f>
        <v/>
      </c>
      <c r="O405" s="11"/>
    </row>
    <row r="406" customFormat="false" ht="15" hidden="false" customHeight="true" outlineLevel="0" collapsed="false">
      <c r="A406" s="12" t="n">
        <v>405</v>
      </c>
      <c r="B406" s="11" t="s">
        <v>589</v>
      </c>
      <c r="C406" s="11" t="s">
        <v>619</v>
      </c>
      <c r="D406" s="11" t="s">
        <v>623</v>
      </c>
      <c r="E406" s="19" t="s">
        <v>135</v>
      </c>
      <c r="F406" s="19" t="s">
        <v>136</v>
      </c>
      <c r="G406" s="12" t="s">
        <v>96</v>
      </c>
      <c r="H406" s="20" t="s">
        <v>97</v>
      </c>
      <c r="I406" s="19" t="s">
        <v>98</v>
      </c>
      <c r="J406" s="19"/>
      <c r="K406" s="12"/>
      <c r="L406" s="21"/>
      <c r="M406" s="21" t="str">
        <f aca="false">IF($L406="","",$L406+IF($J406="",Dashboard!$M$9,INDEX(Dashboard!$M$5:$M$9,$J406)))</f>
        <v/>
      </c>
      <c r="N406" s="22" t="str">
        <f aca="true">IF(OR($I406="Attempted",$I406="Revisit"),"DUE",IF($M406="","",IF($M406&lt;=TODAY(),"DUE","")))</f>
        <v/>
      </c>
      <c r="O406" s="11"/>
    </row>
    <row r="407" customFormat="false" ht="15" hidden="false" customHeight="true" outlineLevel="0" collapsed="false">
      <c r="A407" s="12" t="n">
        <v>406</v>
      </c>
      <c r="B407" s="11" t="s">
        <v>589</v>
      </c>
      <c r="C407" s="11" t="s">
        <v>619</v>
      </c>
      <c r="D407" s="11" t="s">
        <v>624</v>
      </c>
      <c r="E407" s="19" t="s">
        <v>109</v>
      </c>
      <c r="F407" s="19" t="s">
        <v>121</v>
      </c>
      <c r="G407" s="12" t="s">
        <v>107</v>
      </c>
      <c r="H407" s="20" t="s">
        <v>97</v>
      </c>
      <c r="I407" s="19" t="s">
        <v>98</v>
      </c>
      <c r="J407" s="19"/>
      <c r="K407" s="12"/>
      <c r="L407" s="21"/>
      <c r="M407" s="21" t="str">
        <f aca="false">IF($L407="","",$L407+IF($J407="",Dashboard!$M$9,INDEX(Dashboard!$M$5:$M$9,$J407)))</f>
        <v/>
      </c>
      <c r="N407" s="22" t="str">
        <f aca="true">IF(OR($I407="Attempted",$I407="Revisit"),"DUE",IF($M407="","",IF($M407&lt;=TODAY(),"DUE","")))</f>
        <v/>
      </c>
      <c r="O407" s="11"/>
    </row>
    <row r="408" customFormat="false" ht="15" hidden="false" customHeight="true" outlineLevel="0" collapsed="false">
      <c r="A408" s="12" t="n">
        <v>407</v>
      </c>
      <c r="B408" s="11" t="s">
        <v>589</v>
      </c>
      <c r="C408" s="11" t="s">
        <v>619</v>
      </c>
      <c r="D408" s="11" t="s">
        <v>625</v>
      </c>
      <c r="E408" s="19" t="s">
        <v>109</v>
      </c>
      <c r="F408" s="19" t="s">
        <v>121</v>
      </c>
      <c r="G408" s="12" t="s">
        <v>96</v>
      </c>
      <c r="H408" s="20" t="s">
        <v>97</v>
      </c>
      <c r="I408" s="19" t="s">
        <v>98</v>
      </c>
      <c r="J408" s="19"/>
      <c r="K408" s="12"/>
      <c r="L408" s="21"/>
      <c r="M408" s="21" t="str">
        <f aca="false">IF($L408="","",$L408+IF($J408="",Dashboard!$M$9,INDEX(Dashboard!$M$5:$M$9,$J408)))</f>
        <v/>
      </c>
      <c r="N408" s="22" t="str">
        <f aca="true">IF(OR($I408="Attempted",$I408="Revisit"),"DUE",IF($M408="","",IF($M408&lt;=TODAY(),"DUE","")))</f>
        <v/>
      </c>
      <c r="O408" s="11"/>
    </row>
    <row r="409" customFormat="false" ht="15" hidden="false" customHeight="true" outlineLevel="0" collapsed="false">
      <c r="A409" s="12" t="n">
        <v>408</v>
      </c>
      <c r="B409" s="11" t="s">
        <v>589</v>
      </c>
      <c r="C409" s="11" t="s">
        <v>626</v>
      </c>
      <c r="D409" s="11" t="s">
        <v>627</v>
      </c>
      <c r="E409" s="19" t="s">
        <v>109</v>
      </c>
      <c r="F409" s="19" t="s">
        <v>95</v>
      </c>
      <c r="G409" s="12" t="s">
        <v>96</v>
      </c>
      <c r="H409" s="20" t="s">
        <v>97</v>
      </c>
      <c r="I409" s="19" t="s">
        <v>98</v>
      </c>
      <c r="J409" s="19"/>
      <c r="K409" s="12"/>
      <c r="L409" s="21"/>
      <c r="M409" s="21" t="str">
        <f aca="false">IF($L409="","",$L409+IF($J409="",Dashboard!$M$9,INDEX(Dashboard!$M$5:$M$9,$J409)))</f>
        <v/>
      </c>
      <c r="N409" s="22" t="str">
        <f aca="true">IF(OR($I409="Attempted",$I409="Revisit"),"DUE",IF($M409="","",IF($M409&lt;=TODAY(),"DUE","")))</f>
        <v/>
      </c>
      <c r="O409" s="11"/>
    </row>
    <row r="410" customFormat="false" ht="15" hidden="false" customHeight="true" outlineLevel="0" collapsed="false">
      <c r="A410" s="12" t="n">
        <v>409</v>
      </c>
      <c r="B410" s="11" t="s">
        <v>589</v>
      </c>
      <c r="C410" s="11" t="s">
        <v>626</v>
      </c>
      <c r="D410" s="11" t="s">
        <v>628</v>
      </c>
      <c r="E410" s="19" t="s">
        <v>109</v>
      </c>
      <c r="F410" s="19" t="s">
        <v>95</v>
      </c>
      <c r="G410" s="12" t="s">
        <v>107</v>
      </c>
      <c r="H410" s="20" t="s">
        <v>97</v>
      </c>
      <c r="I410" s="19" t="s">
        <v>98</v>
      </c>
      <c r="J410" s="19"/>
      <c r="K410" s="12"/>
      <c r="L410" s="21"/>
      <c r="M410" s="21" t="str">
        <f aca="false">IF($L410="","",$L410+IF($J410="",Dashboard!$M$9,INDEX(Dashboard!$M$5:$M$9,$J410)))</f>
        <v/>
      </c>
      <c r="N410" s="22" t="str">
        <f aca="true">IF(OR($I410="Attempted",$I410="Revisit"),"DUE",IF($M410="","",IF($M410&lt;=TODAY(),"DUE","")))</f>
        <v/>
      </c>
      <c r="O410" s="11"/>
    </row>
    <row r="411" customFormat="false" ht="15" hidden="false" customHeight="true" outlineLevel="0" collapsed="false">
      <c r="A411" s="12" t="n">
        <v>410</v>
      </c>
      <c r="B411" s="11" t="s">
        <v>589</v>
      </c>
      <c r="C411" s="11" t="s">
        <v>626</v>
      </c>
      <c r="D411" s="11" t="s">
        <v>629</v>
      </c>
      <c r="E411" s="19" t="s">
        <v>109</v>
      </c>
      <c r="F411" s="19" t="s">
        <v>121</v>
      </c>
      <c r="G411" s="12" t="s">
        <v>107</v>
      </c>
      <c r="H411" s="20" t="s">
        <v>97</v>
      </c>
      <c r="I411" s="19" t="s">
        <v>98</v>
      </c>
      <c r="J411" s="19"/>
      <c r="K411" s="12"/>
      <c r="L411" s="21"/>
      <c r="M411" s="21" t="str">
        <f aca="false">IF($L411="","",$L411+IF($J411="",Dashboard!$M$9,INDEX(Dashboard!$M$5:$M$9,$J411)))</f>
        <v/>
      </c>
      <c r="N411" s="22" t="str">
        <f aca="true">IF(OR($I411="Attempted",$I411="Revisit"),"DUE",IF($M411="","",IF($M411&lt;=TODAY(),"DUE","")))</f>
        <v/>
      </c>
      <c r="O411" s="11"/>
    </row>
    <row r="412" customFormat="false" ht="15" hidden="false" customHeight="true" outlineLevel="0" collapsed="false">
      <c r="A412" s="12" t="n">
        <v>411</v>
      </c>
      <c r="B412" s="11" t="s">
        <v>589</v>
      </c>
      <c r="C412" s="11" t="s">
        <v>626</v>
      </c>
      <c r="D412" s="11" t="s">
        <v>630</v>
      </c>
      <c r="E412" s="19" t="s">
        <v>135</v>
      </c>
      <c r="F412" s="19" t="s">
        <v>136</v>
      </c>
      <c r="G412" s="12" t="s">
        <v>107</v>
      </c>
      <c r="H412" s="20" t="s">
        <v>97</v>
      </c>
      <c r="I412" s="19" t="s">
        <v>98</v>
      </c>
      <c r="J412" s="19"/>
      <c r="K412" s="12"/>
      <c r="L412" s="21"/>
      <c r="M412" s="21" t="str">
        <f aca="false">IF($L412="","",$L412+IF($J412="",Dashboard!$M$9,INDEX(Dashboard!$M$5:$M$9,$J412)))</f>
        <v/>
      </c>
      <c r="N412" s="22" t="str">
        <f aca="true">IF(OR($I412="Attempted",$I412="Revisit"),"DUE",IF($M412="","",IF($M412&lt;=TODAY(),"DUE","")))</f>
        <v/>
      </c>
      <c r="O412" s="11"/>
    </row>
    <row r="413" customFormat="false" ht="15" hidden="false" customHeight="true" outlineLevel="0" collapsed="false">
      <c r="A413" s="12" t="n">
        <v>412</v>
      </c>
      <c r="B413" s="11" t="s">
        <v>589</v>
      </c>
      <c r="C413" s="11" t="s">
        <v>626</v>
      </c>
      <c r="D413" s="11" t="s">
        <v>631</v>
      </c>
      <c r="E413" s="19" t="s">
        <v>109</v>
      </c>
      <c r="F413" s="19" t="s">
        <v>121</v>
      </c>
      <c r="G413" s="12" t="s">
        <v>107</v>
      </c>
      <c r="H413" s="20" t="s">
        <v>97</v>
      </c>
      <c r="I413" s="19" t="s">
        <v>98</v>
      </c>
      <c r="J413" s="19"/>
      <c r="K413" s="12"/>
      <c r="L413" s="21"/>
      <c r="M413" s="21" t="str">
        <f aca="false">IF($L413="","",$L413+IF($J413="",Dashboard!$M$9,INDEX(Dashboard!$M$5:$M$9,$J413)))</f>
        <v/>
      </c>
      <c r="N413" s="22" t="str">
        <f aca="true">IF(OR($I413="Attempted",$I413="Revisit"),"DUE",IF($M413="","",IF($M413&lt;=TODAY(),"DUE","")))</f>
        <v/>
      </c>
      <c r="O413" s="11"/>
    </row>
    <row r="414" customFormat="false" ht="15" hidden="false" customHeight="true" outlineLevel="0" collapsed="false">
      <c r="A414" s="12" t="n">
        <v>413</v>
      </c>
      <c r="B414" s="11" t="s">
        <v>589</v>
      </c>
      <c r="C414" s="11" t="s">
        <v>626</v>
      </c>
      <c r="D414" s="11" t="s">
        <v>632</v>
      </c>
      <c r="E414" s="19" t="s">
        <v>109</v>
      </c>
      <c r="F414" s="19" t="s">
        <v>121</v>
      </c>
      <c r="G414" s="12" t="s">
        <v>107</v>
      </c>
      <c r="H414" s="20" t="s">
        <v>97</v>
      </c>
      <c r="I414" s="19" t="s">
        <v>98</v>
      </c>
      <c r="J414" s="19"/>
      <c r="K414" s="12"/>
      <c r="L414" s="21"/>
      <c r="M414" s="21" t="str">
        <f aca="false">IF($L414="","",$L414+IF($J414="",Dashboard!$M$9,INDEX(Dashboard!$M$5:$M$9,$J414)))</f>
        <v/>
      </c>
      <c r="N414" s="22" t="str">
        <f aca="true">IF(OR($I414="Attempted",$I414="Revisit"),"DUE",IF($M414="","",IF($M414&lt;=TODAY(),"DUE","")))</f>
        <v/>
      </c>
      <c r="O414" s="11"/>
    </row>
    <row r="415" customFormat="false" ht="15" hidden="false" customHeight="true" outlineLevel="0" collapsed="false">
      <c r="A415" s="12" t="n">
        <v>414</v>
      </c>
      <c r="B415" s="11" t="s">
        <v>589</v>
      </c>
      <c r="C415" s="11" t="s">
        <v>633</v>
      </c>
      <c r="D415" s="11" t="s">
        <v>634</v>
      </c>
      <c r="E415" s="19" t="s">
        <v>109</v>
      </c>
      <c r="F415" s="19" t="s">
        <v>95</v>
      </c>
      <c r="G415" s="12" t="s">
        <v>96</v>
      </c>
      <c r="H415" s="20" t="s">
        <v>97</v>
      </c>
      <c r="I415" s="19" t="s">
        <v>98</v>
      </c>
      <c r="J415" s="19"/>
      <c r="K415" s="12"/>
      <c r="L415" s="21"/>
      <c r="M415" s="21" t="str">
        <f aca="false">IF($L415="","",$L415+IF($J415="",Dashboard!$M$9,INDEX(Dashboard!$M$5:$M$9,$J415)))</f>
        <v/>
      </c>
      <c r="N415" s="22" t="str">
        <f aca="true">IF(OR($I415="Attempted",$I415="Revisit"),"DUE",IF($M415="","",IF($M415&lt;=TODAY(),"DUE","")))</f>
        <v/>
      </c>
      <c r="O415" s="11"/>
    </row>
    <row r="416" customFormat="false" ht="15" hidden="false" customHeight="true" outlineLevel="0" collapsed="false">
      <c r="A416" s="12" t="n">
        <v>415</v>
      </c>
      <c r="B416" s="11" t="s">
        <v>589</v>
      </c>
      <c r="C416" s="11" t="s">
        <v>633</v>
      </c>
      <c r="D416" s="11" t="s">
        <v>635</v>
      </c>
      <c r="E416" s="19" t="s">
        <v>109</v>
      </c>
      <c r="F416" s="19" t="s">
        <v>95</v>
      </c>
      <c r="G416" s="12" t="s">
        <v>107</v>
      </c>
      <c r="H416" s="20" t="s">
        <v>97</v>
      </c>
      <c r="I416" s="19" t="s">
        <v>98</v>
      </c>
      <c r="J416" s="19"/>
      <c r="K416" s="12"/>
      <c r="L416" s="21"/>
      <c r="M416" s="21" t="str">
        <f aca="false">IF($L416="","",$L416+IF($J416="",Dashboard!$M$9,INDEX(Dashboard!$M$5:$M$9,$J416)))</f>
        <v/>
      </c>
      <c r="N416" s="22" t="str">
        <f aca="true">IF(OR($I416="Attempted",$I416="Revisit"),"DUE",IF($M416="","",IF($M416&lt;=TODAY(),"DUE","")))</f>
        <v/>
      </c>
      <c r="O416" s="11"/>
    </row>
    <row r="417" customFormat="false" ht="15" hidden="false" customHeight="true" outlineLevel="0" collapsed="false">
      <c r="A417" s="12" t="n">
        <v>416</v>
      </c>
      <c r="B417" s="11" t="s">
        <v>589</v>
      </c>
      <c r="C417" s="11" t="s">
        <v>636</v>
      </c>
      <c r="D417" s="11" t="s">
        <v>637</v>
      </c>
      <c r="E417" s="19" t="s">
        <v>109</v>
      </c>
      <c r="F417" s="19" t="s">
        <v>95</v>
      </c>
      <c r="G417" s="12" t="s">
        <v>96</v>
      </c>
      <c r="H417" s="20" t="s">
        <v>97</v>
      </c>
      <c r="I417" s="19" t="s">
        <v>98</v>
      </c>
      <c r="J417" s="19"/>
      <c r="K417" s="12"/>
      <c r="L417" s="21"/>
      <c r="M417" s="21" t="str">
        <f aca="false">IF($L417="","",$L417+IF($J417="",Dashboard!$M$9,INDEX(Dashboard!$M$5:$M$9,$J417)))</f>
        <v/>
      </c>
      <c r="N417" s="22" t="str">
        <f aca="true">IF(OR($I417="Attempted",$I417="Revisit"),"DUE",IF($M417="","",IF($M417&lt;=TODAY(),"DUE","")))</f>
        <v/>
      </c>
      <c r="O417" s="11"/>
    </row>
    <row r="418" customFormat="false" ht="15" hidden="false" customHeight="true" outlineLevel="0" collapsed="false">
      <c r="A418" s="12" t="n">
        <v>417</v>
      </c>
      <c r="B418" s="11" t="s">
        <v>589</v>
      </c>
      <c r="C418" s="11" t="s">
        <v>636</v>
      </c>
      <c r="D418" s="11" t="s">
        <v>638</v>
      </c>
      <c r="E418" s="19" t="s">
        <v>109</v>
      </c>
      <c r="F418" s="19" t="s">
        <v>95</v>
      </c>
      <c r="G418" s="12" t="s">
        <v>107</v>
      </c>
      <c r="H418" s="20" t="s">
        <v>97</v>
      </c>
      <c r="I418" s="19" t="s">
        <v>98</v>
      </c>
      <c r="J418" s="19"/>
      <c r="K418" s="12"/>
      <c r="L418" s="21"/>
      <c r="M418" s="21" t="str">
        <f aca="false">IF($L418="","",$L418+IF($J418="",Dashboard!$M$9,INDEX(Dashboard!$M$5:$M$9,$J418)))</f>
        <v/>
      </c>
      <c r="N418" s="22" t="str">
        <f aca="true">IF(OR($I418="Attempted",$I418="Revisit"),"DUE",IF($M418="","",IF($M418&lt;=TODAY(),"DUE","")))</f>
        <v/>
      </c>
      <c r="O418" s="11"/>
    </row>
    <row r="419" customFormat="false" ht="15" hidden="false" customHeight="true" outlineLevel="0" collapsed="false">
      <c r="A419" s="12" t="n">
        <v>418</v>
      </c>
      <c r="B419" s="11" t="s">
        <v>589</v>
      </c>
      <c r="C419" s="11" t="s">
        <v>639</v>
      </c>
      <c r="D419" s="11" t="s">
        <v>640</v>
      </c>
      <c r="E419" s="19" t="s">
        <v>109</v>
      </c>
      <c r="F419" s="19" t="s">
        <v>95</v>
      </c>
      <c r="G419" s="12" t="s">
        <v>96</v>
      </c>
      <c r="H419" s="20" t="s">
        <v>97</v>
      </c>
      <c r="I419" s="19" t="s">
        <v>98</v>
      </c>
      <c r="J419" s="19"/>
      <c r="K419" s="12"/>
      <c r="L419" s="21"/>
      <c r="M419" s="21" t="str">
        <f aca="false">IF($L419="","",$L419+IF($J419="",Dashboard!$M$9,INDEX(Dashboard!$M$5:$M$9,$J419)))</f>
        <v/>
      </c>
      <c r="N419" s="22" t="str">
        <f aca="true">IF(OR($I419="Attempted",$I419="Revisit"),"DUE",IF($M419="","",IF($M419&lt;=TODAY(),"DUE","")))</f>
        <v/>
      </c>
      <c r="O419" s="11"/>
    </row>
    <row r="420" customFormat="false" ht="15" hidden="false" customHeight="true" outlineLevel="0" collapsed="false">
      <c r="A420" s="12" t="n">
        <v>419</v>
      </c>
      <c r="B420" s="11" t="s">
        <v>589</v>
      </c>
      <c r="C420" s="11" t="s">
        <v>639</v>
      </c>
      <c r="D420" s="11" t="s">
        <v>641</v>
      </c>
      <c r="E420" s="19" t="s">
        <v>109</v>
      </c>
      <c r="F420" s="19" t="s">
        <v>95</v>
      </c>
      <c r="G420" s="12" t="s">
        <v>96</v>
      </c>
      <c r="H420" s="20" t="s">
        <v>97</v>
      </c>
      <c r="I420" s="19" t="s">
        <v>98</v>
      </c>
      <c r="J420" s="19"/>
      <c r="K420" s="12"/>
      <c r="L420" s="21"/>
      <c r="M420" s="21" t="str">
        <f aca="false">IF($L420="","",$L420+IF($J420="",Dashboard!$M$9,INDEX(Dashboard!$M$5:$M$9,$J420)))</f>
        <v/>
      </c>
      <c r="N420" s="22" t="str">
        <f aca="true">IF(OR($I420="Attempted",$I420="Revisit"),"DUE",IF($M420="","",IF($M420&lt;=TODAY(),"DUE","")))</f>
        <v/>
      </c>
      <c r="O420" s="11"/>
    </row>
    <row r="421" customFormat="false" ht="15" hidden="false" customHeight="true" outlineLevel="0" collapsed="false">
      <c r="A421" s="12" t="n">
        <v>420</v>
      </c>
      <c r="B421" s="11" t="s">
        <v>589</v>
      </c>
      <c r="C421" s="11" t="s">
        <v>639</v>
      </c>
      <c r="D421" s="11" t="s">
        <v>642</v>
      </c>
      <c r="E421" s="19" t="s">
        <v>109</v>
      </c>
      <c r="F421" s="19" t="s">
        <v>121</v>
      </c>
      <c r="G421" s="12" t="s">
        <v>107</v>
      </c>
      <c r="H421" s="20" t="s">
        <v>97</v>
      </c>
      <c r="I421" s="19" t="s">
        <v>98</v>
      </c>
      <c r="J421" s="19"/>
      <c r="K421" s="12"/>
      <c r="L421" s="21"/>
      <c r="M421" s="21" t="str">
        <f aca="false">IF($L421="","",$L421+IF($J421="",Dashboard!$M$9,INDEX(Dashboard!$M$5:$M$9,$J421)))</f>
        <v/>
      </c>
      <c r="N421" s="22" t="str">
        <f aca="true">IF(OR($I421="Attempted",$I421="Revisit"),"DUE",IF($M421="","",IF($M421&lt;=TODAY(),"DUE","")))</f>
        <v/>
      </c>
      <c r="O421" s="11"/>
    </row>
    <row r="422" customFormat="false" ht="15" hidden="false" customHeight="true" outlineLevel="0" collapsed="false">
      <c r="A422" s="12" t="n">
        <v>421</v>
      </c>
      <c r="B422" s="11" t="s">
        <v>589</v>
      </c>
      <c r="C422" s="11" t="s">
        <v>643</v>
      </c>
      <c r="D422" s="11" t="s">
        <v>644</v>
      </c>
      <c r="E422" s="19" t="s">
        <v>109</v>
      </c>
      <c r="F422" s="19" t="s">
        <v>95</v>
      </c>
      <c r="G422" s="12" t="s">
        <v>96</v>
      </c>
      <c r="H422" s="20" t="s">
        <v>97</v>
      </c>
      <c r="I422" s="19" t="s">
        <v>98</v>
      </c>
      <c r="J422" s="19"/>
      <c r="K422" s="12"/>
      <c r="L422" s="21"/>
      <c r="M422" s="21" t="str">
        <f aca="false">IF($L422="","",$L422+IF($J422="",Dashboard!$M$9,INDEX(Dashboard!$M$5:$M$9,$J422)))</f>
        <v/>
      </c>
      <c r="N422" s="22" t="str">
        <f aca="true">IF(OR($I422="Attempted",$I422="Revisit"),"DUE",IF($M422="","",IF($M422&lt;=TODAY(),"DUE","")))</f>
        <v/>
      </c>
      <c r="O422" s="11"/>
    </row>
    <row r="423" customFormat="false" ht="15" hidden="false" customHeight="true" outlineLevel="0" collapsed="false">
      <c r="A423" s="12" t="n">
        <v>422</v>
      </c>
      <c r="B423" s="11" t="s">
        <v>589</v>
      </c>
      <c r="C423" s="11" t="s">
        <v>643</v>
      </c>
      <c r="D423" s="11" t="s">
        <v>645</v>
      </c>
      <c r="E423" s="19" t="s">
        <v>109</v>
      </c>
      <c r="F423" s="19" t="s">
        <v>95</v>
      </c>
      <c r="G423" s="12" t="s">
        <v>107</v>
      </c>
      <c r="H423" s="20" t="s">
        <v>97</v>
      </c>
      <c r="I423" s="19" t="s">
        <v>98</v>
      </c>
      <c r="J423" s="19"/>
      <c r="K423" s="12"/>
      <c r="L423" s="21"/>
      <c r="M423" s="21" t="str">
        <f aca="false">IF($L423="","",$L423+IF($J423="",Dashboard!$M$9,INDEX(Dashboard!$M$5:$M$9,$J423)))</f>
        <v/>
      </c>
      <c r="N423" s="22" t="str">
        <f aca="true">IF(OR($I423="Attempted",$I423="Revisit"),"DUE",IF($M423="","",IF($M423&lt;=TODAY(),"DUE","")))</f>
        <v/>
      </c>
      <c r="O423" s="11"/>
    </row>
    <row r="424" customFormat="false" ht="15" hidden="false" customHeight="true" outlineLevel="0" collapsed="false">
      <c r="A424" s="12" t="n">
        <v>423</v>
      </c>
      <c r="B424" s="11" t="s">
        <v>589</v>
      </c>
      <c r="C424" s="11" t="s">
        <v>643</v>
      </c>
      <c r="D424" s="11" t="s">
        <v>646</v>
      </c>
      <c r="E424" s="19" t="s">
        <v>109</v>
      </c>
      <c r="F424" s="19" t="s">
        <v>121</v>
      </c>
      <c r="G424" s="12" t="s">
        <v>107</v>
      </c>
      <c r="H424" s="20" t="s">
        <v>97</v>
      </c>
      <c r="I424" s="19" t="s">
        <v>98</v>
      </c>
      <c r="J424" s="19"/>
      <c r="K424" s="12"/>
      <c r="L424" s="21"/>
      <c r="M424" s="21" t="str">
        <f aca="false">IF($L424="","",$L424+IF($J424="",Dashboard!$M$9,INDEX(Dashboard!$M$5:$M$9,$J424)))</f>
        <v/>
      </c>
      <c r="N424" s="22" t="str">
        <f aca="true">IF(OR($I424="Attempted",$I424="Revisit"),"DUE",IF($M424="","",IF($M424&lt;=TODAY(),"DUE","")))</f>
        <v/>
      </c>
      <c r="O424" s="11"/>
    </row>
    <row r="425" customFormat="false" ht="15" hidden="false" customHeight="true" outlineLevel="0" collapsed="false">
      <c r="A425" s="12" t="n">
        <v>424</v>
      </c>
      <c r="B425" s="11" t="s">
        <v>589</v>
      </c>
      <c r="C425" s="11" t="s">
        <v>643</v>
      </c>
      <c r="D425" s="11" t="s">
        <v>647</v>
      </c>
      <c r="E425" s="19" t="s">
        <v>109</v>
      </c>
      <c r="F425" s="19" t="s">
        <v>121</v>
      </c>
      <c r="G425" s="12" t="s">
        <v>107</v>
      </c>
      <c r="H425" s="20" t="s">
        <v>97</v>
      </c>
      <c r="I425" s="19" t="s">
        <v>98</v>
      </c>
      <c r="J425" s="19"/>
      <c r="K425" s="12"/>
      <c r="L425" s="21"/>
      <c r="M425" s="21" t="str">
        <f aca="false">IF($L425="","",$L425+IF($J425="",Dashboard!$M$9,INDEX(Dashboard!$M$5:$M$9,$J425)))</f>
        <v/>
      </c>
      <c r="N425" s="22" t="str">
        <f aca="true">IF(OR($I425="Attempted",$I425="Revisit"),"DUE",IF($M425="","",IF($M425&lt;=TODAY(),"DUE","")))</f>
        <v/>
      </c>
      <c r="O425" s="11"/>
    </row>
    <row r="426" customFormat="false" ht="15" hidden="false" customHeight="true" outlineLevel="0" collapsed="false">
      <c r="A426" s="12" t="n">
        <v>425</v>
      </c>
      <c r="B426" s="11" t="s">
        <v>589</v>
      </c>
      <c r="C426" s="11" t="s">
        <v>643</v>
      </c>
      <c r="D426" s="11" t="s">
        <v>648</v>
      </c>
      <c r="E426" s="19" t="s">
        <v>109</v>
      </c>
      <c r="F426" s="19" t="s">
        <v>121</v>
      </c>
      <c r="G426" s="12" t="s">
        <v>107</v>
      </c>
      <c r="H426" s="20" t="s">
        <v>97</v>
      </c>
      <c r="I426" s="19" t="s">
        <v>98</v>
      </c>
      <c r="J426" s="19"/>
      <c r="K426" s="12"/>
      <c r="L426" s="21"/>
      <c r="M426" s="21" t="str">
        <f aca="false">IF($L426="","",$L426+IF($J426="",Dashboard!$M$9,INDEX(Dashboard!$M$5:$M$9,$J426)))</f>
        <v/>
      </c>
      <c r="N426" s="22" t="str">
        <f aca="true">IF(OR($I426="Attempted",$I426="Revisit"),"DUE",IF($M426="","",IF($M426&lt;=TODAY(),"DUE","")))</f>
        <v/>
      </c>
      <c r="O426" s="11"/>
    </row>
    <row r="427" customFormat="false" ht="15" hidden="false" customHeight="true" outlineLevel="0" collapsed="false">
      <c r="A427" s="12" t="n">
        <v>426</v>
      </c>
      <c r="B427" s="11" t="s">
        <v>589</v>
      </c>
      <c r="C427" s="11" t="s">
        <v>643</v>
      </c>
      <c r="D427" s="11" t="s">
        <v>649</v>
      </c>
      <c r="E427" s="19" t="s">
        <v>109</v>
      </c>
      <c r="F427" s="19" t="s">
        <v>121</v>
      </c>
      <c r="G427" s="12" t="s">
        <v>107</v>
      </c>
      <c r="H427" s="20" t="s">
        <v>97</v>
      </c>
      <c r="I427" s="19" t="s">
        <v>98</v>
      </c>
      <c r="J427" s="19"/>
      <c r="K427" s="12"/>
      <c r="L427" s="21"/>
      <c r="M427" s="21" t="str">
        <f aca="false">IF($L427="","",$L427+IF($J427="",Dashboard!$M$9,INDEX(Dashboard!$M$5:$M$9,$J427)))</f>
        <v/>
      </c>
      <c r="N427" s="22" t="str">
        <f aca="true">IF(OR($I427="Attempted",$I427="Revisit"),"DUE",IF($M427="","",IF($M427&lt;=TODAY(),"DUE","")))</f>
        <v/>
      </c>
      <c r="O427" s="11"/>
    </row>
    <row r="428" customFormat="false" ht="15" hidden="false" customHeight="true" outlineLevel="0" collapsed="false">
      <c r="A428" s="12" t="n">
        <v>427</v>
      </c>
      <c r="B428" s="11" t="s">
        <v>589</v>
      </c>
      <c r="C428" s="11" t="s">
        <v>643</v>
      </c>
      <c r="D428" s="11" t="s">
        <v>650</v>
      </c>
      <c r="E428" s="19" t="s">
        <v>135</v>
      </c>
      <c r="F428" s="19" t="s">
        <v>136</v>
      </c>
      <c r="G428" s="12" t="s">
        <v>107</v>
      </c>
      <c r="H428" s="20" t="s">
        <v>97</v>
      </c>
      <c r="I428" s="19" t="s">
        <v>98</v>
      </c>
      <c r="J428" s="19"/>
      <c r="K428" s="12"/>
      <c r="L428" s="21"/>
      <c r="M428" s="21" t="str">
        <f aca="false">IF($L428="","",$L428+IF($J428="",Dashboard!$M$9,INDEX(Dashboard!$M$5:$M$9,$J428)))</f>
        <v/>
      </c>
      <c r="N428" s="22" t="str">
        <f aca="true">IF(OR($I428="Attempted",$I428="Revisit"),"DUE",IF($M428="","",IF($M428&lt;=TODAY(),"DUE","")))</f>
        <v/>
      </c>
      <c r="O428" s="11"/>
    </row>
    <row r="429" customFormat="false" ht="15" hidden="false" customHeight="true" outlineLevel="0" collapsed="false">
      <c r="A429" s="12" t="n">
        <v>428</v>
      </c>
      <c r="B429" s="11" t="s">
        <v>589</v>
      </c>
      <c r="C429" s="11" t="s">
        <v>643</v>
      </c>
      <c r="D429" s="11" t="s">
        <v>651</v>
      </c>
      <c r="E429" s="19" t="s">
        <v>135</v>
      </c>
      <c r="F429" s="19" t="s">
        <v>136</v>
      </c>
      <c r="G429" s="12" t="s">
        <v>96</v>
      </c>
      <c r="H429" s="20" t="s">
        <v>97</v>
      </c>
      <c r="I429" s="19" t="s">
        <v>98</v>
      </c>
      <c r="J429" s="19"/>
      <c r="K429" s="12"/>
      <c r="L429" s="21"/>
      <c r="M429" s="21" t="str">
        <f aca="false">IF($L429="","",$L429+IF($J429="",Dashboard!$M$9,INDEX(Dashboard!$M$5:$M$9,$J429)))</f>
        <v/>
      </c>
      <c r="N429" s="22" t="str">
        <f aca="true">IF(OR($I429="Attempted",$I429="Revisit"),"DUE",IF($M429="","",IF($M429&lt;=TODAY(),"DUE","")))</f>
        <v/>
      </c>
      <c r="O429" s="11"/>
    </row>
    <row r="430" customFormat="false" ht="15" hidden="false" customHeight="true" outlineLevel="0" collapsed="false">
      <c r="A430" s="12" t="n">
        <v>429</v>
      </c>
      <c r="B430" s="11" t="s">
        <v>589</v>
      </c>
      <c r="C430" s="11" t="s">
        <v>652</v>
      </c>
      <c r="D430" s="11" t="s">
        <v>653</v>
      </c>
      <c r="E430" s="19" t="s">
        <v>135</v>
      </c>
      <c r="F430" s="19" t="s">
        <v>95</v>
      </c>
      <c r="G430" s="12" t="s">
        <v>107</v>
      </c>
      <c r="H430" s="20" t="s">
        <v>97</v>
      </c>
      <c r="I430" s="19" t="s">
        <v>98</v>
      </c>
      <c r="J430" s="19"/>
      <c r="K430" s="12"/>
      <c r="L430" s="21"/>
      <c r="M430" s="21" t="str">
        <f aca="false">IF($L430="","",$L430+IF($J430="",Dashboard!$M$9,INDEX(Dashboard!$M$5:$M$9,$J430)))</f>
        <v/>
      </c>
      <c r="N430" s="22" t="str">
        <f aca="true">IF(OR($I430="Attempted",$I430="Revisit"),"DUE",IF($M430="","",IF($M430&lt;=TODAY(),"DUE","")))</f>
        <v/>
      </c>
      <c r="O430" s="11"/>
    </row>
    <row r="431" customFormat="false" ht="15" hidden="false" customHeight="true" outlineLevel="0" collapsed="false">
      <c r="A431" s="12" t="n">
        <v>430</v>
      </c>
      <c r="B431" s="11" t="s">
        <v>589</v>
      </c>
      <c r="C431" s="11" t="s">
        <v>652</v>
      </c>
      <c r="D431" s="11" t="s">
        <v>654</v>
      </c>
      <c r="E431" s="19" t="s">
        <v>135</v>
      </c>
      <c r="F431" s="19" t="s">
        <v>95</v>
      </c>
      <c r="G431" s="12" t="s">
        <v>96</v>
      </c>
      <c r="H431" s="20" t="s">
        <v>97</v>
      </c>
      <c r="I431" s="19" t="s">
        <v>98</v>
      </c>
      <c r="J431" s="19"/>
      <c r="K431" s="12"/>
      <c r="L431" s="21"/>
      <c r="M431" s="21" t="str">
        <f aca="false">IF($L431="","",$L431+IF($J431="",Dashboard!$M$9,INDEX(Dashboard!$M$5:$M$9,$J431)))</f>
        <v/>
      </c>
      <c r="N431" s="22" t="str">
        <f aca="true">IF(OR($I431="Attempted",$I431="Revisit"),"DUE",IF($M431="","",IF($M431&lt;=TODAY(),"DUE","")))</f>
        <v/>
      </c>
      <c r="O431" s="11"/>
    </row>
    <row r="432" customFormat="false" ht="15" hidden="false" customHeight="true" outlineLevel="0" collapsed="false">
      <c r="A432" s="12" t="n">
        <v>431</v>
      </c>
      <c r="B432" s="11" t="s">
        <v>589</v>
      </c>
      <c r="C432" s="11" t="s">
        <v>655</v>
      </c>
      <c r="D432" s="11" t="s">
        <v>656</v>
      </c>
      <c r="E432" s="19" t="s">
        <v>135</v>
      </c>
      <c r="F432" s="19" t="s">
        <v>95</v>
      </c>
      <c r="G432" s="12" t="s">
        <v>96</v>
      </c>
      <c r="H432" s="20" t="s">
        <v>97</v>
      </c>
      <c r="I432" s="19" t="s">
        <v>98</v>
      </c>
      <c r="J432" s="19"/>
      <c r="K432" s="12"/>
      <c r="L432" s="21"/>
      <c r="M432" s="21" t="str">
        <f aca="false">IF($L432="","",$L432+IF($J432="",Dashboard!$M$9,INDEX(Dashboard!$M$5:$M$9,$J432)))</f>
        <v/>
      </c>
      <c r="N432" s="22" t="str">
        <f aca="true">IF(OR($I432="Attempted",$I432="Revisit"),"DUE",IF($M432="","",IF($M432&lt;=TODAY(),"DUE","")))</f>
        <v/>
      </c>
      <c r="O432" s="11"/>
    </row>
    <row r="433" customFormat="false" ht="15" hidden="false" customHeight="true" outlineLevel="0" collapsed="false">
      <c r="A433" s="12" t="n">
        <v>432</v>
      </c>
      <c r="B433" s="11" t="s">
        <v>589</v>
      </c>
      <c r="C433" s="11" t="s">
        <v>657</v>
      </c>
      <c r="D433" s="11" t="s">
        <v>658</v>
      </c>
      <c r="E433" s="19" t="s">
        <v>135</v>
      </c>
      <c r="F433" s="19" t="s">
        <v>95</v>
      </c>
      <c r="G433" s="12" t="s">
        <v>107</v>
      </c>
      <c r="H433" s="20" t="s">
        <v>97</v>
      </c>
      <c r="I433" s="19" t="s">
        <v>98</v>
      </c>
      <c r="J433" s="19"/>
      <c r="K433" s="12"/>
      <c r="L433" s="21"/>
      <c r="M433" s="21" t="str">
        <f aca="false">IF($L433="","",$L433+IF($J433="",Dashboard!$M$9,INDEX(Dashboard!$M$5:$M$9,$J433)))</f>
        <v/>
      </c>
      <c r="N433" s="22" t="str">
        <f aca="true">IF(OR($I433="Attempted",$I433="Revisit"),"DUE",IF($M433="","",IF($M433&lt;=TODAY(),"DUE","")))</f>
        <v/>
      </c>
      <c r="O433" s="11"/>
    </row>
    <row r="434" customFormat="false" ht="15" hidden="false" customHeight="true" outlineLevel="0" collapsed="false">
      <c r="A434" s="12" t="n">
        <v>433</v>
      </c>
      <c r="B434" s="11" t="s">
        <v>589</v>
      </c>
      <c r="C434" s="11" t="s">
        <v>659</v>
      </c>
      <c r="D434" s="11" t="s">
        <v>660</v>
      </c>
      <c r="E434" s="19" t="s">
        <v>109</v>
      </c>
      <c r="F434" s="19" t="s">
        <v>95</v>
      </c>
      <c r="G434" s="12" t="s">
        <v>96</v>
      </c>
      <c r="H434" s="20" t="s">
        <v>97</v>
      </c>
      <c r="I434" s="19" t="s">
        <v>98</v>
      </c>
      <c r="J434" s="19"/>
      <c r="K434" s="12"/>
      <c r="L434" s="21"/>
      <c r="M434" s="21" t="str">
        <f aca="false">IF($L434="","",$L434+IF($J434="",Dashboard!$M$9,INDEX(Dashboard!$M$5:$M$9,$J434)))</f>
        <v/>
      </c>
      <c r="N434" s="22" t="str">
        <f aca="true">IF(OR($I434="Attempted",$I434="Revisit"),"DUE",IF($M434="","",IF($M434&lt;=TODAY(),"DUE","")))</f>
        <v/>
      </c>
      <c r="O434" s="11"/>
    </row>
    <row r="435" customFormat="false" ht="15" hidden="false" customHeight="true" outlineLevel="0" collapsed="false">
      <c r="A435" s="12" t="n">
        <v>434</v>
      </c>
      <c r="B435" s="11" t="s">
        <v>589</v>
      </c>
      <c r="C435" s="11" t="s">
        <v>659</v>
      </c>
      <c r="D435" s="11" t="s">
        <v>661</v>
      </c>
      <c r="E435" s="19" t="s">
        <v>109</v>
      </c>
      <c r="F435" s="19" t="s">
        <v>95</v>
      </c>
      <c r="G435" s="12" t="s">
        <v>107</v>
      </c>
      <c r="H435" s="20" t="s">
        <v>97</v>
      </c>
      <c r="I435" s="19" t="s">
        <v>98</v>
      </c>
      <c r="J435" s="19"/>
      <c r="K435" s="12"/>
      <c r="L435" s="21"/>
      <c r="M435" s="21" t="str">
        <f aca="false">IF($L435="","",$L435+IF($J435="",Dashboard!$M$9,INDEX(Dashboard!$M$5:$M$9,$J435)))</f>
        <v/>
      </c>
      <c r="N435" s="22" t="str">
        <f aca="true">IF(OR($I435="Attempted",$I435="Revisit"),"DUE",IF($M435="","",IF($M435&lt;=TODAY(),"DUE","")))</f>
        <v/>
      </c>
      <c r="O435" s="11"/>
    </row>
    <row r="436" customFormat="false" ht="15" hidden="false" customHeight="true" outlineLevel="0" collapsed="false">
      <c r="A436" s="12" t="n">
        <v>435</v>
      </c>
      <c r="B436" s="11" t="s">
        <v>662</v>
      </c>
      <c r="C436" s="11" t="s">
        <v>663</v>
      </c>
      <c r="D436" s="11" t="s">
        <v>664</v>
      </c>
      <c r="E436" s="19" t="s">
        <v>94</v>
      </c>
      <c r="F436" s="19" t="s">
        <v>95</v>
      </c>
      <c r="G436" s="12" t="s">
        <v>107</v>
      </c>
      <c r="H436" s="20" t="s">
        <v>97</v>
      </c>
      <c r="I436" s="19" t="s">
        <v>98</v>
      </c>
      <c r="J436" s="19"/>
      <c r="K436" s="12"/>
      <c r="L436" s="21"/>
      <c r="M436" s="21" t="str">
        <f aca="false">IF($L436="","",$L436+IF($J436="",Dashboard!$M$9,INDEX(Dashboard!$M$5:$M$9,$J436)))</f>
        <v/>
      </c>
      <c r="N436" s="22" t="str">
        <f aca="true">IF(OR($I436="Attempted",$I436="Revisit"),"DUE",IF($M436="","",IF($M436&lt;=TODAY(),"DUE","")))</f>
        <v/>
      </c>
      <c r="O436" s="11"/>
    </row>
    <row r="437" customFormat="false" ht="15" hidden="false" customHeight="true" outlineLevel="0" collapsed="false">
      <c r="A437" s="12" t="n">
        <v>436</v>
      </c>
      <c r="B437" s="11" t="s">
        <v>662</v>
      </c>
      <c r="C437" s="11" t="s">
        <v>663</v>
      </c>
      <c r="D437" s="11" t="s">
        <v>665</v>
      </c>
      <c r="E437" s="19" t="s">
        <v>94</v>
      </c>
      <c r="F437" s="19" t="s">
        <v>95</v>
      </c>
      <c r="G437" s="12" t="s">
        <v>107</v>
      </c>
      <c r="H437" s="20" t="s">
        <v>97</v>
      </c>
      <c r="I437" s="19" t="s">
        <v>98</v>
      </c>
      <c r="J437" s="19"/>
      <c r="K437" s="12"/>
      <c r="L437" s="21"/>
      <c r="M437" s="21" t="str">
        <f aca="false">IF($L437="","",$L437+IF($J437="",Dashboard!$M$9,INDEX(Dashboard!$M$5:$M$9,$J437)))</f>
        <v/>
      </c>
      <c r="N437" s="22" t="str">
        <f aca="true">IF(OR($I437="Attempted",$I437="Revisit"),"DUE",IF($M437="","",IF($M437&lt;=TODAY(),"DUE","")))</f>
        <v/>
      </c>
      <c r="O437" s="11"/>
    </row>
    <row r="438" customFormat="false" ht="15" hidden="false" customHeight="true" outlineLevel="0" collapsed="false">
      <c r="A438" s="12" t="n">
        <v>437</v>
      </c>
      <c r="B438" s="11" t="s">
        <v>662</v>
      </c>
      <c r="C438" s="11" t="s">
        <v>663</v>
      </c>
      <c r="D438" s="11" t="s">
        <v>666</v>
      </c>
      <c r="E438" s="19" t="s">
        <v>109</v>
      </c>
      <c r="F438" s="19" t="s">
        <v>121</v>
      </c>
      <c r="G438" s="12" t="s">
        <v>96</v>
      </c>
      <c r="H438" s="20" t="s">
        <v>97</v>
      </c>
      <c r="I438" s="19" t="s">
        <v>98</v>
      </c>
      <c r="J438" s="19"/>
      <c r="K438" s="12"/>
      <c r="L438" s="21"/>
      <c r="M438" s="21" t="str">
        <f aca="false">IF($L438="","",$L438+IF($J438="",Dashboard!$M$9,INDEX(Dashboard!$M$5:$M$9,$J438)))</f>
        <v/>
      </c>
      <c r="N438" s="22" t="str">
        <f aca="true">IF(OR($I438="Attempted",$I438="Revisit"),"DUE",IF($M438="","",IF($M438&lt;=TODAY(),"DUE","")))</f>
        <v/>
      </c>
      <c r="O438" s="11"/>
    </row>
    <row r="439" customFormat="false" ht="15" hidden="false" customHeight="true" outlineLevel="0" collapsed="false">
      <c r="A439" s="12" t="n">
        <v>438</v>
      </c>
      <c r="B439" s="11" t="s">
        <v>662</v>
      </c>
      <c r="C439" s="11" t="s">
        <v>663</v>
      </c>
      <c r="D439" s="11" t="s">
        <v>667</v>
      </c>
      <c r="E439" s="19" t="s">
        <v>109</v>
      </c>
      <c r="F439" s="19" t="s">
        <v>121</v>
      </c>
      <c r="G439" s="12" t="s">
        <v>107</v>
      </c>
      <c r="H439" s="20" t="s">
        <v>97</v>
      </c>
      <c r="I439" s="19" t="s">
        <v>98</v>
      </c>
      <c r="J439" s="19"/>
      <c r="K439" s="12"/>
      <c r="L439" s="21"/>
      <c r="M439" s="21" t="str">
        <f aca="false">IF($L439="","",$L439+IF($J439="",Dashboard!$M$9,INDEX(Dashboard!$M$5:$M$9,$J439)))</f>
        <v/>
      </c>
      <c r="N439" s="22" t="str">
        <f aca="true">IF(OR($I439="Attempted",$I439="Revisit"),"DUE",IF($M439="","",IF($M439&lt;=TODAY(),"DUE","")))</f>
        <v/>
      </c>
      <c r="O439" s="11"/>
    </row>
    <row r="440" customFormat="false" ht="15" hidden="false" customHeight="true" outlineLevel="0" collapsed="false">
      <c r="A440" s="12" t="n">
        <v>439</v>
      </c>
      <c r="B440" s="11" t="s">
        <v>662</v>
      </c>
      <c r="C440" s="11" t="s">
        <v>663</v>
      </c>
      <c r="D440" s="11" t="s">
        <v>668</v>
      </c>
      <c r="E440" s="19" t="s">
        <v>109</v>
      </c>
      <c r="F440" s="19" t="s">
        <v>121</v>
      </c>
      <c r="G440" s="12" t="s">
        <v>107</v>
      </c>
      <c r="H440" s="20" t="s">
        <v>97</v>
      </c>
      <c r="I440" s="19" t="s">
        <v>98</v>
      </c>
      <c r="J440" s="19"/>
      <c r="K440" s="12"/>
      <c r="L440" s="21"/>
      <c r="M440" s="21" t="str">
        <f aca="false">IF($L440="","",$L440+IF($J440="",Dashboard!$M$9,INDEX(Dashboard!$M$5:$M$9,$J440)))</f>
        <v/>
      </c>
      <c r="N440" s="22" t="str">
        <f aca="true">IF(OR($I440="Attempted",$I440="Revisit"),"DUE",IF($M440="","",IF($M440&lt;=TODAY(),"DUE","")))</f>
        <v/>
      </c>
      <c r="O440" s="11"/>
    </row>
    <row r="441" customFormat="false" ht="15" hidden="false" customHeight="true" outlineLevel="0" collapsed="false">
      <c r="A441" s="12" t="n">
        <v>440</v>
      </c>
      <c r="B441" s="11" t="s">
        <v>662</v>
      </c>
      <c r="C441" s="11" t="s">
        <v>663</v>
      </c>
      <c r="D441" s="11" t="s">
        <v>669</v>
      </c>
      <c r="E441" s="19" t="s">
        <v>109</v>
      </c>
      <c r="F441" s="19" t="s">
        <v>121</v>
      </c>
      <c r="G441" s="12" t="s">
        <v>96</v>
      </c>
      <c r="H441" s="20" t="s">
        <v>97</v>
      </c>
      <c r="I441" s="19" t="s">
        <v>98</v>
      </c>
      <c r="J441" s="19"/>
      <c r="K441" s="12"/>
      <c r="L441" s="21"/>
      <c r="M441" s="21" t="str">
        <f aca="false">IF($L441="","",$L441+IF($J441="",Dashboard!$M$9,INDEX(Dashboard!$M$5:$M$9,$J441)))</f>
        <v/>
      </c>
      <c r="N441" s="22" t="str">
        <f aca="true">IF(OR($I441="Attempted",$I441="Revisit"),"DUE",IF($M441="","",IF($M441&lt;=TODAY(),"DUE","")))</f>
        <v/>
      </c>
      <c r="O441" s="11"/>
    </row>
    <row r="442" customFormat="false" ht="15" hidden="false" customHeight="true" outlineLevel="0" collapsed="false">
      <c r="A442" s="12" t="n">
        <v>441</v>
      </c>
      <c r="B442" s="11" t="s">
        <v>662</v>
      </c>
      <c r="C442" s="11" t="s">
        <v>663</v>
      </c>
      <c r="D442" s="11" t="s">
        <v>670</v>
      </c>
      <c r="E442" s="19" t="s">
        <v>109</v>
      </c>
      <c r="F442" s="19" t="s">
        <v>121</v>
      </c>
      <c r="G442" s="12" t="s">
        <v>107</v>
      </c>
      <c r="H442" s="20" t="s">
        <v>97</v>
      </c>
      <c r="I442" s="19" t="s">
        <v>98</v>
      </c>
      <c r="J442" s="19"/>
      <c r="K442" s="12"/>
      <c r="L442" s="21"/>
      <c r="M442" s="21" t="str">
        <f aca="false">IF($L442="","",$L442+IF($J442="",Dashboard!$M$9,INDEX(Dashboard!$M$5:$M$9,$J442)))</f>
        <v/>
      </c>
      <c r="N442" s="22" t="str">
        <f aca="true">IF(OR($I442="Attempted",$I442="Revisit"),"DUE",IF($M442="","",IF($M442&lt;=TODAY(),"DUE","")))</f>
        <v/>
      </c>
      <c r="O442" s="11"/>
    </row>
    <row r="443" customFormat="false" ht="15" hidden="false" customHeight="true" outlineLevel="0" collapsed="false">
      <c r="A443" s="12" t="n">
        <v>442</v>
      </c>
      <c r="B443" s="11" t="s">
        <v>662</v>
      </c>
      <c r="C443" s="11" t="s">
        <v>663</v>
      </c>
      <c r="D443" s="11" t="s">
        <v>671</v>
      </c>
      <c r="E443" s="19" t="s">
        <v>109</v>
      </c>
      <c r="F443" s="19" t="s">
        <v>121</v>
      </c>
      <c r="G443" s="12" t="s">
        <v>107</v>
      </c>
      <c r="H443" s="20" t="s">
        <v>97</v>
      </c>
      <c r="I443" s="19" t="s">
        <v>98</v>
      </c>
      <c r="J443" s="19"/>
      <c r="K443" s="12"/>
      <c r="L443" s="21"/>
      <c r="M443" s="21" t="str">
        <f aca="false">IF($L443="","",$L443+IF($J443="",Dashboard!$M$9,INDEX(Dashboard!$M$5:$M$9,$J443)))</f>
        <v/>
      </c>
      <c r="N443" s="22" t="str">
        <f aca="true">IF(OR($I443="Attempted",$I443="Revisit"),"DUE",IF($M443="","",IF($M443&lt;=TODAY(),"DUE","")))</f>
        <v/>
      </c>
      <c r="O443" s="11"/>
    </row>
    <row r="444" customFormat="false" ht="15" hidden="false" customHeight="true" outlineLevel="0" collapsed="false">
      <c r="A444" s="12" t="n">
        <v>443</v>
      </c>
      <c r="B444" s="11" t="s">
        <v>662</v>
      </c>
      <c r="C444" s="11" t="s">
        <v>663</v>
      </c>
      <c r="D444" s="11" t="s">
        <v>672</v>
      </c>
      <c r="E444" s="19" t="s">
        <v>109</v>
      </c>
      <c r="F444" s="19" t="s">
        <v>121</v>
      </c>
      <c r="G444" s="12" t="s">
        <v>107</v>
      </c>
      <c r="H444" s="20" t="s">
        <v>97</v>
      </c>
      <c r="I444" s="19" t="s">
        <v>98</v>
      </c>
      <c r="J444" s="19"/>
      <c r="K444" s="12"/>
      <c r="L444" s="21"/>
      <c r="M444" s="21" t="str">
        <f aca="false">IF($L444="","",$L444+IF($J444="",Dashboard!$M$9,INDEX(Dashboard!$M$5:$M$9,$J444)))</f>
        <v/>
      </c>
      <c r="N444" s="22" t="str">
        <f aca="true">IF(OR($I444="Attempted",$I444="Revisit"),"DUE",IF($M444="","",IF($M444&lt;=TODAY(),"DUE","")))</f>
        <v/>
      </c>
      <c r="O444" s="11"/>
    </row>
    <row r="445" customFormat="false" ht="15" hidden="false" customHeight="true" outlineLevel="0" collapsed="false">
      <c r="A445" s="12" t="n">
        <v>444</v>
      </c>
      <c r="B445" s="11" t="s">
        <v>662</v>
      </c>
      <c r="C445" s="11" t="s">
        <v>673</v>
      </c>
      <c r="D445" s="11" t="s">
        <v>674</v>
      </c>
      <c r="E445" s="19" t="s">
        <v>109</v>
      </c>
      <c r="F445" s="19" t="s">
        <v>95</v>
      </c>
      <c r="G445" s="12" t="s">
        <v>107</v>
      </c>
      <c r="H445" s="20" t="s">
        <v>97</v>
      </c>
      <c r="I445" s="19" t="s">
        <v>98</v>
      </c>
      <c r="J445" s="19"/>
      <c r="K445" s="12"/>
      <c r="L445" s="21"/>
      <c r="M445" s="21" t="str">
        <f aca="false">IF($L445="","",$L445+IF($J445="",Dashboard!$M$9,INDEX(Dashboard!$M$5:$M$9,$J445)))</f>
        <v/>
      </c>
      <c r="N445" s="22" t="str">
        <f aca="true">IF(OR($I445="Attempted",$I445="Revisit"),"DUE",IF($M445="","",IF($M445&lt;=TODAY(),"DUE","")))</f>
        <v/>
      </c>
      <c r="O445" s="11"/>
    </row>
    <row r="446" customFormat="false" ht="15" hidden="false" customHeight="true" outlineLevel="0" collapsed="false">
      <c r="A446" s="12" t="n">
        <v>445</v>
      </c>
      <c r="B446" s="11" t="s">
        <v>662</v>
      </c>
      <c r="C446" s="11" t="s">
        <v>673</v>
      </c>
      <c r="D446" s="11" t="s">
        <v>675</v>
      </c>
      <c r="E446" s="19" t="s">
        <v>109</v>
      </c>
      <c r="F446" s="19" t="s">
        <v>95</v>
      </c>
      <c r="G446" s="12" t="s">
        <v>107</v>
      </c>
      <c r="H446" s="20" t="s">
        <v>97</v>
      </c>
      <c r="I446" s="19" t="s">
        <v>98</v>
      </c>
      <c r="J446" s="19"/>
      <c r="K446" s="12"/>
      <c r="L446" s="21"/>
      <c r="M446" s="21" t="str">
        <f aca="false">IF($L446="","",$L446+IF($J446="",Dashboard!$M$9,INDEX(Dashboard!$M$5:$M$9,$J446)))</f>
        <v/>
      </c>
      <c r="N446" s="22" t="str">
        <f aca="true">IF(OR($I446="Attempted",$I446="Revisit"),"DUE",IF($M446="","",IF($M446&lt;=TODAY(),"DUE","")))</f>
        <v/>
      </c>
      <c r="O446" s="11"/>
    </row>
    <row r="447" customFormat="false" ht="15" hidden="false" customHeight="true" outlineLevel="0" collapsed="false">
      <c r="A447" s="12" t="n">
        <v>446</v>
      </c>
      <c r="B447" s="11" t="s">
        <v>662</v>
      </c>
      <c r="C447" s="11" t="s">
        <v>673</v>
      </c>
      <c r="D447" s="11" t="s">
        <v>676</v>
      </c>
      <c r="E447" s="19" t="s">
        <v>109</v>
      </c>
      <c r="F447" s="19" t="s">
        <v>121</v>
      </c>
      <c r="G447" s="12" t="s">
        <v>107</v>
      </c>
      <c r="H447" s="20" t="s">
        <v>97</v>
      </c>
      <c r="I447" s="19" t="s">
        <v>98</v>
      </c>
      <c r="J447" s="19"/>
      <c r="K447" s="12"/>
      <c r="L447" s="21"/>
      <c r="M447" s="21" t="str">
        <f aca="false">IF($L447="","",$L447+IF($J447="",Dashboard!$M$9,INDEX(Dashboard!$M$5:$M$9,$J447)))</f>
        <v/>
      </c>
      <c r="N447" s="22" t="str">
        <f aca="true">IF(OR($I447="Attempted",$I447="Revisit"),"DUE",IF($M447="","",IF($M447&lt;=TODAY(),"DUE","")))</f>
        <v/>
      </c>
      <c r="O447" s="11"/>
    </row>
    <row r="448" customFormat="false" ht="15" hidden="false" customHeight="true" outlineLevel="0" collapsed="false">
      <c r="A448" s="12" t="n">
        <v>447</v>
      </c>
      <c r="B448" s="11" t="s">
        <v>662</v>
      </c>
      <c r="C448" s="11" t="s">
        <v>673</v>
      </c>
      <c r="D448" s="11" t="s">
        <v>677</v>
      </c>
      <c r="E448" s="19" t="s">
        <v>109</v>
      </c>
      <c r="F448" s="19" t="s">
        <v>121</v>
      </c>
      <c r="G448" s="12" t="s">
        <v>107</v>
      </c>
      <c r="H448" s="20" t="s">
        <v>97</v>
      </c>
      <c r="I448" s="19" t="s">
        <v>98</v>
      </c>
      <c r="J448" s="19"/>
      <c r="K448" s="12"/>
      <c r="L448" s="21"/>
      <c r="M448" s="21" t="str">
        <f aca="false">IF($L448="","",$L448+IF($J448="",Dashboard!$M$9,INDEX(Dashboard!$M$5:$M$9,$J448)))</f>
        <v/>
      </c>
      <c r="N448" s="22" t="str">
        <f aca="true">IF(OR($I448="Attempted",$I448="Revisit"),"DUE",IF($M448="","",IF($M448&lt;=TODAY(),"DUE","")))</f>
        <v/>
      </c>
      <c r="O448" s="11"/>
    </row>
    <row r="449" customFormat="false" ht="15" hidden="false" customHeight="true" outlineLevel="0" collapsed="false">
      <c r="A449" s="12" t="n">
        <v>448</v>
      </c>
      <c r="B449" s="11" t="s">
        <v>662</v>
      </c>
      <c r="C449" s="11" t="s">
        <v>673</v>
      </c>
      <c r="D449" s="11" t="s">
        <v>678</v>
      </c>
      <c r="E449" s="19" t="s">
        <v>109</v>
      </c>
      <c r="F449" s="19" t="s">
        <v>121</v>
      </c>
      <c r="G449" s="12" t="s">
        <v>107</v>
      </c>
      <c r="H449" s="20" t="s">
        <v>97</v>
      </c>
      <c r="I449" s="19" t="s">
        <v>98</v>
      </c>
      <c r="J449" s="19"/>
      <c r="K449" s="12"/>
      <c r="L449" s="21"/>
      <c r="M449" s="21" t="str">
        <f aca="false">IF($L449="","",$L449+IF($J449="",Dashboard!$M$9,INDEX(Dashboard!$M$5:$M$9,$J449)))</f>
        <v/>
      </c>
      <c r="N449" s="22" t="str">
        <f aca="true">IF(OR($I449="Attempted",$I449="Revisit"),"DUE",IF($M449="","",IF($M449&lt;=TODAY(),"DUE","")))</f>
        <v/>
      </c>
      <c r="O449" s="11"/>
    </row>
    <row r="450" customFormat="false" ht="15" hidden="false" customHeight="true" outlineLevel="0" collapsed="false">
      <c r="A450" s="12" t="n">
        <v>449</v>
      </c>
      <c r="B450" s="11" t="s">
        <v>662</v>
      </c>
      <c r="C450" s="11" t="s">
        <v>673</v>
      </c>
      <c r="D450" s="11" t="s">
        <v>679</v>
      </c>
      <c r="E450" s="19" t="s">
        <v>135</v>
      </c>
      <c r="F450" s="19" t="s">
        <v>136</v>
      </c>
      <c r="G450" s="12" t="s">
        <v>107</v>
      </c>
      <c r="H450" s="20" t="s">
        <v>97</v>
      </c>
      <c r="I450" s="19" t="s">
        <v>98</v>
      </c>
      <c r="J450" s="19"/>
      <c r="K450" s="12"/>
      <c r="L450" s="21"/>
      <c r="M450" s="21" t="str">
        <f aca="false">IF($L450="","",$L450+IF($J450="",Dashboard!$M$9,INDEX(Dashboard!$M$5:$M$9,$J450)))</f>
        <v/>
      </c>
      <c r="N450" s="22" t="str">
        <f aca="true">IF(OR($I450="Attempted",$I450="Revisit"),"DUE",IF($M450="","",IF($M450&lt;=TODAY(),"DUE","")))</f>
        <v/>
      </c>
      <c r="O450" s="11"/>
    </row>
    <row r="451" customFormat="false" ht="15" hidden="false" customHeight="true" outlineLevel="0" collapsed="false">
      <c r="A451" s="12" t="n">
        <v>450</v>
      </c>
      <c r="B451" s="11" t="s">
        <v>662</v>
      </c>
      <c r="C451" s="11" t="s">
        <v>673</v>
      </c>
      <c r="D451" s="11" t="s">
        <v>680</v>
      </c>
      <c r="E451" s="19" t="s">
        <v>135</v>
      </c>
      <c r="F451" s="19" t="s">
        <v>136</v>
      </c>
      <c r="G451" s="12" t="s">
        <v>107</v>
      </c>
      <c r="H451" s="20" t="s">
        <v>97</v>
      </c>
      <c r="I451" s="19" t="s">
        <v>98</v>
      </c>
      <c r="J451" s="19"/>
      <c r="K451" s="12"/>
      <c r="L451" s="21"/>
      <c r="M451" s="21" t="str">
        <f aca="false">IF($L451="","",$L451+IF($J451="",Dashboard!$M$9,INDEX(Dashboard!$M$5:$M$9,$J451)))</f>
        <v/>
      </c>
      <c r="N451" s="22" t="str">
        <f aca="true">IF(OR($I451="Attempted",$I451="Revisit"),"DUE",IF($M451="","",IF($M451&lt;=TODAY(),"DUE","")))</f>
        <v/>
      </c>
      <c r="O451" s="11"/>
    </row>
    <row r="452" customFormat="false" ht="15" hidden="false" customHeight="true" outlineLevel="0" collapsed="false">
      <c r="A452" s="12" t="n">
        <v>451</v>
      </c>
      <c r="B452" s="11" t="s">
        <v>662</v>
      </c>
      <c r="C452" s="11" t="s">
        <v>673</v>
      </c>
      <c r="D452" s="11" t="s">
        <v>681</v>
      </c>
      <c r="E452" s="19" t="s">
        <v>135</v>
      </c>
      <c r="F452" s="19" t="s">
        <v>136</v>
      </c>
      <c r="G452" s="12" t="s">
        <v>107</v>
      </c>
      <c r="H452" s="20" t="s">
        <v>97</v>
      </c>
      <c r="I452" s="19" t="s">
        <v>98</v>
      </c>
      <c r="J452" s="19"/>
      <c r="K452" s="12"/>
      <c r="L452" s="21"/>
      <c r="M452" s="21" t="str">
        <f aca="false">IF($L452="","",$L452+IF($J452="",Dashboard!$M$9,INDEX(Dashboard!$M$5:$M$9,$J452)))</f>
        <v/>
      </c>
      <c r="N452" s="22" t="str">
        <f aca="true">IF(OR($I452="Attempted",$I452="Revisit"),"DUE",IF($M452="","",IF($M452&lt;=TODAY(),"DUE","")))</f>
        <v/>
      </c>
      <c r="O452" s="11"/>
    </row>
    <row r="453" customFormat="false" ht="15" hidden="false" customHeight="true" outlineLevel="0" collapsed="false">
      <c r="A453" s="12" t="n">
        <v>452</v>
      </c>
      <c r="B453" s="11" t="s">
        <v>662</v>
      </c>
      <c r="C453" s="11" t="s">
        <v>682</v>
      </c>
      <c r="D453" s="11" t="s">
        <v>683</v>
      </c>
      <c r="E453" s="19" t="s">
        <v>109</v>
      </c>
      <c r="F453" s="19" t="s">
        <v>95</v>
      </c>
      <c r="G453" s="12" t="s">
        <v>96</v>
      </c>
      <c r="H453" s="20" t="s">
        <v>97</v>
      </c>
      <c r="I453" s="19" t="s">
        <v>98</v>
      </c>
      <c r="J453" s="19"/>
      <c r="K453" s="12"/>
      <c r="L453" s="21"/>
      <c r="M453" s="21" t="str">
        <f aca="false">IF($L453="","",$L453+IF($J453="",Dashboard!$M$9,INDEX(Dashboard!$M$5:$M$9,$J453)))</f>
        <v/>
      </c>
      <c r="N453" s="22" t="str">
        <f aca="true">IF(OR($I453="Attempted",$I453="Revisit"),"DUE",IF($M453="","",IF($M453&lt;=TODAY(),"DUE","")))</f>
        <v/>
      </c>
      <c r="O453" s="11"/>
    </row>
    <row r="454" customFormat="false" ht="15" hidden="false" customHeight="true" outlineLevel="0" collapsed="false">
      <c r="A454" s="12" t="n">
        <v>453</v>
      </c>
      <c r="B454" s="11" t="s">
        <v>662</v>
      </c>
      <c r="C454" s="11" t="s">
        <v>682</v>
      </c>
      <c r="D454" s="11" t="s">
        <v>684</v>
      </c>
      <c r="E454" s="19" t="s">
        <v>109</v>
      </c>
      <c r="F454" s="19" t="s">
        <v>95</v>
      </c>
      <c r="G454" s="12" t="s">
        <v>96</v>
      </c>
      <c r="H454" s="20" t="s">
        <v>97</v>
      </c>
      <c r="I454" s="19" t="s">
        <v>98</v>
      </c>
      <c r="J454" s="19"/>
      <c r="K454" s="12"/>
      <c r="L454" s="21"/>
      <c r="M454" s="21" t="str">
        <f aca="false">IF($L454="","",$L454+IF($J454="",Dashboard!$M$9,INDEX(Dashboard!$M$5:$M$9,$J454)))</f>
        <v/>
      </c>
      <c r="N454" s="22" t="str">
        <f aca="true">IF(OR($I454="Attempted",$I454="Revisit"),"DUE",IF($M454="","",IF($M454&lt;=TODAY(),"DUE","")))</f>
        <v/>
      </c>
      <c r="O454" s="11"/>
    </row>
    <row r="455" customFormat="false" ht="15" hidden="false" customHeight="true" outlineLevel="0" collapsed="false">
      <c r="A455" s="12" t="n">
        <v>454</v>
      </c>
      <c r="B455" s="11" t="s">
        <v>662</v>
      </c>
      <c r="C455" s="11" t="s">
        <v>682</v>
      </c>
      <c r="D455" s="11" t="s">
        <v>685</v>
      </c>
      <c r="E455" s="19" t="s">
        <v>109</v>
      </c>
      <c r="F455" s="19" t="s">
        <v>121</v>
      </c>
      <c r="G455" s="12" t="s">
        <v>107</v>
      </c>
      <c r="H455" s="20" t="s">
        <v>97</v>
      </c>
      <c r="I455" s="19" t="s">
        <v>98</v>
      </c>
      <c r="J455" s="19"/>
      <c r="K455" s="12"/>
      <c r="L455" s="21"/>
      <c r="M455" s="21" t="str">
        <f aca="false">IF($L455="","",$L455+IF($J455="",Dashboard!$M$9,INDEX(Dashboard!$M$5:$M$9,$J455)))</f>
        <v/>
      </c>
      <c r="N455" s="22" t="str">
        <f aca="true">IF(OR($I455="Attempted",$I455="Revisit"),"DUE",IF($M455="","",IF($M455&lt;=TODAY(),"DUE","")))</f>
        <v/>
      </c>
      <c r="O455" s="11"/>
    </row>
    <row r="456" customFormat="false" ht="15" hidden="false" customHeight="true" outlineLevel="0" collapsed="false">
      <c r="A456" s="12" t="n">
        <v>455</v>
      </c>
      <c r="B456" s="11" t="s">
        <v>662</v>
      </c>
      <c r="C456" s="11" t="s">
        <v>682</v>
      </c>
      <c r="D456" s="11" t="s">
        <v>686</v>
      </c>
      <c r="E456" s="19" t="s">
        <v>109</v>
      </c>
      <c r="F456" s="19" t="s">
        <v>121</v>
      </c>
      <c r="G456" s="12" t="s">
        <v>107</v>
      </c>
      <c r="H456" s="20" t="s">
        <v>97</v>
      </c>
      <c r="I456" s="19" t="s">
        <v>98</v>
      </c>
      <c r="J456" s="19"/>
      <c r="K456" s="12"/>
      <c r="L456" s="21"/>
      <c r="M456" s="21" t="str">
        <f aca="false">IF($L456="","",$L456+IF($J456="",Dashboard!$M$9,INDEX(Dashboard!$M$5:$M$9,$J456)))</f>
        <v/>
      </c>
      <c r="N456" s="22" t="str">
        <f aca="true">IF(OR($I456="Attempted",$I456="Revisit"),"DUE",IF($M456="","",IF($M456&lt;=TODAY(),"DUE","")))</f>
        <v/>
      </c>
      <c r="O456" s="11"/>
    </row>
    <row r="457" customFormat="false" ht="15" hidden="false" customHeight="true" outlineLevel="0" collapsed="false">
      <c r="A457" s="12" t="n">
        <v>456</v>
      </c>
      <c r="B457" s="11" t="s">
        <v>662</v>
      </c>
      <c r="C457" s="11" t="s">
        <v>682</v>
      </c>
      <c r="D457" s="11" t="s">
        <v>687</v>
      </c>
      <c r="E457" s="19" t="s">
        <v>109</v>
      </c>
      <c r="F457" s="19" t="s">
        <v>121</v>
      </c>
      <c r="G457" s="12" t="s">
        <v>96</v>
      </c>
      <c r="H457" s="20" t="s">
        <v>97</v>
      </c>
      <c r="I457" s="19" t="s">
        <v>98</v>
      </c>
      <c r="J457" s="19"/>
      <c r="K457" s="12"/>
      <c r="L457" s="21"/>
      <c r="M457" s="21" t="str">
        <f aca="false">IF($L457="","",$L457+IF($J457="",Dashboard!$M$9,INDEX(Dashboard!$M$5:$M$9,$J457)))</f>
        <v/>
      </c>
      <c r="N457" s="22" t="str">
        <f aca="true">IF(OR($I457="Attempted",$I457="Revisit"),"DUE",IF($M457="","",IF($M457&lt;=TODAY(),"DUE","")))</f>
        <v/>
      </c>
      <c r="O457" s="11"/>
    </row>
    <row r="458" customFormat="false" ht="15" hidden="false" customHeight="true" outlineLevel="0" collapsed="false">
      <c r="A458" s="12" t="n">
        <v>457</v>
      </c>
      <c r="B458" s="11" t="s">
        <v>662</v>
      </c>
      <c r="C458" s="11" t="s">
        <v>682</v>
      </c>
      <c r="D458" s="11" t="s">
        <v>688</v>
      </c>
      <c r="E458" s="19" t="s">
        <v>135</v>
      </c>
      <c r="F458" s="19" t="s">
        <v>136</v>
      </c>
      <c r="G458" s="12" t="s">
        <v>96</v>
      </c>
      <c r="H458" s="20" t="s">
        <v>97</v>
      </c>
      <c r="I458" s="19" t="s">
        <v>98</v>
      </c>
      <c r="J458" s="19"/>
      <c r="K458" s="12"/>
      <c r="L458" s="21"/>
      <c r="M458" s="21" t="str">
        <f aca="false">IF($L458="","",$L458+IF($J458="",Dashboard!$M$9,INDEX(Dashboard!$M$5:$M$9,$J458)))</f>
        <v/>
      </c>
      <c r="N458" s="22" t="str">
        <f aca="true">IF(OR($I458="Attempted",$I458="Revisit"),"DUE",IF($M458="","",IF($M458&lt;=TODAY(),"DUE","")))</f>
        <v/>
      </c>
      <c r="O458" s="11"/>
    </row>
    <row r="459" customFormat="false" ht="15" hidden="false" customHeight="true" outlineLevel="0" collapsed="false">
      <c r="A459" s="12" t="n">
        <v>458</v>
      </c>
      <c r="B459" s="11" t="s">
        <v>662</v>
      </c>
      <c r="C459" s="11" t="s">
        <v>682</v>
      </c>
      <c r="D459" s="11" t="s">
        <v>689</v>
      </c>
      <c r="E459" s="19" t="s">
        <v>109</v>
      </c>
      <c r="F459" s="19" t="s">
        <v>121</v>
      </c>
      <c r="G459" s="12" t="s">
        <v>107</v>
      </c>
      <c r="H459" s="20" t="s">
        <v>97</v>
      </c>
      <c r="I459" s="19" t="s">
        <v>98</v>
      </c>
      <c r="J459" s="19"/>
      <c r="K459" s="12"/>
      <c r="L459" s="21"/>
      <c r="M459" s="21" t="str">
        <f aca="false">IF($L459="","",$L459+IF($J459="",Dashboard!$M$9,INDEX(Dashboard!$M$5:$M$9,$J459)))</f>
        <v/>
      </c>
      <c r="N459" s="22" t="str">
        <f aca="true">IF(OR($I459="Attempted",$I459="Revisit"),"DUE",IF($M459="","",IF($M459&lt;=TODAY(),"DUE","")))</f>
        <v/>
      </c>
      <c r="O459" s="11"/>
    </row>
    <row r="460" customFormat="false" ht="15" hidden="false" customHeight="true" outlineLevel="0" collapsed="false">
      <c r="A460" s="12" t="n">
        <v>459</v>
      </c>
      <c r="B460" s="11" t="s">
        <v>662</v>
      </c>
      <c r="C460" s="11" t="s">
        <v>690</v>
      </c>
      <c r="D460" s="11" t="s">
        <v>690</v>
      </c>
      <c r="E460" s="19" t="s">
        <v>109</v>
      </c>
      <c r="F460" s="19" t="s">
        <v>95</v>
      </c>
      <c r="G460" s="12" t="s">
        <v>96</v>
      </c>
      <c r="H460" s="20" t="s">
        <v>97</v>
      </c>
      <c r="I460" s="19" t="s">
        <v>98</v>
      </c>
      <c r="J460" s="19"/>
      <c r="K460" s="12"/>
      <c r="L460" s="21"/>
      <c r="M460" s="21" t="str">
        <f aca="false">IF($L460="","",$L460+IF($J460="",Dashboard!$M$9,INDEX(Dashboard!$M$5:$M$9,$J460)))</f>
        <v/>
      </c>
      <c r="N460" s="22" t="str">
        <f aca="true">IF(OR($I460="Attempted",$I460="Revisit"),"DUE",IF($M460="","",IF($M460&lt;=TODAY(),"DUE","")))</f>
        <v/>
      </c>
      <c r="O460" s="11"/>
    </row>
    <row r="461" customFormat="false" ht="15" hidden="false" customHeight="true" outlineLevel="0" collapsed="false">
      <c r="A461" s="12" t="n">
        <v>460</v>
      </c>
      <c r="B461" s="11" t="s">
        <v>662</v>
      </c>
      <c r="C461" s="11" t="s">
        <v>690</v>
      </c>
      <c r="D461" s="11" t="s">
        <v>691</v>
      </c>
      <c r="E461" s="19" t="s">
        <v>109</v>
      </c>
      <c r="F461" s="19" t="s">
        <v>95</v>
      </c>
      <c r="G461" s="12" t="s">
        <v>96</v>
      </c>
      <c r="H461" s="20" t="s">
        <v>97</v>
      </c>
      <c r="I461" s="19" t="s">
        <v>98</v>
      </c>
      <c r="J461" s="19"/>
      <c r="K461" s="12"/>
      <c r="L461" s="21"/>
      <c r="M461" s="21" t="str">
        <f aca="false">IF($L461="","",$L461+IF($J461="",Dashboard!$M$9,INDEX(Dashboard!$M$5:$M$9,$J461)))</f>
        <v/>
      </c>
      <c r="N461" s="22" t="str">
        <f aca="true">IF(OR($I461="Attempted",$I461="Revisit"),"DUE",IF($M461="","",IF($M461&lt;=TODAY(),"DUE","")))</f>
        <v/>
      </c>
      <c r="O461" s="11"/>
    </row>
    <row r="462" customFormat="false" ht="15" hidden="false" customHeight="true" outlineLevel="0" collapsed="false">
      <c r="A462" s="12" t="n">
        <v>461</v>
      </c>
      <c r="B462" s="11" t="s">
        <v>662</v>
      </c>
      <c r="C462" s="11" t="s">
        <v>690</v>
      </c>
      <c r="D462" s="11" t="s">
        <v>692</v>
      </c>
      <c r="E462" s="19" t="s">
        <v>109</v>
      </c>
      <c r="F462" s="19" t="s">
        <v>121</v>
      </c>
      <c r="G462" s="12" t="s">
        <v>107</v>
      </c>
      <c r="H462" s="20" t="s">
        <v>97</v>
      </c>
      <c r="I462" s="19" t="s">
        <v>98</v>
      </c>
      <c r="J462" s="19"/>
      <c r="K462" s="12"/>
      <c r="L462" s="21"/>
      <c r="M462" s="21" t="str">
        <f aca="false">IF($L462="","",$L462+IF($J462="",Dashboard!$M$9,INDEX(Dashboard!$M$5:$M$9,$J462)))</f>
        <v/>
      </c>
      <c r="N462" s="22" t="str">
        <f aca="true">IF(OR($I462="Attempted",$I462="Revisit"),"DUE",IF($M462="","",IF($M462&lt;=TODAY(),"DUE","")))</f>
        <v/>
      </c>
      <c r="O462" s="11"/>
    </row>
    <row r="463" customFormat="false" ht="15" hidden="false" customHeight="true" outlineLevel="0" collapsed="false">
      <c r="A463" s="12" t="n">
        <v>462</v>
      </c>
      <c r="B463" s="11" t="s">
        <v>662</v>
      </c>
      <c r="C463" s="11" t="s">
        <v>690</v>
      </c>
      <c r="D463" s="11" t="s">
        <v>693</v>
      </c>
      <c r="E463" s="19" t="s">
        <v>109</v>
      </c>
      <c r="F463" s="19" t="s">
        <v>121</v>
      </c>
      <c r="G463" s="12" t="s">
        <v>107</v>
      </c>
      <c r="H463" s="20" t="s">
        <v>97</v>
      </c>
      <c r="I463" s="19" t="s">
        <v>98</v>
      </c>
      <c r="J463" s="19"/>
      <c r="K463" s="12"/>
      <c r="L463" s="21"/>
      <c r="M463" s="21" t="str">
        <f aca="false">IF($L463="","",$L463+IF($J463="",Dashboard!$M$9,INDEX(Dashboard!$M$5:$M$9,$J463)))</f>
        <v/>
      </c>
      <c r="N463" s="22" t="str">
        <f aca="true">IF(OR($I463="Attempted",$I463="Revisit"),"DUE",IF($M463="","",IF($M463&lt;=TODAY(),"DUE","")))</f>
        <v/>
      </c>
      <c r="O463" s="11"/>
    </row>
    <row r="464" customFormat="false" ht="15" hidden="false" customHeight="true" outlineLevel="0" collapsed="false">
      <c r="A464" s="12" t="n">
        <v>463</v>
      </c>
      <c r="B464" s="11" t="s">
        <v>662</v>
      </c>
      <c r="C464" s="11" t="s">
        <v>690</v>
      </c>
      <c r="D464" s="11" t="s">
        <v>694</v>
      </c>
      <c r="E464" s="19" t="s">
        <v>109</v>
      </c>
      <c r="F464" s="19" t="s">
        <v>121</v>
      </c>
      <c r="G464" s="12" t="s">
        <v>107</v>
      </c>
      <c r="H464" s="20" t="s">
        <v>97</v>
      </c>
      <c r="I464" s="19" t="s">
        <v>98</v>
      </c>
      <c r="J464" s="19"/>
      <c r="K464" s="12"/>
      <c r="L464" s="21"/>
      <c r="M464" s="21" t="str">
        <f aca="false">IF($L464="","",$L464+IF($J464="",Dashboard!$M$9,INDEX(Dashboard!$M$5:$M$9,$J464)))</f>
        <v/>
      </c>
      <c r="N464" s="22" t="str">
        <f aca="true">IF(OR($I464="Attempted",$I464="Revisit"),"DUE",IF($M464="","",IF($M464&lt;=TODAY(),"DUE","")))</f>
        <v/>
      </c>
      <c r="O464" s="11"/>
    </row>
    <row r="465" customFormat="false" ht="15" hidden="false" customHeight="true" outlineLevel="0" collapsed="false">
      <c r="A465" s="12" t="n">
        <v>464</v>
      </c>
      <c r="B465" s="11" t="s">
        <v>662</v>
      </c>
      <c r="C465" s="11" t="s">
        <v>690</v>
      </c>
      <c r="D465" s="11" t="s">
        <v>695</v>
      </c>
      <c r="E465" s="19" t="s">
        <v>109</v>
      </c>
      <c r="F465" s="19" t="s">
        <v>121</v>
      </c>
      <c r="G465" s="12" t="s">
        <v>107</v>
      </c>
      <c r="H465" s="20" t="s">
        <v>97</v>
      </c>
      <c r="I465" s="19" t="s">
        <v>98</v>
      </c>
      <c r="J465" s="19"/>
      <c r="K465" s="12"/>
      <c r="L465" s="21"/>
      <c r="M465" s="21" t="str">
        <f aca="false">IF($L465="","",$L465+IF($J465="",Dashboard!$M$9,INDEX(Dashboard!$M$5:$M$9,$J465)))</f>
        <v/>
      </c>
      <c r="N465" s="22" t="str">
        <f aca="true">IF(OR($I465="Attempted",$I465="Revisit"),"DUE",IF($M465="","",IF($M465&lt;=TODAY(),"DUE","")))</f>
        <v/>
      </c>
      <c r="O465" s="11"/>
    </row>
    <row r="466" customFormat="false" ht="15" hidden="false" customHeight="true" outlineLevel="0" collapsed="false">
      <c r="A466" s="12" t="n">
        <v>465</v>
      </c>
      <c r="B466" s="11" t="s">
        <v>662</v>
      </c>
      <c r="C466" s="11" t="s">
        <v>696</v>
      </c>
      <c r="D466" s="11" t="s">
        <v>697</v>
      </c>
      <c r="E466" s="19" t="s">
        <v>109</v>
      </c>
      <c r="F466" s="19" t="s">
        <v>95</v>
      </c>
      <c r="G466" s="12" t="s">
        <v>107</v>
      </c>
      <c r="H466" s="20" t="s">
        <v>97</v>
      </c>
      <c r="I466" s="19" t="s">
        <v>98</v>
      </c>
      <c r="J466" s="19"/>
      <c r="K466" s="12"/>
      <c r="L466" s="21"/>
      <c r="M466" s="21" t="str">
        <f aca="false">IF($L466="","",$L466+IF($J466="",Dashboard!$M$9,INDEX(Dashboard!$M$5:$M$9,$J466)))</f>
        <v/>
      </c>
      <c r="N466" s="22" t="str">
        <f aca="true">IF(OR($I466="Attempted",$I466="Revisit"),"DUE",IF($M466="","",IF($M466&lt;=TODAY(),"DUE","")))</f>
        <v/>
      </c>
      <c r="O466" s="11"/>
    </row>
    <row r="467" customFormat="false" ht="15" hidden="false" customHeight="true" outlineLevel="0" collapsed="false">
      <c r="A467" s="12" t="n">
        <v>466</v>
      </c>
      <c r="B467" s="11" t="s">
        <v>662</v>
      </c>
      <c r="C467" s="11" t="s">
        <v>696</v>
      </c>
      <c r="D467" s="11" t="s">
        <v>698</v>
      </c>
      <c r="E467" s="19" t="s">
        <v>109</v>
      </c>
      <c r="F467" s="19" t="s">
        <v>95</v>
      </c>
      <c r="G467" s="12" t="s">
        <v>107</v>
      </c>
      <c r="H467" s="20" t="s">
        <v>97</v>
      </c>
      <c r="I467" s="19" t="s">
        <v>98</v>
      </c>
      <c r="J467" s="19"/>
      <c r="K467" s="12"/>
      <c r="L467" s="21"/>
      <c r="M467" s="21" t="str">
        <f aca="false">IF($L467="","",$L467+IF($J467="",Dashboard!$M$9,INDEX(Dashboard!$M$5:$M$9,$J467)))</f>
        <v/>
      </c>
      <c r="N467" s="22" t="str">
        <f aca="true">IF(OR($I467="Attempted",$I467="Revisit"),"DUE",IF($M467="","",IF($M467&lt;=TODAY(),"DUE","")))</f>
        <v/>
      </c>
      <c r="O467" s="11"/>
    </row>
    <row r="468" customFormat="false" ht="15" hidden="false" customHeight="true" outlineLevel="0" collapsed="false">
      <c r="A468" s="12" t="n">
        <v>467</v>
      </c>
      <c r="B468" s="11" t="s">
        <v>662</v>
      </c>
      <c r="C468" s="11" t="s">
        <v>696</v>
      </c>
      <c r="D468" s="11" t="s">
        <v>699</v>
      </c>
      <c r="E468" s="19" t="s">
        <v>109</v>
      </c>
      <c r="F468" s="19" t="s">
        <v>121</v>
      </c>
      <c r="G468" s="12" t="s">
        <v>107</v>
      </c>
      <c r="H468" s="20" t="s">
        <v>97</v>
      </c>
      <c r="I468" s="19" t="s">
        <v>98</v>
      </c>
      <c r="J468" s="19"/>
      <c r="K468" s="12"/>
      <c r="L468" s="21"/>
      <c r="M468" s="21" t="str">
        <f aca="false">IF($L468="","",$L468+IF($J468="",Dashboard!$M$9,INDEX(Dashboard!$M$5:$M$9,$J468)))</f>
        <v/>
      </c>
      <c r="N468" s="22" t="str">
        <f aca="true">IF(OR($I468="Attempted",$I468="Revisit"),"DUE",IF($M468="","",IF($M468&lt;=TODAY(),"DUE","")))</f>
        <v/>
      </c>
      <c r="O468" s="11"/>
    </row>
    <row r="469" customFormat="false" ht="15" hidden="false" customHeight="true" outlineLevel="0" collapsed="false">
      <c r="A469" s="12" t="n">
        <v>468</v>
      </c>
      <c r="B469" s="11" t="s">
        <v>662</v>
      </c>
      <c r="C469" s="11" t="s">
        <v>696</v>
      </c>
      <c r="D469" s="11" t="s">
        <v>700</v>
      </c>
      <c r="E469" s="19" t="s">
        <v>109</v>
      </c>
      <c r="F469" s="19" t="s">
        <v>121</v>
      </c>
      <c r="G469" s="12" t="s">
        <v>107</v>
      </c>
      <c r="H469" s="20" t="s">
        <v>97</v>
      </c>
      <c r="I469" s="19" t="s">
        <v>98</v>
      </c>
      <c r="J469" s="19"/>
      <c r="K469" s="12"/>
      <c r="L469" s="21"/>
      <c r="M469" s="21" t="str">
        <f aca="false">IF($L469="","",$L469+IF($J469="",Dashboard!$M$9,INDEX(Dashboard!$M$5:$M$9,$J469)))</f>
        <v/>
      </c>
      <c r="N469" s="22" t="str">
        <f aca="true">IF(OR($I469="Attempted",$I469="Revisit"),"DUE",IF($M469="","",IF($M469&lt;=TODAY(),"DUE","")))</f>
        <v/>
      </c>
      <c r="O469" s="11"/>
    </row>
    <row r="470" customFormat="false" ht="15" hidden="false" customHeight="true" outlineLevel="0" collapsed="false">
      <c r="A470" s="12" t="n">
        <v>469</v>
      </c>
      <c r="B470" s="11" t="s">
        <v>662</v>
      </c>
      <c r="C470" s="11" t="s">
        <v>696</v>
      </c>
      <c r="D470" s="11" t="s">
        <v>701</v>
      </c>
      <c r="E470" s="19" t="s">
        <v>135</v>
      </c>
      <c r="F470" s="19" t="s">
        <v>136</v>
      </c>
      <c r="G470" s="12" t="s">
        <v>107</v>
      </c>
      <c r="H470" s="20" t="s">
        <v>97</v>
      </c>
      <c r="I470" s="19" t="s">
        <v>98</v>
      </c>
      <c r="J470" s="19"/>
      <c r="K470" s="12"/>
      <c r="L470" s="21"/>
      <c r="M470" s="21" t="str">
        <f aca="false">IF($L470="","",$L470+IF($J470="",Dashboard!$M$9,INDEX(Dashboard!$M$5:$M$9,$J470)))</f>
        <v/>
      </c>
      <c r="N470" s="22" t="str">
        <f aca="true">IF(OR($I470="Attempted",$I470="Revisit"),"DUE",IF($M470="","",IF($M470&lt;=TODAY(),"DUE","")))</f>
        <v/>
      </c>
      <c r="O470" s="11"/>
    </row>
    <row r="471" customFormat="false" ht="15" hidden="false" customHeight="true" outlineLevel="0" collapsed="false">
      <c r="A471" s="12" t="n">
        <v>470</v>
      </c>
      <c r="B471" s="11" t="s">
        <v>662</v>
      </c>
      <c r="C471" s="11" t="s">
        <v>696</v>
      </c>
      <c r="D471" s="11" t="s">
        <v>702</v>
      </c>
      <c r="E471" s="19" t="s">
        <v>109</v>
      </c>
      <c r="F471" s="19" t="s">
        <v>121</v>
      </c>
      <c r="G471" s="12" t="s">
        <v>96</v>
      </c>
      <c r="H471" s="20" t="s">
        <v>97</v>
      </c>
      <c r="I471" s="19" t="s">
        <v>98</v>
      </c>
      <c r="J471" s="19"/>
      <c r="K471" s="12"/>
      <c r="L471" s="21"/>
      <c r="M471" s="21" t="str">
        <f aca="false">IF($L471="","",$L471+IF($J471="",Dashboard!$M$9,INDEX(Dashboard!$M$5:$M$9,$J471)))</f>
        <v/>
      </c>
      <c r="N471" s="22" t="str">
        <f aca="true">IF(OR($I471="Attempted",$I471="Revisit"),"DUE",IF($M471="","",IF($M471&lt;=TODAY(),"DUE","")))</f>
        <v/>
      </c>
      <c r="O471" s="11"/>
    </row>
    <row r="472" customFormat="false" ht="15" hidden="false" customHeight="true" outlineLevel="0" collapsed="false">
      <c r="A472" s="12" t="n">
        <v>471</v>
      </c>
      <c r="B472" s="11" t="s">
        <v>662</v>
      </c>
      <c r="C472" s="11" t="s">
        <v>696</v>
      </c>
      <c r="D472" s="11" t="s">
        <v>703</v>
      </c>
      <c r="E472" s="19" t="s">
        <v>109</v>
      </c>
      <c r="F472" s="19" t="s">
        <v>121</v>
      </c>
      <c r="G472" s="12" t="s">
        <v>96</v>
      </c>
      <c r="H472" s="20" t="s">
        <v>97</v>
      </c>
      <c r="I472" s="19" t="s">
        <v>98</v>
      </c>
      <c r="J472" s="19"/>
      <c r="K472" s="12"/>
      <c r="L472" s="21"/>
      <c r="M472" s="21" t="str">
        <f aca="false">IF($L472="","",$L472+IF($J472="",Dashboard!$M$9,INDEX(Dashboard!$M$5:$M$9,$J472)))</f>
        <v/>
      </c>
      <c r="N472" s="22" t="str">
        <f aca="true">IF(OR($I472="Attempted",$I472="Revisit"),"DUE",IF($M472="","",IF($M472&lt;=TODAY(),"DUE","")))</f>
        <v/>
      </c>
      <c r="O472" s="11"/>
    </row>
    <row r="473" customFormat="false" ht="15" hidden="false" customHeight="true" outlineLevel="0" collapsed="false">
      <c r="A473" s="12" t="n">
        <v>472</v>
      </c>
      <c r="B473" s="11" t="s">
        <v>662</v>
      </c>
      <c r="C473" s="11" t="s">
        <v>704</v>
      </c>
      <c r="D473" s="11" t="s">
        <v>705</v>
      </c>
      <c r="E473" s="19" t="s">
        <v>109</v>
      </c>
      <c r="F473" s="19" t="s">
        <v>95</v>
      </c>
      <c r="G473" s="12" t="s">
        <v>107</v>
      </c>
      <c r="H473" s="20" t="s">
        <v>97</v>
      </c>
      <c r="I473" s="19" t="s">
        <v>98</v>
      </c>
      <c r="J473" s="19"/>
      <c r="K473" s="12"/>
      <c r="L473" s="21"/>
      <c r="M473" s="21" t="str">
        <f aca="false">IF($L473="","",$L473+IF($J473="",Dashboard!$M$9,INDEX(Dashboard!$M$5:$M$9,$J473)))</f>
        <v/>
      </c>
      <c r="N473" s="22" t="str">
        <f aca="true">IF(OR($I473="Attempted",$I473="Revisit"),"DUE",IF($M473="","",IF($M473&lt;=TODAY(),"DUE","")))</f>
        <v/>
      </c>
      <c r="O473" s="11"/>
    </row>
    <row r="474" customFormat="false" ht="15" hidden="false" customHeight="true" outlineLevel="0" collapsed="false">
      <c r="A474" s="12" t="n">
        <v>473</v>
      </c>
      <c r="B474" s="11" t="s">
        <v>662</v>
      </c>
      <c r="C474" s="11" t="s">
        <v>704</v>
      </c>
      <c r="D474" s="11" t="s">
        <v>706</v>
      </c>
      <c r="E474" s="19" t="s">
        <v>109</v>
      </c>
      <c r="F474" s="19" t="s">
        <v>95</v>
      </c>
      <c r="G474" s="12" t="s">
        <v>96</v>
      </c>
      <c r="H474" s="20" t="s">
        <v>97</v>
      </c>
      <c r="I474" s="19" t="s">
        <v>98</v>
      </c>
      <c r="J474" s="19"/>
      <c r="K474" s="12"/>
      <c r="L474" s="21"/>
      <c r="M474" s="21" t="str">
        <f aca="false">IF($L474="","",$L474+IF($J474="",Dashboard!$M$9,INDEX(Dashboard!$M$5:$M$9,$J474)))</f>
        <v/>
      </c>
      <c r="N474" s="22" t="str">
        <f aca="true">IF(OR($I474="Attempted",$I474="Revisit"),"DUE",IF($M474="","",IF($M474&lt;=TODAY(),"DUE","")))</f>
        <v/>
      </c>
      <c r="O474" s="11"/>
    </row>
    <row r="475" customFormat="false" ht="15" hidden="false" customHeight="true" outlineLevel="0" collapsed="false">
      <c r="A475" s="12" t="n">
        <v>474</v>
      </c>
      <c r="B475" s="11" t="s">
        <v>662</v>
      </c>
      <c r="C475" s="11" t="s">
        <v>704</v>
      </c>
      <c r="D475" s="11" t="s">
        <v>707</v>
      </c>
      <c r="E475" s="19" t="s">
        <v>135</v>
      </c>
      <c r="F475" s="19" t="s">
        <v>136</v>
      </c>
      <c r="G475" s="12" t="s">
        <v>107</v>
      </c>
      <c r="H475" s="20" t="s">
        <v>97</v>
      </c>
      <c r="I475" s="19" t="s">
        <v>98</v>
      </c>
      <c r="J475" s="19"/>
      <c r="K475" s="12"/>
      <c r="L475" s="21"/>
      <c r="M475" s="21" t="str">
        <f aca="false">IF($L475="","",$L475+IF($J475="",Dashboard!$M$9,INDEX(Dashboard!$M$5:$M$9,$J475)))</f>
        <v/>
      </c>
      <c r="N475" s="22" t="str">
        <f aca="true">IF(OR($I475="Attempted",$I475="Revisit"),"DUE",IF($M475="","",IF($M475&lt;=TODAY(),"DUE","")))</f>
        <v/>
      </c>
      <c r="O475" s="11"/>
    </row>
    <row r="476" customFormat="false" ht="15" hidden="false" customHeight="true" outlineLevel="0" collapsed="false">
      <c r="A476" s="12" t="n">
        <v>475</v>
      </c>
      <c r="B476" s="11" t="s">
        <v>662</v>
      </c>
      <c r="C476" s="11" t="s">
        <v>704</v>
      </c>
      <c r="D476" s="11" t="s">
        <v>708</v>
      </c>
      <c r="E476" s="19" t="s">
        <v>109</v>
      </c>
      <c r="F476" s="19" t="s">
        <v>121</v>
      </c>
      <c r="G476" s="12" t="s">
        <v>107</v>
      </c>
      <c r="H476" s="20" t="s">
        <v>97</v>
      </c>
      <c r="I476" s="19" t="s">
        <v>98</v>
      </c>
      <c r="J476" s="19"/>
      <c r="K476" s="12"/>
      <c r="L476" s="21"/>
      <c r="M476" s="21" t="str">
        <f aca="false">IF($L476="","",$L476+IF($J476="",Dashboard!$M$9,INDEX(Dashboard!$M$5:$M$9,$J476)))</f>
        <v/>
      </c>
      <c r="N476" s="22" t="str">
        <f aca="true">IF(OR($I476="Attempted",$I476="Revisit"),"DUE",IF($M476="","",IF($M476&lt;=TODAY(),"DUE","")))</f>
        <v/>
      </c>
      <c r="O476" s="11"/>
    </row>
    <row r="477" customFormat="false" ht="15" hidden="false" customHeight="true" outlineLevel="0" collapsed="false">
      <c r="A477" s="12" t="n">
        <v>476</v>
      </c>
      <c r="B477" s="11" t="s">
        <v>662</v>
      </c>
      <c r="C477" s="11" t="s">
        <v>704</v>
      </c>
      <c r="D477" s="11" t="s">
        <v>709</v>
      </c>
      <c r="E477" s="19" t="s">
        <v>109</v>
      </c>
      <c r="F477" s="19" t="s">
        <v>121</v>
      </c>
      <c r="G477" s="12" t="s">
        <v>107</v>
      </c>
      <c r="H477" s="20" t="s">
        <v>97</v>
      </c>
      <c r="I477" s="19" t="s">
        <v>98</v>
      </c>
      <c r="J477" s="19"/>
      <c r="K477" s="12"/>
      <c r="L477" s="21"/>
      <c r="M477" s="21" t="str">
        <f aca="false">IF($L477="","",$L477+IF($J477="",Dashboard!$M$9,INDEX(Dashboard!$M$5:$M$9,$J477)))</f>
        <v/>
      </c>
      <c r="N477" s="22" t="str">
        <f aca="true">IF(OR($I477="Attempted",$I477="Revisit"),"DUE",IF($M477="","",IF($M477&lt;=TODAY(),"DUE","")))</f>
        <v/>
      </c>
      <c r="O477" s="11"/>
    </row>
    <row r="478" customFormat="false" ht="15" hidden="false" customHeight="true" outlineLevel="0" collapsed="false">
      <c r="A478" s="12" t="n">
        <v>477</v>
      </c>
      <c r="B478" s="11" t="s">
        <v>662</v>
      </c>
      <c r="C478" s="11" t="s">
        <v>704</v>
      </c>
      <c r="D478" s="11" t="s">
        <v>710</v>
      </c>
      <c r="E478" s="19" t="s">
        <v>135</v>
      </c>
      <c r="F478" s="19" t="s">
        <v>136</v>
      </c>
      <c r="G478" s="12" t="s">
        <v>107</v>
      </c>
      <c r="H478" s="20" t="s">
        <v>97</v>
      </c>
      <c r="I478" s="19" t="s">
        <v>98</v>
      </c>
      <c r="J478" s="19"/>
      <c r="K478" s="12"/>
      <c r="L478" s="21"/>
      <c r="M478" s="21" t="str">
        <f aca="false">IF($L478="","",$L478+IF($J478="",Dashboard!$M$9,INDEX(Dashboard!$M$5:$M$9,$J478)))</f>
        <v/>
      </c>
      <c r="N478" s="22" t="str">
        <f aca="true">IF(OR($I478="Attempted",$I478="Revisit"),"DUE",IF($M478="","",IF($M478&lt;=TODAY(),"DUE","")))</f>
        <v/>
      </c>
      <c r="O478" s="11"/>
    </row>
    <row r="479" customFormat="false" ht="15" hidden="false" customHeight="true" outlineLevel="0" collapsed="false">
      <c r="A479" s="12" t="n">
        <v>478</v>
      </c>
      <c r="B479" s="11" t="s">
        <v>662</v>
      </c>
      <c r="C479" s="11" t="s">
        <v>704</v>
      </c>
      <c r="D479" s="11" t="s">
        <v>711</v>
      </c>
      <c r="E479" s="19" t="s">
        <v>135</v>
      </c>
      <c r="F479" s="19" t="s">
        <v>136</v>
      </c>
      <c r="G479" s="12" t="s">
        <v>107</v>
      </c>
      <c r="H479" s="20" t="s">
        <v>97</v>
      </c>
      <c r="I479" s="19" t="s">
        <v>98</v>
      </c>
      <c r="J479" s="19"/>
      <c r="K479" s="12"/>
      <c r="L479" s="21"/>
      <c r="M479" s="21" t="str">
        <f aca="false">IF($L479="","",$L479+IF($J479="",Dashboard!$M$9,INDEX(Dashboard!$M$5:$M$9,$J479)))</f>
        <v/>
      </c>
      <c r="N479" s="22" t="str">
        <f aca="true">IF(OR($I479="Attempted",$I479="Revisit"),"DUE",IF($M479="","",IF($M479&lt;=TODAY(),"DUE","")))</f>
        <v/>
      </c>
      <c r="O479" s="11"/>
    </row>
    <row r="480" customFormat="false" ht="15" hidden="false" customHeight="true" outlineLevel="0" collapsed="false">
      <c r="A480" s="12" t="n">
        <v>479</v>
      </c>
      <c r="B480" s="11" t="s">
        <v>662</v>
      </c>
      <c r="C480" s="11" t="s">
        <v>704</v>
      </c>
      <c r="D480" s="11" t="s">
        <v>712</v>
      </c>
      <c r="E480" s="19" t="s">
        <v>135</v>
      </c>
      <c r="F480" s="19" t="s">
        <v>136</v>
      </c>
      <c r="G480" s="12" t="s">
        <v>107</v>
      </c>
      <c r="H480" s="20" t="s">
        <v>97</v>
      </c>
      <c r="I480" s="19" t="s">
        <v>98</v>
      </c>
      <c r="J480" s="19"/>
      <c r="K480" s="12"/>
      <c r="L480" s="21"/>
      <c r="M480" s="21" t="str">
        <f aca="false">IF($L480="","",$L480+IF($J480="",Dashboard!$M$9,INDEX(Dashboard!$M$5:$M$9,$J480)))</f>
        <v/>
      </c>
      <c r="N480" s="22" t="str">
        <f aca="true">IF(OR($I480="Attempted",$I480="Revisit"),"DUE",IF($M480="","",IF($M480&lt;=TODAY(),"DUE","")))</f>
        <v/>
      </c>
      <c r="O480" s="11"/>
    </row>
    <row r="481" customFormat="false" ht="15" hidden="false" customHeight="true" outlineLevel="0" collapsed="false">
      <c r="A481" s="12" t="n">
        <v>480</v>
      </c>
      <c r="B481" s="11" t="s">
        <v>662</v>
      </c>
      <c r="C481" s="11" t="s">
        <v>704</v>
      </c>
      <c r="D481" s="11" t="s">
        <v>713</v>
      </c>
      <c r="E481" s="19" t="s">
        <v>109</v>
      </c>
      <c r="F481" s="19" t="s">
        <v>121</v>
      </c>
      <c r="G481" s="12" t="s">
        <v>107</v>
      </c>
      <c r="H481" s="20" t="s">
        <v>97</v>
      </c>
      <c r="I481" s="19" t="s">
        <v>98</v>
      </c>
      <c r="J481" s="19"/>
      <c r="K481" s="12"/>
      <c r="L481" s="21"/>
      <c r="M481" s="21" t="str">
        <f aca="false">IF($L481="","",$L481+IF($J481="",Dashboard!$M$9,INDEX(Dashboard!$M$5:$M$9,$J481)))</f>
        <v/>
      </c>
      <c r="N481" s="22" t="str">
        <f aca="true">IF(OR($I481="Attempted",$I481="Revisit"),"DUE",IF($M481="","",IF($M481&lt;=TODAY(),"DUE","")))</f>
        <v/>
      </c>
      <c r="O481" s="11"/>
    </row>
    <row r="482" customFormat="false" ht="15" hidden="false" customHeight="true" outlineLevel="0" collapsed="false">
      <c r="A482" s="12" t="n">
        <v>481</v>
      </c>
      <c r="B482" s="11" t="s">
        <v>662</v>
      </c>
      <c r="C482" s="11" t="s">
        <v>704</v>
      </c>
      <c r="D482" s="11" t="s">
        <v>714</v>
      </c>
      <c r="E482" s="19" t="s">
        <v>109</v>
      </c>
      <c r="F482" s="19" t="s">
        <v>121</v>
      </c>
      <c r="G482" s="12" t="s">
        <v>107</v>
      </c>
      <c r="H482" s="20" t="s">
        <v>97</v>
      </c>
      <c r="I482" s="19" t="s">
        <v>98</v>
      </c>
      <c r="J482" s="19"/>
      <c r="K482" s="12"/>
      <c r="L482" s="21"/>
      <c r="M482" s="21" t="str">
        <f aca="false">IF($L482="","",$L482+IF($J482="",Dashboard!$M$9,INDEX(Dashboard!$M$5:$M$9,$J482)))</f>
        <v/>
      </c>
      <c r="N482" s="22" t="str">
        <f aca="true">IF(OR($I482="Attempted",$I482="Revisit"),"DUE",IF($M482="","",IF($M482&lt;=TODAY(),"DUE","")))</f>
        <v/>
      </c>
      <c r="O482" s="11"/>
    </row>
    <row r="483" customFormat="false" ht="15" hidden="false" customHeight="true" outlineLevel="0" collapsed="false">
      <c r="A483" s="12" t="n">
        <v>482</v>
      </c>
      <c r="B483" s="11" t="s">
        <v>662</v>
      </c>
      <c r="C483" s="11" t="s">
        <v>704</v>
      </c>
      <c r="D483" s="11" t="s">
        <v>715</v>
      </c>
      <c r="E483" s="19" t="s">
        <v>135</v>
      </c>
      <c r="F483" s="19" t="s">
        <v>136</v>
      </c>
      <c r="G483" s="12" t="s">
        <v>107</v>
      </c>
      <c r="H483" s="20" t="s">
        <v>97</v>
      </c>
      <c r="I483" s="19" t="s">
        <v>98</v>
      </c>
      <c r="J483" s="19"/>
      <c r="K483" s="12"/>
      <c r="L483" s="21"/>
      <c r="M483" s="21" t="str">
        <f aca="false">IF($L483="","",$L483+IF($J483="",Dashboard!$M$9,INDEX(Dashboard!$M$5:$M$9,$J483)))</f>
        <v/>
      </c>
      <c r="N483" s="22" t="str">
        <f aca="true">IF(OR($I483="Attempted",$I483="Revisit"),"DUE",IF($M483="","",IF($M483&lt;=TODAY(),"DUE","")))</f>
        <v/>
      </c>
      <c r="O483" s="11"/>
    </row>
    <row r="484" customFormat="false" ht="15" hidden="false" customHeight="true" outlineLevel="0" collapsed="false">
      <c r="A484" s="12" t="n">
        <v>483</v>
      </c>
      <c r="B484" s="11" t="s">
        <v>662</v>
      </c>
      <c r="C484" s="11" t="s">
        <v>716</v>
      </c>
      <c r="D484" s="11" t="s">
        <v>717</v>
      </c>
      <c r="E484" s="19" t="s">
        <v>109</v>
      </c>
      <c r="F484" s="19" t="s">
        <v>95</v>
      </c>
      <c r="G484" s="12" t="s">
        <v>107</v>
      </c>
      <c r="H484" s="20" t="s">
        <v>97</v>
      </c>
      <c r="I484" s="19" t="s">
        <v>98</v>
      </c>
      <c r="J484" s="19"/>
      <c r="K484" s="12"/>
      <c r="L484" s="21"/>
      <c r="M484" s="21" t="str">
        <f aca="false">IF($L484="","",$L484+IF($J484="",Dashboard!$M$9,INDEX(Dashboard!$M$5:$M$9,$J484)))</f>
        <v/>
      </c>
      <c r="N484" s="22" t="str">
        <f aca="true">IF(OR($I484="Attempted",$I484="Revisit"),"DUE",IF($M484="","",IF($M484&lt;=TODAY(),"DUE","")))</f>
        <v/>
      </c>
      <c r="O484" s="11"/>
    </row>
    <row r="485" customFormat="false" ht="15" hidden="false" customHeight="true" outlineLevel="0" collapsed="false">
      <c r="A485" s="12" t="n">
        <v>484</v>
      </c>
      <c r="B485" s="11" t="s">
        <v>662</v>
      </c>
      <c r="C485" s="11" t="s">
        <v>716</v>
      </c>
      <c r="D485" s="11" t="s">
        <v>718</v>
      </c>
      <c r="E485" s="19" t="s">
        <v>135</v>
      </c>
      <c r="F485" s="19" t="s">
        <v>136</v>
      </c>
      <c r="G485" s="12" t="s">
        <v>107</v>
      </c>
      <c r="H485" s="20" t="s">
        <v>97</v>
      </c>
      <c r="I485" s="19" t="s">
        <v>98</v>
      </c>
      <c r="J485" s="19"/>
      <c r="K485" s="12"/>
      <c r="L485" s="21"/>
      <c r="M485" s="21" t="str">
        <f aca="false">IF($L485="","",$L485+IF($J485="",Dashboard!$M$9,INDEX(Dashboard!$M$5:$M$9,$J485)))</f>
        <v/>
      </c>
      <c r="N485" s="22" t="str">
        <f aca="true">IF(OR($I485="Attempted",$I485="Revisit"),"DUE",IF($M485="","",IF($M485&lt;=TODAY(),"DUE","")))</f>
        <v/>
      </c>
      <c r="O485" s="11"/>
    </row>
    <row r="486" customFormat="false" ht="15" hidden="false" customHeight="true" outlineLevel="0" collapsed="false">
      <c r="A486" s="12" t="n">
        <v>485</v>
      </c>
      <c r="B486" s="11" t="s">
        <v>662</v>
      </c>
      <c r="C486" s="11" t="s">
        <v>716</v>
      </c>
      <c r="D486" s="11" t="s">
        <v>719</v>
      </c>
      <c r="E486" s="19" t="s">
        <v>135</v>
      </c>
      <c r="F486" s="19" t="s">
        <v>136</v>
      </c>
      <c r="G486" s="12" t="s">
        <v>107</v>
      </c>
      <c r="H486" s="20" t="s">
        <v>97</v>
      </c>
      <c r="I486" s="19" t="s">
        <v>98</v>
      </c>
      <c r="J486" s="19"/>
      <c r="K486" s="12"/>
      <c r="L486" s="21"/>
      <c r="M486" s="21" t="str">
        <f aca="false">IF($L486="","",$L486+IF($J486="",Dashboard!$M$9,INDEX(Dashboard!$M$5:$M$9,$J486)))</f>
        <v/>
      </c>
      <c r="N486" s="22" t="str">
        <f aca="true">IF(OR($I486="Attempted",$I486="Revisit"),"DUE",IF($M486="","",IF($M486&lt;=TODAY(),"DUE","")))</f>
        <v/>
      </c>
      <c r="O486" s="11"/>
    </row>
    <row r="487" customFormat="false" ht="15" hidden="false" customHeight="true" outlineLevel="0" collapsed="false">
      <c r="A487" s="12" t="n">
        <v>486</v>
      </c>
      <c r="B487" s="11" t="s">
        <v>662</v>
      </c>
      <c r="C487" s="11" t="s">
        <v>716</v>
      </c>
      <c r="D487" s="11" t="s">
        <v>720</v>
      </c>
      <c r="E487" s="19" t="s">
        <v>109</v>
      </c>
      <c r="F487" s="19" t="s">
        <v>95</v>
      </c>
      <c r="G487" s="12" t="s">
        <v>107</v>
      </c>
      <c r="H487" s="20" t="s">
        <v>97</v>
      </c>
      <c r="I487" s="19" t="s">
        <v>98</v>
      </c>
      <c r="J487" s="19"/>
      <c r="K487" s="12"/>
      <c r="L487" s="21"/>
      <c r="M487" s="21" t="str">
        <f aca="false">IF($L487="","",$L487+IF($J487="",Dashboard!$M$9,INDEX(Dashboard!$M$5:$M$9,$J487)))</f>
        <v/>
      </c>
      <c r="N487" s="22" t="str">
        <f aca="true">IF(OR($I487="Attempted",$I487="Revisit"),"DUE",IF($M487="","",IF($M487&lt;=TODAY(),"DUE","")))</f>
        <v/>
      </c>
      <c r="O487" s="11"/>
    </row>
    <row r="488" customFormat="false" ht="15" hidden="false" customHeight="true" outlineLevel="0" collapsed="false">
      <c r="A488" s="12" t="n">
        <v>487</v>
      </c>
      <c r="B488" s="11" t="s">
        <v>662</v>
      </c>
      <c r="C488" s="11" t="s">
        <v>716</v>
      </c>
      <c r="D488" s="11" t="s">
        <v>721</v>
      </c>
      <c r="E488" s="19" t="s">
        <v>109</v>
      </c>
      <c r="F488" s="19" t="s">
        <v>121</v>
      </c>
      <c r="G488" s="12" t="s">
        <v>107</v>
      </c>
      <c r="H488" s="20" t="s">
        <v>97</v>
      </c>
      <c r="I488" s="19" t="s">
        <v>98</v>
      </c>
      <c r="J488" s="19"/>
      <c r="K488" s="12"/>
      <c r="L488" s="21"/>
      <c r="M488" s="21" t="str">
        <f aca="false">IF($L488="","",$L488+IF($J488="",Dashboard!$M$9,INDEX(Dashboard!$M$5:$M$9,$J488)))</f>
        <v/>
      </c>
      <c r="N488" s="22" t="str">
        <f aca="true">IF(OR($I488="Attempted",$I488="Revisit"),"DUE",IF($M488="","",IF($M488&lt;=TODAY(),"DUE","")))</f>
        <v/>
      </c>
      <c r="O488" s="11"/>
    </row>
    <row r="489" customFormat="false" ht="15" hidden="false" customHeight="true" outlineLevel="0" collapsed="false">
      <c r="A489" s="12" t="n">
        <v>488</v>
      </c>
      <c r="B489" s="11" t="s">
        <v>662</v>
      </c>
      <c r="C489" s="11" t="s">
        <v>722</v>
      </c>
      <c r="D489" s="11" t="s">
        <v>723</v>
      </c>
      <c r="E489" s="19" t="s">
        <v>135</v>
      </c>
      <c r="F489" s="19" t="s">
        <v>95</v>
      </c>
      <c r="G489" s="12" t="s">
        <v>96</v>
      </c>
      <c r="H489" s="20" t="s">
        <v>97</v>
      </c>
      <c r="I489" s="19" t="s">
        <v>98</v>
      </c>
      <c r="J489" s="19"/>
      <c r="K489" s="12"/>
      <c r="L489" s="21"/>
      <c r="M489" s="21" t="str">
        <f aca="false">IF($L489="","",$L489+IF($J489="",Dashboard!$M$9,INDEX(Dashboard!$M$5:$M$9,$J489)))</f>
        <v/>
      </c>
      <c r="N489" s="22" t="str">
        <f aca="true">IF(OR($I489="Attempted",$I489="Revisit"),"DUE",IF($M489="","",IF($M489&lt;=TODAY(),"DUE","")))</f>
        <v/>
      </c>
      <c r="O489" s="11"/>
    </row>
    <row r="490" customFormat="false" ht="15" hidden="false" customHeight="true" outlineLevel="0" collapsed="false">
      <c r="A490" s="12" t="n">
        <v>489</v>
      </c>
      <c r="B490" s="11" t="s">
        <v>662</v>
      </c>
      <c r="C490" s="11" t="s">
        <v>722</v>
      </c>
      <c r="D490" s="11" t="s">
        <v>724</v>
      </c>
      <c r="E490" s="19" t="s">
        <v>135</v>
      </c>
      <c r="F490" s="19" t="s">
        <v>136</v>
      </c>
      <c r="G490" s="12" t="s">
        <v>107</v>
      </c>
      <c r="H490" s="20" t="s">
        <v>97</v>
      </c>
      <c r="I490" s="19" t="s">
        <v>98</v>
      </c>
      <c r="J490" s="19"/>
      <c r="K490" s="12"/>
      <c r="L490" s="21"/>
      <c r="M490" s="21" t="str">
        <f aca="false">IF($L490="","",$L490+IF($J490="",Dashboard!$M$9,INDEX(Dashboard!$M$5:$M$9,$J490)))</f>
        <v/>
      </c>
      <c r="N490" s="22" t="str">
        <f aca="true">IF(OR($I490="Attempted",$I490="Revisit"),"DUE",IF($M490="","",IF($M490&lt;=TODAY(),"DUE","")))</f>
        <v/>
      </c>
      <c r="O490" s="11"/>
    </row>
    <row r="491" customFormat="false" ht="15" hidden="false" customHeight="true" outlineLevel="0" collapsed="false">
      <c r="A491" s="12" t="n">
        <v>490</v>
      </c>
      <c r="B491" s="11" t="s">
        <v>662</v>
      </c>
      <c r="C491" s="11" t="s">
        <v>722</v>
      </c>
      <c r="D491" s="11" t="s">
        <v>725</v>
      </c>
      <c r="E491" s="19" t="s">
        <v>135</v>
      </c>
      <c r="F491" s="19" t="s">
        <v>136</v>
      </c>
      <c r="G491" s="12" t="s">
        <v>107</v>
      </c>
      <c r="H491" s="20" t="s">
        <v>97</v>
      </c>
      <c r="I491" s="19" t="s">
        <v>98</v>
      </c>
      <c r="J491" s="19"/>
      <c r="K491" s="12"/>
      <c r="L491" s="21"/>
      <c r="M491" s="21" t="str">
        <f aca="false">IF($L491="","",$L491+IF($J491="",Dashboard!$M$9,INDEX(Dashboard!$M$5:$M$9,$J491)))</f>
        <v/>
      </c>
      <c r="N491" s="22" t="str">
        <f aca="true">IF(OR($I491="Attempted",$I491="Revisit"),"DUE",IF($M491="","",IF($M491&lt;=TODAY(),"DUE","")))</f>
        <v/>
      </c>
      <c r="O491" s="11"/>
    </row>
    <row r="492" customFormat="false" ht="15" hidden="false" customHeight="true" outlineLevel="0" collapsed="false">
      <c r="A492" s="12" t="n">
        <v>491</v>
      </c>
      <c r="B492" s="11" t="s">
        <v>662</v>
      </c>
      <c r="C492" s="11" t="s">
        <v>722</v>
      </c>
      <c r="D492" s="11" t="s">
        <v>726</v>
      </c>
      <c r="E492" s="19" t="s">
        <v>135</v>
      </c>
      <c r="F492" s="19" t="s">
        <v>136</v>
      </c>
      <c r="G492" s="12" t="s">
        <v>107</v>
      </c>
      <c r="H492" s="20" t="s">
        <v>97</v>
      </c>
      <c r="I492" s="19" t="s">
        <v>98</v>
      </c>
      <c r="J492" s="19"/>
      <c r="K492" s="12"/>
      <c r="L492" s="21"/>
      <c r="M492" s="21" t="str">
        <f aca="false">IF($L492="","",$L492+IF($J492="",Dashboard!$M$9,INDEX(Dashboard!$M$5:$M$9,$J492)))</f>
        <v/>
      </c>
      <c r="N492" s="22" t="str">
        <f aca="true">IF(OR($I492="Attempted",$I492="Revisit"),"DUE",IF($M492="","",IF($M492&lt;=TODAY(),"DUE","")))</f>
        <v/>
      </c>
      <c r="O492" s="11"/>
    </row>
    <row r="493" customFormat="false" ht="15" hidden="false" customHeight="true" outlineLevel="0" collapsed="false">
      <c r="A493" s="12" t="n">
        <v>492</v>
      </c>
      <c r="B493" s="11" t="s">
        <v>662</v>
      </c>
      <c r="C493" s="11" t="s">
        <v>722</v>
      </c>
      <c r="D493" s="11" t="s">
        <v>727</v>
      </c>
      <c r="E493" s="19" t="s">
        <v>109</v>
      </c>
      <c r="F493" s="19" t="s">
        <v>95</v>
      </c>
      <c r="G493" s="12" t="s">
        <v>107</v>
      </c>
      <c r="H493" s="20" t="s">
        <v>97</v>
      </c>
      <c r="I493" s="19" t="s">
        <v>98</v>
      </c>
      <c r="J493" s="19"/>
      <c r="K493" s="12"/>
      <c r="L493" s="21"/>
      <c r="M493" s="21" t="str">
        <f aca="false">IF($L493="","",$L493+IF($J493="",Dashboard!$M$9,INDEX(Dashboard!$M$5:$M$9,$J493)))</f>
        <v/>
      </c>
      <c r="N493" s="22" t="str">
        <f aca="true">IF(OR($I493="Attempted",$I493="Revisit"),"DUE",IF($M493="","",IF($M493&lt;=TODAY(),"DUE","")))</f>
        <v/>
      </c>
      <c r="O493" s="11"/>
    </row>
    <row r="494" customFormat="false" ht="15" hidden="false" customHeight="true" outlineLevel="0" collapsed="false">
      <c r="A494" s="12" t="n">
        <v>493</v>
      </c>
      <c r="B494" s="11" t="s">
        <v>662</v>
      </c>
      <c r="C494" s="11" t="s">
        <v>722</v>
      </c>
      <c r="D494" s="11" t="s">
        <v>728</v>
      </c>
      <c r="E494" s="19" t="s">
        <v>135</v>
      </c>
      <c r="F494" s="19" t="s">
        <v>136</v>
      </c>
      <c r="G494" s="12" t="s">
        <v>96</v>
      </c>
      <c r="H494" s="20" t="s">
        <v>97</v>
      </c>
      <c r="I494" s="19" t="s">
        <v>98</v>
      </c>
      <c r="J494" s="19"/>
      <c r="K494" s="12"/>
      <c r="L494" s="21"/>
      <c r="M494" s="21" t="str">
        <f aca="false">IF($L494="","",$L494+IF($J494="",Dashboard!$M$9,INDEX(Dashboard!$M$5:$M$9,$J494)))</f>
        <v/>
      </c>
      <c r="N494" s="22" t="str">
        <f aca="true">IF(OR($I494="Attempted",$I494="Revisit"),"DUE",IF($M494="","",IF($M494&lt;=TODAY(),"DUE","")))</f>
        <v/>
      </c>
      <c r="O494" s="11"/>
    </row>
    <row r="495" customFormat="false" ht="15" hidden="false" customHeight="true" outlineLevel="0" collapsed="false">
      <c r="A495" s="12" t="n">
        <v>494</v>
      </c>
      <c r="B495" s="11" t="s">
        <v>662</v>
      </c>
      <c r="C495" s="11" t="s">
        <v>729</v>
      </c>
      <c r="D495" s="11" t="s">
        <v>730</v>
      </c>
      <c r="E495" s="19" t="s">
        <v>109</v>
      </c>
      <c r="F495" s="19" t="s">
        <v>95</v>
      </c>
      <c r="G495" s="12" t="s">
        <v>107</v>
      </c>
      <c r="H495" s="20" t="s">
        <v>97</v>
      </c>
      <c r="I495" s="19" t="s">
        <v>98</v>
      </c>
      <c r="J495" s="19"/>
      <c r="K495" s="12"/>
      <c r="L495" s="21"/>
      <c r="M495" s="21" t="str">
        <f aca="false">IF($L495="","",$L495+IF($J495="",Dashboard!$M$9,INDEX(Dashboard!$M$5:$M$9,$J495)))</f>
        <v/>
      </c>
      <c r="N495" s="22" t="str">
        <f aca="true">IF(OR($I495="Attempted",$I495="Revisit"),"DUE",IF($M495="","",IF($M495&lt;=TODAY(),"DUE","")))</f>
        <v/>
      </c>
      <c r="O495" s="11"/>
    </row>
    <row r="496" customFormat="false" ht="15" hidden="false" customHeight="true" outlineLevel="0" collapsed="false">
      <c r="A496" s="12" t="n">
        <v>495</v>
      </c>
      <c r="B496" s="11" t="s">
        <v>662</v>
      </c>
      <c r="C496" s="11" t="s">
        <v>729</v>
      </c>
      <c r="D496" s="11" t="s">
        <v>731</v>
      </c>
      <c r="E496" s="19" t="s">
        <v>109</v>
      </c>
      <c r="F496" s="19" t="s">
        <v>95</v>
      </c>
      <c r="G496" s="12" t="s">
        <v>107</v>
      </c>
      <c r="H496" s="20" t="s">
        <v>97</v>
      </c>
      <c r="I496" s="19" t="s">
        <v>98</v>
      </c>
      <c r="J496" s="19"/>
      <c r="K496" s="12"/>
      <c r="L496" s="21"/>
      <c r="M496" s="21" t="str">
        <f aca="false">IF($L496="","",$L496+IF($J496="",Dashboard!$M$9,INDEX(Dashboard!$M$5:$M$9,$J496)))</f>
        <v/>
      </c>
      <c r="N496" s="22" t="str">
        <f aca="true">IF(OR($I496="Attempted",$I496="Revisit"),"DUE",IF($M496="","",IF($M496&lt;=TODAY(),"DUE","")))</f>
        <v/>
      </c>
      <c r="O496" s="11"/>
    </row>
    <row r="497" customFormat="false" ht="15" hidden="false" customHeight="true" outlineLevel="0" collapsed="false">
      <c r="A497" s="12" t="n">
        <v>496</v>
      </c>
      <c r="B497" s="11" t="s">
        <v>662</v>
      </c>
      <c r="C497" s="11" t="s">
        <v>732</v>
      </c>
      <c r="D497" s="11" t="s">
        <v>733</v>
      </c>
      <c r="E497" s="19" t="s">
        <v>109</v>
      </c>
      <c r="F497" s="19" t="s">
        <v>95</v>
      </c>
      <c r="G497" s="12" t="s">
        <v>107</v>
      </c>
      <c r="H497" s="20" t="s">
        <v>97</v>
      </c>
      <c r="I497" s="19" t="s">
        <v>98</v>
      </c>
      <c r="J497" s="19"/>
      <c r="K497" s="12"/>
      <c r="L497" s="21"/>
      <c r="M497" s="21" t="str">
        <f aca="false">IF($L497="","",$L497+IF($J497="",Dashboard!$M$9,INDEX(Dashboard!$M$5:$M$9,$J497)))</f>
        <v/>
      </c>
      <c r="N497" s="22" t="str">
        <f aca="true">IF(OR($I497="Attempted",$I497="Revisit"),"DUE",IF($M497="","",IF($M497&lt;=TODAY(),"DUE","")))</f>
        <v/>
      </c>
      <c r="O497" s="11"/>
    </row>
    <row r="498" customFormat="false" ht="15" hidden="false" customHeight="true" outlineLevel="0" collapsed="false">
      <c r="A498" s="12" t="n">
        <v>497</v>
      </c>
      <c r="B498" s="11" t="s">
        <v>662</v>
      </c>
      <c r="C498" s="11" t="s">
        <v>732</v>
      </c>
      <c r="D498" s="11" t="s">
        <v>734</v>
      </c>
      <c r="E498" s="19" t="s">
        <v>135</v>
      </c>
      <c r="F498" s="19" t="s">
        <v>95</v>
      </c>
      <c r="G498" s="12" t="s">
        <v>107</v>
      </c>
      <c r="H498" s="20" t="s">
        <v>97</v>
      </c>
      <c r="I498" s="19" t="s">
        <v>98</v>
      </c>
      <c r="J498" s="19"/>
      <c r="K498" s="12"/>
      <c r="L498" s="21"/>
      <c r="M498" s="21" t="str">
        <f aca="false">IF($L498="","",$L498+IF($J498="",Dashboard!$M$9,INDEX(Dashboard!$M$5:$M$9,$J498)))</f>
        <v/>
      </c>
      <c r="N498" s="22" t="str">
        <f aca="true">IF(OR($I498="Attempted",$I498="Revisit"),"DUE",IF($M498="","",IF($M498&lt;=TODAY(),"DUE","")))</f>
        <v/>
      </c>
      <c r="O498" s="11"/>
    </row>
    <row r="499" customFormat="false" ht="15" hidden="false" customHeight="true" outlineLevel="0" collapsed="false">
      <c r="A499" s="12" t="n">
        <v>498</v>
      </c>
      <c r="B499" s="11" t="s">
        <v>662</v>
      </c>
      <c r="C499" s="11" t="s">
        <v>735</v>
      </c>
      <c r="D499" s="11" t="s">
        <v>736</v>
      </c>
      <c r="E499" s="19" t="s">
        <v>109</v>
      </c>
      <c r="F499" s="19" t="s">
        <v>95</v>
      </c>
      <c r="G499" s="12" t="s">
        <v>107</v>
      </c>
      <c r="H499" s="20" t="s">
        <v>97</v>
      </c>
      <c r="I499" s="19" t="s">
        <v>98</v>
      </c>
      <c r="J499" s="19"/>
      <c r="K499" s="12"/>
      <c r="L499" s="21"/>
      <c r="M499" s="21" t="str">
        <f aca="false">IF($L499="","",$L499+IF($J499="",Dashboard!$M$9,INDEX(Dashboard!$M$5:$M$9,$J499)))</f>
        <v/>
      </c>
      <c r="N499" s="22" t="str">
        <f aca="true">IF(OR($I499="Attempted",$I499="Revisit"),"DUE",IF($M499="","",IF($M499&lt;=TODAY(),"DUE","")))</f>
        <v/>
      </c>
      <c r="O499" s="11"/>
    </row>
    <row r="500" customFormat="false" ht="15" hidden="false" customHeight="true" outlineLevel="0" collapsed="false">
      <c r="A500" s="12" t="n">
        <v>499</v>
      </c>
      <c r="B500" s="11" t="s">
        <v>662</v>
      </c>
      <c r="C500" s="11" t="s">
        <v>735</v>
      </c>
      <c r="D500" s="11" t="s">
        <v>737</v>
      </c>
      <c r="E500" s="19" t="s">
        <v>109</v>
      </c>
      <c r="F500" s="19" t="s">
        <v>95</v>
      </c>
      <c r="G500" s="12" t="s">
        <v>107</v>
      </c>
      <c r="H500" s="20" t="s">
        <v>97</v>
      </c>
      <c r="I500" s="19" t="s">
        <v>98</v>
      </c>
      <c r="J500" s="19"/>
      <c r="K500" s="12"/>
      <c r="L500" s="21"/>
      <c r="M500" s="21" t="str">
        <f aca="false">IF($L500="","",$L500+IF($J500="",Dashboard!$M$9,INDEX(Dashboard!$M$5:$M$9,$J500)))</f>
        <v/>
      </c>
      <c r="N500" s="22" t="str">
        <f aca="true">IF(OR($I500="Attempted",$I500="Revisit"),"DUE",IF($M500="","",IF($M500&lt;=TODAY(),"DUE","")))</f>
        <v/>
      </c>
      <c r="O500" s="11"/>
    </row>
    <row r="501" customFormat="false" ht="15" hidden="false" customHeight="true" outlineLevel="0" collapsed="false">
      <c r="A501" s="12" t="n">
        <v>500</v>
      </c>
      <c r="B501" s="11" t="s">
        <v>662</v>
      </c>
      <c r="C501" s="11" t="s">
        <v>738</v>
      </c>
      <c r="D501" s="11" t="s">
        <v>739</v>
      </c>
      <c r="E501" s="19" t="s">
        <v>109</v>
      </c>
      <c r="F501" s="19" t="s">
        <v>95</v>
      </c>
      <c r="G501" s="12" t="s">
        <v>107</v>
      </c>
      <c r="H501" s="20" t="s">
        <v>97</v>
      </c>
      <c r="I501" s="19" t="s">
        <v>98</v>
      </c>
      <c r="J501" s="19"/>
      <c r="K501" s="12"/>
      <c r="L501" s="21"/>
      <c r="M501" s="21" t="str">
        <f aca="false">IF($L501="","",$L501+IF($J501="",Dashboard!$M$9,INDEX(Dashboard!$M$5:$M$9,$J501)))</f>
        <v/>
      </c>
      <c r="N501" s="22" t="str">
        <f aca="true">IF(OR($I501="Attempted",$I501="Revisit"),"DUE",IF($M501="","",IF($M501&lt;=TODAY(),"DUE","")))</f>
        <v/>
      </c>
      <c r="O501" s="11"/>
    </row>
    <row r="502" customFormat="false" ht="15" hidden="false" customHeight="true" outlineLevel="0" collapsed="false">
      <c r="A502" s="12" t="n">
        <v>501</v>
      </c>
      <c r="B502" s="11" t="s">
        <v>662</v>
      </c>
      <c r="C502" s="11" t="s">
        <v>738</v>
      </c>
      <c r="D502" s="11" t="s">
        <v>740</v>
      </c>
      <c r="E502" s="19" t="s">
        <v>109</v>
      </c>
      <c r="F502" s="19" t="s">
        <v>95</v>
      </c>
      <c r="G502" s="12" t="s">
        <v>107</v>
      </c>
      <c r="H502" s="20" t="s">
        <v>97</v>
      </c>
      <c r="I502" s="19" t="s">
        <v>98</v>
      </c>
      <c r="J502" s="19"/>
      <c r="K502" s="12"/>
      <c r="L502" s="21"/>
      <c r="M502" s="21" t="str">
        <f aca="false">IF($L502="","",$L502+IF($J502="",Dashboard!$M$9,INDEX(Dashboard!$M$5:$M$9,$J502)))</f>
        <v/>
      </c>
      <c r="N502" s="22" t="str">
        <f aca="true">IF(OR($I502="Attempted",$I502="Revisit"),"DUE",IF($M502="","",IF($M502&lt;=TODAY(),"DUE","")))</f>
        <v/>
      </c>
      <c r="O502" s="11"/>
    </row>
    <row r="503" customFormat="false" ht="15" hidden="false" customHeight="true" outlineLevel="0" collapsed="false">
      <c r="A503" s="12" t="n">
        <v>502</v>
      </c>
      <c r="B503" s="11" t="s">
        <v>662</v>
      </c>
      <c r="C503" s="11" t="s">
        <v>741</v>
      </c>
      <c r="D503" s="11" t="s">
        <v>742</v>
      </c>
      <c r="E503" s="19" t="s">
        <v>135</v>
      </c>
      <c r="F503" s="19" t="s">
        <v>95</v>
      </c>
      <c r="G503" s="12" t="s">
        <v>96</v>
      </c>
      <c r="H503" s="20" t="s">
        <v>97</v>
      </c>
      <c r="I503" s="19" t="s">
        <v>98</v>
      </c>
      <c r="J503" s="19"/>
      <c r="K503" s="12"/>
      <c r="L503" s="21"/>
      <c r="M503" s="21" t="str">
        <f aca="false">IF($L503="","",$L503+IF($J503="",Dashboard!$M$9,INDEX(Dashboard!$M$5:$M$9,$J503)))</f>
        <v/>
      </c>
      <c r="N503" s="22" t="str">
        <f aca="true">IF(OR($I503="Attempted",$I503="Revisit"),"DUE",IF($M503="","",IF($M503&lt;=TODAY(),"DUE","")))</f>
        <v/>
      </c>
      <c r="O503" s="11"/>
    </row>
    <row r="504" customFormat="false" ht="15" hidden="false" customHeight="true" outlineLevel="0" collapsed="false">
      <c r="A504" s="12" t="n">
        <v>503</v>
      </c>
      <c r="B504" s="11" t="s">
        <v>662</v>
      </c>
      <c r="C504" s="11" t="s">
        <v>741</v>
      </c>
      <c r="D504" s="11" t="s">
        <v>743</v>
      </c>
      <c r="E504" s="19" t="s">
        <v>135</v>
      </c>
      <c r="F504" s="19" t="s">
        <v>95</v>
      </c>
      <c r="G504" s="12" t="s">
        <v>107</v>
      </c>
      <c r="H504" s="20" t="s">
        <v>97</v>
      </c>
      <c r="I504" s="19" t="s">
        <v>98</v>
      </c>
      <c r="J504" s="19"/>
      <c r="K504" s="12"/>
      <c r="L504" s="21"/>
      <c r="M504" s="21" t="str">
        <f aca="false">IF($L504="","",$L504+IF($J504="",Dashboard!$M$9,INDEX(Dashboard!$M$5:$M$9,$J504)))</f>
        <v/>
      </c>
      <c r="N504" s="22" t="str">
        <f aca="true">IF(OR($I504="Attempted",$I504="Revisit"),"DUE",IF($M504="","",IF($M504&lt;=TODAY(),"DUE","")))</f>
        <v/>
      </c>
      <c r="O504" s="11"/>
    </row>
    <row r="505" customFormat="false" ht="15" hidden="false" customHeight="true" outlineLevel="0" collapsed="false">
      <c r="A505" s="12" t="n">
        <v>504</v>
      </c>
      <c r="B505" s="11" t="s">
        <v>744</v>
      </c>
      <c r="C505" s="11" t="s">
        <v>117</v>
      </c>
      <c r="D505" s="11" t="s">
        <v>745</v>
      </c>
      <c r="E505" s="19" t="s">
        <v>94</v>
      </c>
      <c r="F505" s="19" t="s">
        <v>95</v>
      </c>
      <c r="G505" s="12" t="s">
        <v>107</v>
      </c>
      <c r="H505" s="20" t="s">
        <v>97</v>
      </c>
      <c r="I505" s="19" t="s">
        <v>98</v>
      </c>
      <c r="J505" s="19"/>
      <c r="K505" s="12"/>
      <c r="L505" s="21"/>
      <c r="M505" s="21" t="str">
        <f aca="false">IF($L505="","",$L505+IF($J505="",Dashboard!$M$9,INDEX(Dashboard!$M$5:$M$9,$J505)))</f>
        <v/>
      </c>
      <c r="N505" s="22" t="str">
        <f aca="true">IF(OR($I505="Attempted",$I505="Revisit"),"DUE",IF($M505="","",IF($M505&lt;=TODAY(),"DUE","")))</f>
        <v/>
      </c>
      <c r="O505" s="11"/>
    </row>
    <row r="506" customFormat="false" ht="15" hidden="false" customHeight="true" outlineLevel="0" collapsed="false">
      <c r="A506" s="12" t="n">
        <v>505</v>
      </c>
      <c r="B506" s="11" t="s">
        <v>744</v>
      </c>
      <c r="C506" s="11" t="s">
        <v>117</v>
      </c>
      <c r="D506" s="11" t="s">
        <v>746</v>
      </c>
      <c r="E506" s="19" t="s">
        <v>94</v>
      </c>
      <c r="F506" s="19" t="s">
        <v>95</v>
      </c>
      <c r="G506" s="12" t="s">
        <v>107</v>
      </c>
      <c r="H506" s="20" t="s">
        <v>97</v>
      </c>
      <c r="I506" s="19" t="s">
        <v>98</v>
      </c>
      <c r="J506" s="19"/>
      <c r="K506" s="12"/>
      <c r="L506" s="21"/>
      <c r="M506" s="21" t="str">
        <f aca="false">IF($L506="","",$L506+IF($J506="",Dashboard!$M$9,INDEX(Dashboard!$M$5:$M$9,$J506)))</f>
        <v/>
      </c>
      <c r="N506" s="22" t="str">
        <f aca="true">IF(OR($I506="Attempted",$I506="Revisit"),"DUE",IF($M506="","",IF($M506&lt;=TODAY(),"DUE","")))</f>
        <v/>
      </c>
      <c r="O506" s="11"/>
    </row>
    <row r="507" customFormat="false" ht="15" hidden="false" customHeight="true" outlineLevel="0" collapsed="false">
      <c r="A507" s="12" t="n">
        <v>506</v>
      </c>
      <c r="B507" s="11" t="s">
        <v>744</v>
      </c>
      <c r="C507" s="11" t="s">
        <v>117</v>
      </c>
      <c r="D507" s="11" t="s">
        <v>747</v>
      </c>
      <c r="E507" s="19" t="s">
        <v>94</v>
      </c>
      <c r="F507" s="19" t="s">
        <v>121</v>
      </c>
      <c r="G507" s="12" t="s">
        <v>107</v>
      </c>
      <c r="H507" s="20" t="s">
        <v>97</v>
      </c>
      <c r="I507" s="19" t="s">
        <v>98</v>
      </c>
      <c r="J507" s="19"/>
      <c r="K507" s="12"/>
      <c r="L507" s="21"/>
      <c r="M507" s="21" t="str">
        <f aca="false">IF($L507="","",$L507+IF($J507="",Dashboard!$M$9,INDEX(Dashboard!$M$5:$M$9,$J507)))</f>
        <v/>
      </c>
      <c r="N507" s="22" t="str">
        <f aca="true">IF(OR($I507="Attempted",$I507="Revisit"),"DUE",IF($M507="","",IF($M507&lt;=TODAY(),"DUE","")))</f>
        <v/>
      </c>
      <c r="O507" s="11"/>
    </row>
    <row r="508" customFormat="false" ht="15" hidden="false" customHeight="true" outlineLevel="0" collapsed="false">
      <c r="A508" s="12" t="n">
        <v>507</v>
      </c>
      <c r="B508" s="11" t="s">
        <v>744</v>
      </c>
      <c r="C508" s="11" t="s">
        <v>117</v>
      </c>
      <c r="D508" s="11" t="s">
        <v>748</v>
      </c>
      <c r="E508" s="19" t="s">
        <v>94</v>
      </c>
      <c r="F508" s="19" t="s">
        <v>121</v>
      </c>
      <c r="G508" s="12" t="s">
        <v>107</v>
      </c>
      <c r="H508" s="20" t="s">
        <v>97</v>
      </c>
      <c r="I508" s="19" t="s">
        <v>98</v>
      </c>
      <c r="J508" s="19"/>
      <c r="K508" s="12"/>
      <c r="L508" s="21"/>
      <c r="M508" s="21" t="str">
        <f aca="false">IF($L508="","",$L508+IF($J508="",Dashboard!$M$9,INDEX(Dashboard!$M$5:$M$9,$J508)))</f>
        <v/>
      </c>
      <c r="N508" s="22" t="str">
        <f aca="true">IF(OR($I508="Attempted",$I508="Revisit"),"DUE",IF($M508="","",IF($M508&lt;=TODAY(),"DUE","")))</f>
        <v/>
      </c>
      <c r="O508" s="11"/>
    </row>
    <row r="509" customFormat="false" ht="15" hidden="false" customHeight="true" outlineLevel="0" collapsed="false">
      <c r="A509" s="12" t="n">
        <v>508</v>
      </c>
      <c r="B509" s="11" t="s">
        <v>744</v>
      </c>
      <c r="C509" s="11" t="s">
        <v>117</v>
      </c>
      <c r="D509" s="11" t="s">
        <v>749</v>
      </c>
      <c r="E509" s="19" t="s">
        <v>94</v>
      </c>
      <c r="F509" s="19" t="s">
        <v>121</v>
      </c>
      <c r="G509" s="12" t="s">
        <v>107</v>
      </c>
      <c r="H509" s="20" t="s">
        <v>97</v>
      </c>
      <c r="I509" s="19" t="s">
        <v>98</v>
      </c>
      <c r="J509" s="19"/>
      <c r="K509" s="12"/>
      <c r="L509" s="21"/>
      <c r="M509" s="21" t="str">
        <f aca="false">IF($L509="","",$L509+IF($J509="",Dashboard!$M$9,INDEX(Dashboard!$M$5:$M$9,$J509)))</f>
        <v/>
      </c>
      <c r="N509" s="22" t="str">
        <f aca="true">IF(OR($I509="Attempted",$I509="Revisit"),"DUE",IF($M509="","",IF($M509&lt;=TODAY(),"DUE","")))</f>
        <v/>
      </c>
      <c r="O509" s="11"/>
    </row>
    <row r="510" customFormat="false" ht="15" hidden="false" customHeight="true" outlineLevel="0" collapsed="false">
      <c r="A510" s="12" t="n">
        <v>509</v>
      </c>
      <c r="B510" s="11" t="s">
        <v>744</v>
      </c>
      <c r="C510" s="11" t="s">
        <v>117</v>
      </c>
      <c r="D510" s="11" t="s">
        <v>750</v>
      </c>
      <c r="E510" s="19" t="s">
        <v>94</v>
      </c>
      <c r="F510" s="19" t="s">
        <v>121</v>
      </c>
      <c r="G510" s="12" t="s">
        <v>96</v>
      </c>
      <c r="H510" s="20" t="s">
        <v>97</v>
      </c>
      <c r="I510" s="19" t="s">
        <v>98</v>
      </c>
      <c r="J510" s="19"/>
      <c r="K510" s="12"/>
      <c r="L510" s="21"/>
      <c r="M510" s="21" t="str">
        <f aca="false">IF($L510="","",$L510+IF($J510="",Dashboard!$M$9,INDEX(Dashboard!$M$5:$M$9,$J510)))</f>
        <v/>
      </c>
      <c r="N510" s="22" t="str">
        <f aca="true">IF(OR($I510="Attempted",$I510="Revisit"),"DUE",IF($M510="","",IF($M510&lt;=TODAY(),"DUE","")))</f>
        <v/>
      </c>
      <c r="O510" s="11"/>
    </row>
    <row r="511" customFormat="false" ht="15" hidden="false" customHeight="true" outlineLevel="0" collapsed="false">
      <c r="A511" s="12" t="n">
        <v>510</v>
      </c>
      <c r="B511" s="11" t="s">
        <v>744</v>
      </c>
      <c r="C511" s="11" t="s">
        <v>117</v>
      </c>
      <c r="D511" s="11" t="s">
        <v>751</v>
      </c>
      <c r="E511" s="19" t="s">
        <v>94</v>
      </c>
      <c r="F511" s="19" t="s">
        <v>121</v>
      </c>
      <c r="G511" s="12" t="s">
        <v>107</v>
      </c>
      <c r="H511" s="20" t="s">
        <v>97</v>
      </c>
      <c r="I511" s="19" t="s">
        <v>98</v>
      </c>
      <c r="J511" s="19"/>
      <c r="K511" s="12"/>
      <c r="L511" s="21"/>
      <c r="M511" s="21" t="str">
        <f aca="false">IF($L511="","",$L511+IF($J511="",Dashboard!$M$9,INDEX(Dashboard!$M$5:$M$9,$J511)))</f>
        <v/>
      </c>
      <c r="N511" s="22" t="str">
        <f aca="true">IF(OR($I511="Attempted",$I511="Revisit"),"DUE",IF($M511="","",IF($M511&lt;=TODAY(),"DUE","")))</f>
        <v/>
      </c>
      <c r="O511" s="11"/>
    </row>
    <row r="512" customFormat="false" ht="15" hidden="false" customHeight="true" outlineLevel="0" collapsed="false">
      <c r="A512" s="12" t="n">
        <v>511</v>
      </c>
      <c r="B512" s="11" t="s">
        <v>744</v>
      </c>
      <c r="C512" s="11" t="s">
        <v>752</v>
      </c>
      <c r="D512" s="11" t="s">
        <v>753</v>
      </c>
      <c r="E512" s="19" t="s">
        <v>94</v>
      </c>
      <c r="F512" s="19" t="s">
        <v>95</v>
      </c>
      <c r="G512" s="12" t="s">
        <v>107</v>
      </c>
      <c r="H512" s="20" t="s">
        <v>97</v>
      </c>
      <c r="I512" s="19" t="s">
        <v>98</v>
      </c>
      <c r="J512" s="19"/>
      <c r="K512" s="12"/>
      <c r="L512" s="21"/>
      <c r="M512" s="21" t="str">
        <f aca="false">IF($L512="","",$L512+IF($J512="",Dashboard!$M$9,INDEX(Dashboard!$M$5:$M$9,$J512)))</f>
        <v/>
      </c>
      <c r="N512" s="22" t="str">
        <f aca="true">IF(OR($I512="Attempted",$I512="Revisit"),"DUE",IF($M512="","",IF($M512&lt;=TODAY(),"DUE","")))</f>
        <v/>
      </c>
      <c r="O512" s="11"/>
    </row>
    <row r="513" customFormat="false" ht="15" hidden="false" customHeight="true" outlineLevel="0" collapsed="false">
      <c r="A513" s="12" t="n">
        <v>512</v>
      </c>
      <c r="B513" s="11" t="s">
        <v>744</v>
      </c>
      <c r="C513" s="11" t="s">
        <v>752</v>
      </c>
      <c r="D513" s="11" t="s">
        <v>754</v>
      </c>
      <c r="E513" s="19" t="s">
        <v>109</v>
      </c>
      <c r="F513" s="19" t="s">
        <v>121</v>
      </c>
      <c r="G513" s="12" t="s">
        <v>107</v>
      </c>
      <c r="H513" s="20" t="s">
        <v>97</v>
      </c>
      <c r="I513" s="19" t="s">
        <v>98</v>
      </c>
      <c r="J513" s="19"/>
      <c r="K513" s="12"/>
      <c r="L513" s="21"/>
      <c r="M513" s="21" t="str">
        <f aca="false">IF($L513="","",$L513+IF($J513="",Dashboard!$M$9,INDEX(Dashboard!$M$5:$M$9,$J513)))</f>
        <v/>
      </c>
      <c r="N513" s="22" t="str">
        <f aca="true">IF(OR($I513="Attempted",$I513="Revisit"),"DUE",IF($M513="","",IF($M513&lt;=TODAY(),"DUE","")))</f>
        <v/>
      </c>
      <c r="O513" s="11"/>
    </row>
    <row r="514" customFormat="false" ht="15" hidden="false" customHeight="true" outlineLevel="0" collapsed="false">
      <c r="A514" s="12" t="n">
        <v>513</v>
      </c>
      <c r="B514" s="11" t="s">
        <v>744</v>
      </c>
      <c r="C514" s="11" t="s">
        <v>752</v>
      </c>
      <c r="D514" s="11" t="s">
        <v>755</v>
      </c>
      <c r="E514" s="19" t="s">
        <v>109</v>
      </c>
      <c r="F514" s="19" t="s">
        <v>121</v>
      </c>
      <c r="G514" s="12" t="s">
        <v>107</v>
      </c>
      <c r="H514" s="20" t="s">
        <v>97</v>
      </c>
      <c r="I514" s="19" t="s">
        <v>98</v>
      </c>
      <c r="J514" s="19"/>
      <c r="K514" s="12"/>
      <c r="L514" s="21"/>
      <c r="M514" s="21" t="str">
        <f aca="false">IF($L514="","",$L514+IF($J514="",Dashboard!$M$9,INDEX(Dashboard!$M$5:$M$9,$J514)))</f>
        <v/>
      </c>
      <c r="N514" s="22" t="str">
        <f aca="true">IF(OR($I514="Attempted",$I514="Revisit"),"DUE",IF($M514="","",IF($M514&lt;=TODAY(),"DUE","")))</f>
        <v/>
      </c>
      <c r="O514" s="11"/>
    </row>
    <row r="515" customFormat="false" ht="15" hidden="false" customHeight="true" outlineLevel="0" collapsed="false">
      <c r="A515" s="12" t="n">
        <v>514</v>
      </c>
      <c r="B515" s="11" t="s">
        <v>744</v>
      </c>
      <c r="C515" s="11" t="s">
        <v>752</v>
      </c>
      <c r="D515" s="11" t="s">
        <v>756</v>
      </c>
      <c r="E515" s="19" t="s">
        <v>94</v>
      </c>
      <c r="F515" s="19" t="s">
        <v>95</v>
      </c>
      <c r="G515" s="12" t="s">
        <v>107</v>
      </c>
      <c r="H515" s="20" t="s">
        <v>97</v>
      </c>
      <c r="I515" s="19" t="s">
        <v>98</v>
      </c>
      <c r="J515" s="19"/>
      <c r="K515" s="12"/>
      <c r="L515" s="21"/>
      <c r="M515" s="21" t="str">
        <f aca="false">IF($L515="","",$L515+IF($J515="",Dashboard!$M$9,INDEX(Dashboard!$M$5:$M$9,$J515)))</f>
        <v/>
      </c>
      <c r="N515" s="22" t="str">
        <f aca="true">IF(OR($I515="Attempted",$I515="Revisit"),"DUE",IF($M515="","",IF($M515&lt;=TODAY(),"DUE","")))</f>
        <v/>
      </c>
      <c r="O515" s="11"/>
    </row>
    <row r="516" customFormat="false" ht="15" hidden="false" customHeight="true" outlineLevel="0" collapsed="false">
      <c r="A516" s="12" t="n">
        <v>515</v>
      </c>
      <c r="B516" s="11" t="s">
        <v>744</v>
      </c>
      <c r="C516" s="11" t="s">
        <v>752</v>
      </c>
      <c r="D516" s="11" t="s">
        <v>757</v>
      </c>
      <c r="E516" s="19" t="s">
        <v>109</v>
      </c>
      <c r="F516" s="19" t="s">
        <v>121</v>
      </c>
      <c r="G516" s="12" t="s">
        <v>107</v>
      </c>
      <c r="H516" s="20" t="s">
        <v>97</v>
      </c>
      <c r="I516" s="19" t="s">
        <v>98</v>
      </c>
      <c r="J516" s="19"/>
      <c r="K516" s="12"/>
      <c r="L516" s="21"/>
      <c r="M516" s="21" t="str">
        <f aca="false">IF($L516="","",$L516+IF($J516="",Dashboard!$M$9,INDEX(Dashboard!$M$5:$M$9,$J516)))</f>
        <v/>
      </c>
      <c r="N516" s="22" t="str">
        <f aca="true">IF(OR($I516="Attempted",$I516="Revisit"),"DUE",IF($M516="","",IF($M516&lt;=TODAY(),"DUE","")))</f>
        <v/>
      </c>
      <c r="O516" s="11"/>
    </row>
    <row r="517" customFormat="false" ht="15" hidden="false" customHeight="true" outlineLevel="0" collapsed="false">
      <c r="A517" s="12" t="n">
        <v>516</v>
      </c>
      <c r="B517" s="11" t="s">
        <v>744</v>
      </c>
      <c r="C517" s="11" t="s">
        <v>752</v>
      </c>
      <c r="D517" s="11" t="s">
        <v>758</v>
      </c>
      <c r="E517" s="19" t="s">
        <v>109</v>
      </c>
      <c r="F517" s="19" t="s">
        <v>121</v>
      </c>
      <c r="G517" s="12" t="s">
        <v>107</v>
      </c>
      <c r="H517" s="20" t="s">
        <v>97</v>
      </c>
      <c r="I517" s="19" t="s">
        <v>98</v>
      </c>
      <c r="J517" s="19"/>
      <c r="K517" s="12"/>
      <c r="L517" s="21"/>
      <c r="M517" s="21" t="str">
        <f aca="false">IF($L517="","",$L517+IF($J517="",Dashboard!$M$9,INDEX(Dashboard!$M$5:$M$9,$J517)))</f>
        <v/>
      </c>
      <c r="N517" s="22" t="str">
        <f aca="true">IF(OR($I517="Attempted",$I517="Revisit"),"DUE",IF($M517="","",IF($M517&lt;=TODAY(),"DUE","")))</f>
        <v/>
      </c>
      <c r="O517" s="11"/>
    </row>
    <row r="518" customFormat="false" ht="15" hidden="false" customHeight="true" outlineLevel="0" collapsed="false">
      <c r="A518" s="12" t="n">
        <v>517</v>
      </c>
      <c r="B518" s="11" t="s">
        <v>744</v>
      </c>
      <c r="C518" s="11" t="s">
        <v>752</v>
      </c>
      <c r="D518" s="11" t="s">
        <v>759</v>
      </c>
      <c r="E518" s="19" t="s">
        <v>94</v>
      </c>
      <c r="F518" s="19" t="s">
        <v>121</v>
      </c>
      <c r="G518" s="12" t="s">
        <v>96</v>
      </c>
      <c r="H518" s="20" t="s">
        <v>97</v>
      </c>
      <c r="I518" s="19" t="s">
        <v>98</v>
      </c>
      <c r="J518" s="19"/>
      <c r="K518" s="12"/>
      <c r="L518" s="21"/>
      <c r="M518" s="21" t="str">
        <f aca="false">IF($L518="","",$L518+IF($J518="",Dashboard!$M$9,INDEX(Dashboard!$M$5:$M$9,$J518)))</f>
        <v/>
      </c>
      <c r="N518" s="22" t="str">
        <f aca="true">IF(OR($I518="Attempted",$I518="Revisit"),"DUE",IF($M518="","",IF($M518&lt;=TODAY(),"DUE","")))</f>
        <v/>
      </c>
      <c r="O518" s="11"/>
    </row>
    <row r="519" customFormat="false" ht="15" hidden="false" customHeight="true" outlineLevel="0" collapsed="false">
      <c r="A519" s="12" t="n">
        <v>518</v>
      </c>
      <c r="B519" s="11" t="s">
        <v>744</v>
      </c>
      <c r="C519" s="11" t="s">
        <v>760</v>
      </c>
      <c r="D519" s="11" t="s">
        <v>761</v>
      </c>
      <c r="E519" s="19" t="s">
        <v>109</v>
      </c>
      <c r="F519" s="19" t="s">
        <v>95</v>
      </c>
      <c r="G519" s="12" t="s">
        <v>107</v>
      </c>
      <c r="H519" s="20" t="s">
        <v>97</v>
      </c>
      <c r="I519" s="19" t="s">
        <v>98</v>
      </c>
      <c r="J519" s="19"/>
      <c r="K519" s="12"/>
      <c r="L519" s="21"/>
      <c r="M519" s="21" t="str">
        <f aca="false">IF($L519="","",$L519+IF($J519="",Dashboard!$M$9,INDEX(Dashboard!$M$5:$M$9,$J519)))</f>
        <v/>
      </c>
      <c r="N519" s="22" t="str">
        <f aca="true">IF(OR($I519="Attempted",$I519="Revisit"),"DUE",IF($M519="","",IF($M519&lt;=TODAY(),"DUE","")))</f>
        <v/>
      </c>
      <c r="O519" s="11"/>
    </row>
    <row r="520" customFormat="false" ht="15" hidden="false" customHeight="true" outlineLevel="0" collapsed="false">
      <c r="A520" s="12" t="n">
        <v>519</v>
      </c>
      <c r="B520" s="11" t="s">
        <v>744</v>
      </c>
      <c r="C520" s="11" t="s">
        <v>760</v>
      </c>
      <c r="D520" s="11" t="s">
        <v>762</v>
      </c>
      <c r="E520" s="19" t="s">
        <v>109</v>
      </c>
      <c r="F520" s="19" t="s">
        <v>95</v>
      </c>
      <c r="G520" s="12" t="s">
        <v>107</v>
      </c>
      <c r="H520" s="20" t="s">
        <v>97</v>
      </c>
      <c r="I520" s="19" t="s">
        <v>98</v>
      </c>
      <c r="J520" s="19"/>
      <c r="K520" s="12"/>
      <c r="L520" s="21"/>
      <c r="M520" s="21" t="str">
        <f aca="false">IF($L520="","",$L520+IF($J520="",Dashboard!$M$9,INDEX(Dashboard!$M$5:$M$9,$J520)))</f>
        <v/>
      </c>
      <c r="N520" s="22" t="str">
        <f aca="true">IF(OR($I520="Attempted",$I520="Revisit"),"DUE",IF($M520="","",IF($M520&lt;=TODAY(),"DUE","")))</f>
        <v/>
      </c>
      <c r="O520" s="11"/>
    </row>
    <row r="521" customFormat="false" ht="15" hidden="false" customHeight="true" outlineLevel="0" collapsed="false">
      <c r="A521" s="12" t="n">
        <v>520</v>
      </c>
      <c r="B521" s="11" t="s">
        <v>744</v>
      </c>
      <c r="C521" s="11" t="s">
        <v>760</v>
      </c>
      <c r="D521" s="11" t="s">
        <v>763</v>
      </c>
      <c r="E521" s="19" t="s">
        <v>109</v>
      </c>
      <c r="F521" s="19" t="s">
        <v>121</v>
      </c>
      <c r="G521" s="12" t="s">
        <v>107</v>
      </c>
      <c r="H521" s="20" t="s">
        <v>97</v>
      </c>
      <c r="I521" s="19" t="s">
        <v>98</v>
      </c>
      <c r="J521" s="19"/>
      <c r="K521" s="12"/>
      <c r="L521" s="21"/>
      <c r="M521" s="21" t="str">
        <f aca="false">IF($L521="","",$L521+IF($J521="",Dashboard!$M$9,INDEX(Dashboard!$M$5:$M$9,$J521)))</f>
        <v/>
      </c>
      <c r="N521" s="22" t="str">
        <f aca="true">IF(OR($I521="Attempted",$I521="Revisit"),"DUE",IF($M521="","",IF($M521&lt;=TODAY(),"DUE","")))</f>
        <v/>
      </c>
      <c r="O521" s="11"/>
    </row>
    <row r="522" customFormat="false" ht="15" hidden="false" customHeight="true" outlineLevel="0" collapsed="false">
      <c r="A522" s="12" t="n">
        <v>521</v>
      </c>
      <c r="B522" s="11" t="s">
        <v>744</v>
      </c>
      <c r="C522" s="11" t="s">
        <v>764</v>
      </c>
      <c r="D522" s="11" t="s">
        <v>765</v>
      </c>
      <c r="E522" s="19" t="s">
        <v>109</v>
      </c>
      <c r="F522" s="19" t="s">
        <v>95</v>
      </c>
      <c r="G522" s="12" t="s">
        <v>107</v>
      </c>
      <c r="H522" s="20" t="s">
        <v>97</v>
      </c>
      <c r="I522" s="19" t="s">
        <v>98</v>
      </c>
      <c r="J522" s="19"/>
      <c r="K522" s="12"/>
      <c r="L522" s="21"/>
      <c r="M522" s="21" t="str">
        <f aca="false">IF($L522="","",$L522+IF($J522="",Dashboard!$M$9,INDEX(Dashboard!$M$5:$M$9,$J522)))</f>
        <v/>
      </c>
      <c r="N522" s="22" t="str">
        <f aca="true">IF(OR($I522="Attempted",$I522="Revisit"),"DUE",IF($M522="","",IF($M522&lt;=TODAY(),"DUE","")))</f>
        <v/>
      </c>
      <c r="O522" s="11"/>
    </row>
    <row r="523" customFormat="false" ht="15" hidden="false" customHeight="true" outlineLevel="0" collapsed="false">
      <c r="A523" s="12" t="n">
        <v>522</v>
      </c>
      <c r="B523" s="11" t="s">
        <v>744</v>
      </c>
      <c r="C523" s="11" t="s">
        <v>764</v>
      </c>
      <c r="D523" s="11" t="s">
        <v>766</v>
      </c>
      <c r="E523" s="19" t="s">
        <v>109</v>
      </c>
      <c r="F523" s="19" t="s">
        <v>95</v>
      </c>
      <c r="G523" s="12" t="s">
        <v>107</v>
      </c>
      <c r="H523" s="20" t="s">
        <v>97</v>
      </c>
      <c r="I523" s="19" t="s">
        <v>98</v>
      </c>
      <c r="J523" s="19"/>
      <c r="K523" s="12"/>
      <c r="L523" s="21"/>
      <c r="M523" s="21" t="str">
        <f aca="false">IF($L523="","",$L523+IF($J523="",Dashboard!$M$9,INDEX(Dashboard!$M$5:$M$9,$J523)))</f>
        <v/>
      </c>
      <c r="N523" s="22" t="str">
        <f aca="true">IF(OR($I523="Attempted",$I523="Revisit"),"DUE",IF($M523="","",IF($M523&lt;=TODAY(),"DUE","")))</f>
        <v/>
      </c>
      <c r="O523" s="11"/>
    </row>
    <row r="524" customFormat="false" ht="15" hidden="false" customHeight="true" outlineLevel="0" collapsed="false">
      <c r="A524" s="12" t="n">
        <v>523</v>
      </c>
      <c r="B524" s="11" t="s">
        <v>744</v>
      </c>
      <c r="C524" s="11" t="s">
        <v>510</v>
      </c>
      <c r="D524" s="11" t="s">
        <v>767</v>
      </c>
      <c r="E524" s="19" t="s">
        <v>109</v>
      </c>
      <c r="F524" s="19" t="s">
        <v>95</v>
      </c>
      <c r="G524" s="12" t="s">
        <v>96</v>
      </c>
      <c r="H524" s="20" t="s">
        <v>97</v>
      </c>
      <c r="I524" s="19" t="s">
        <v>98</v>
      </c>
      <c r="J524" s="19"/>
      <c r="K524" s="12"/>
      <c r="L524" s="21"/>
      <c r="M524" s="21" t="str">
        <f aca="false">IF($L524="","",$L524+IF($J524="",Dashboard!$M$9,INDEX(Dashboard!$M$5:$M$9,$J524)))</f>
        <v/>
      </c>
      <c r="N524" s="22" t="str">
        <f aca="true">IF(OR($I524="Attempted",$I524="Revisit"),"DUE",IF($M524="","",IF($M524&lt;=TODAY(),"DUE","")))</f>
        <v/>
      </c>
      <c r="O524" s="11"/>
    </row>
    <row r="525" customFormat="false" ht="15" hidden="false" customHeight="true" outlineLevel="0" collapsed="false">
      <c r="A525" s="12" t="n">
        <v>524</v>
      </c>
      <c r="B525" s="11" t="s">
        <v>768</v>
      </c>
      <c r="C525" s="11" t="s">
        <v>769</v>
      </c>
      <c r="D525" s="11" t="s">
        <v>770</v>
      </c>
      <c r="E525" s="19" t="s">
        <v>109</v>
      </c>
      <c r="F525" s="19" t="s">
        <v>95</v>
      </c>
      <c r="G525" s="12" t="s">
        <v>96</v>
      </c>
      <c r="H525" s="20" t="s">
        <v>97</v>
      </c>
      <c r="I525" s="19" t="s">
        <v>98</v>
      </c>
      <c r="J525" s="19"/>
      <c r="K525" s="12"/>
      <c r="L525" s="21"/>
      <c r="M525" s="21" t="str">
        <f aca="false">IF($L525="","",$L525+IF($J525="",Dashboard!$M$9,INDEX(Dashboard!$M$5:$M$9,$J525)))</f>
        <v/>
      </c>
      <c r="N525" s="22" t="str">
        <f aca="true">IF(OR($I525="Attempted",$I525="Revisit"),"DUE",IF($M525="","",IF($M525&lt;=TODAY(),"DUE","")))</f>
        <v/>
      </c>
      <c r="O525" s="11"/>
    </row>
    <row r="526" customFormat="false" ht="15" hidden="false" customHeight="true" outlineLevel="0" collapsed="false">
      <c r="A526" s="12" t="n">
        <v>525</v>
      </c>
      <c r="B526" s="11" t="s">
        <v>768</v>
      </c>
      <c r="C526" s="11" t="s">
        <v>769</v>
      </c>
      <c r="D526" s="11" t="s">
        <v>771</v>
      </c>
      <c r="E526" s="19" t="s">
        <v>109</v>
      </c>
      <c r="F526" s="19" t="s">
        <v>95</v>
      </c>
      <c r="G526" s="12" t="s">
        <v>107</v>
      </c>
      <c r="H526" s="20" t="s">
        <v>97</v>
      </c>
      <c r="I526" s="19" t="s">
        <v>98</v>
      </c>
      <c r="J526" s="19"/>
      <c r="K526" s="12"/>
      <c r="L526" s="21"/>
      <c r="M526" s="21" t="str">
        <f aca="false">IF($L526="","",$L526+IF($J526="",Dashboard!$M$9,INDEX(Dashboard!$M$5:$M$9,$J526)))</f>
        <v/>
      </c>
      <c r="N526" s="22" t="str">
        <f aca="true">IF(OR($I526="Attempted",$I526="Revisit"),"DUE",IF($M526="","",IF($M526&lt;=TODAY(),"DUE","")))</f>
        <v/>
      </c>
      <c r="O526" s="11"/>
    </row>
    <row r="527" customFormat="false" ht="15" hidden="false" customHeight="true" outlineLevel="0" collapsed="false">
      <c r="A527" s="12" t="n">
        <v>526</v>
      </c>
      <c r="B527" s="11" t="s">
        <v>768</v>
      </c>
      <c r="C527" s="11" t="s">
        <v>769</v>
      </c>
      <c r="D527" s="11" t="s">
        <v>772</v>
      </c>
      <c r="E527" s="19" t="s">
        <v>109</v>
      </c>
      <c r="F527" s="19" t="s">
        <v>121</v>
      </c>
      <c r="G527" s="12" t="s">
        <v>96</v>
      </c>
      <c r="H527" s="20" t="s">
        <v>97</v>
      </c>
      <c r="I527" s="19" t="s">
        <v>98</v>
      </c>
      <c r="J527" s="19"/>
      <c r="K527" s="12"/>
      <c r="L527" s="21"/>
      <c r="M527" s="21" t="str">
        <f aca="false">IF($L527="","",$L527+IF($J527="",Dashboard!$M$9,INDEX(Dashboard!$M$5:$M$9,$J527)))</f>
        <v/>
      </c>
      <c r="N527" s="22" t="str">
        <f aca="true">IF(OR($I527="Attempted",$I527="Revisit"),"DUE",IF($M527="","",IF($M527&lt;=TODAY(),"DUE","")))</f>
        <v/>
      </c>
      <c r="O527" s="11"/>
    </row>
    <row r="528" customFormat="false" ht="15" hidden="false" customHeight="true" outlineLevel="0" collapsed="false">
      <c r="A528" s="12" t="n">
        <v>527</v>
      </c>
      <c r="B528" s="11" t="s">
        <v>768</v>
      </c>
      <c r="C528" s="11" t="s">
        <v>773</v>
      </c>
      <c r="D528" s="11" t="s">
        <v>774</v>
      </c>
      <c r="E528" s="19" t="s">
        <v>94</v>
      </c>
      <c r="F528" s="19" t="s">
        <v>95</v>
      </c>
      <c r="G528" s="12" t="s">
        <v>96</v>
      </c>
      <c r="H528" s="20" t="s">
        <v>97</v>
      </c>
      <c r="I528" s="19" t="s">
        <v>98</v>
      </c>
      <c r="J528" s="19"/>
      <c r="K528" s="12"/>
      <c r="L528" s="21"/>
      <c r="M528" s="21" t="str">
        <f aca="false">IF($L528="","",$L528+IF($J528="",Dashboard!$M$9,INDEX(Dashboard!$M$5:$M$9,$J528)))</f>
        <v/>
      </c>
      <c r="N528" s="22" t="str">
        <f aca="true">IF(OR($I528="Attempted",$I528="Revisit"),"DUE",IF($M528="","",IF($M528&lt;=TODAY(),"DUE","")))</f>
        <v/>
      </c>
      <c r="O528" s="11"/>
    </row>
    <row r="529" customFormat="false" ht="15" hidden="false" customHeight="true" outlineLevel="0" collapsed="false">
      <c r="A529" s="12" t="n">
        <v>528</v>
      </c>
      <c r="B529" s="11" t="s">
        <v>768</v>
      </c>
      <c r="C529" s="11" t="s">
        <v>773</v>
      </c>
      <c r="D529" s="11" t="s">
        <v>775</v>
      </c>
      <c r="E529" s="19" t="s">
        <v>94</v>
      </c>
      <c r="F529" s="19" t="s">
        <v>95</v>
      </c>
      <c r="G529" s="12" t="s">
        <v>96</v>
      </c>
      <c r="H529" s="20" t="s">
        <v>97</v>
      </c>
      <c r="I529" s="19" t="s">
        <v>98</v>
      </c>
      <c r="J529" s="19"/>
      <c r="K529" s="12"/>
      <c r="L529" s="21"/>
      <c r="M529" s="21" t="str">
        <f aca="false">IF($L529="","",$L529+IF($J529="",Dashboard!$M$9,INDEX(Dashboard!$M$5:$M$9,$J529)))</f>
        <v/>
      </c>
      <c r="N529" s="22" t="str">
        <f aca="true">IF(OR($I529="Attempted",$I529="Revisit"),"DUE",IF($M529="","",IF($M529&lt;=TODAY(),"DUE","")))</f>
        <v/>
      </c>
      <c r="O529" s="11"/>
    </row>
    <row r="530" customFormat="false" ht="15" hidden="false" customHeight="true" outlineLevel="0" collapsed="false">
      <c r="A530" s="12" t="n">
        <v>529</v>
      </c>
      <c r="B530" s="11" t="s">
        <v>768</v>
      </c>
      <c r="C530" s="11" t="s">
        <v>776</v>
      </c>
      <c r="D530" s="11" t="s">
        <v>777</v>
      </c>
      <c r="E530" s="19" t="s">
        <v>109</v>
      </c>
      <c r="F530" s="19" t="s">
        <v>95</v>
      </c>
      <c r="G530" s="12" t="s">
        <v>96</v>
      </c>
      <c r="H530" s="20" t="s">
        <v>97</v>
      </c>
      <c r="I530" s="19" t="s">
        <v>98</v>
      </c>
      <c r="J530" s="19"/>
      <c r="K530" s="12"/>
      <c r="L530" s="21"/>
      <c r="M530" s="21" t="str">
        <f aca="false">IF($L530="","",$L530+IF($J530="",Dashboard!$M$9,INDEX(Dashboard!$M$5:$M$9,$J530)))</f>
        <v/>
      </c>
      <c r="N530" s="22" t="str">
        <f aca="true">IF(OR($I530="Attempted",$I530="Revisit"),"DUE",IF($M530="","",IF($M530&lt;=TODAY(),"DUE","")))</f>
        <v/>
      </c>
      <c r="O530" s="11"/>
    </row>
    <row r="531" customFormat="false" ht="15" hidden="false" customHeight="true" outlineLevel="0" collapsed="false">
      <c r="A531" s="12" t="n">
        <v>530</v>
      </c>
      <c r="B531" s="11" t="s">
        <v>768</v>
      </c>
      <c r="C531" s="11" t="s">
        <v>776</v>
      </c>
      <c r="D531" s="11" t="s">
        <v>778</v>
      </c>
      <c r="E531" s="19" t="s">
        <v>135</v>
      </c>
      <c r="F531" s="19" t="s">
        <v>95</v>
      </c>
      <c r="G531" s="12" t="s">
        <v>96</v>
      </c>
      <c r="H531" s="20" t="s">
        <v>97</v>
      </c>
      <c r="I531" s="19" t="s">
        <v>98</v>
      </c>
      <c r="J531" s="19"/>
      <c r="K531" s="12"/>
      <c r="L531" s="21"/>
      <c r="M531" s="21" t="str">
        <f aca="false">IF($L531="","",$L531+IF($J531="",Dashboard!$M$9,INDEX(Dashboard!$M$5:$M$9,$J531)))</f>
        <v/>
      </c>
      <c r="N531" s="22" t="str">
        <f aca="true">IF(OR($I531="Attempted",$I531="Revisit"),"DUE",IF($M531="","",IF($M531&lt;=TODAY(),"DUE","")))</f>
        <v/>
      </c>
      <c r="O531" s="11"/>
    </row>
    <row r="532" customFormat="false" ht="15" hidden="false" customHeight="true" outlineLevel="0" collapsed="false">
      <c r="A532" s="12" t="n">
        <v>531</v>
      </c>
      <c r="B532" s="11" t="s">
        <v>768</v>
      </c>
      <c r="C532" s="11" t="s">
        <v>779</v>
      </c>
      <c r="D532" s="11" t="s">
        <v>780</v>
      </c>
      <c r="E532" s="19" t="s">
        <v>94</v>
      </c>
      <c r="F532" s="19" t="s">
        <v>95</v>
      </c>
      <c r="G532" s="12" t="s">
        <v>107</v>
      </c>
      <c r="H532" s="20" t="s">
        <v>97</v>
      </c>
      <c r="I532" s="19" t="s">
        <v>98</v>
      </c>
      <c r="J532" s="19"/>
      <c r="K532" s="12"/>
      <c r="L532" s="21"/>
      <c r="M532" s="21" t="str">
        <f aca="false">IF($L532="","",$L532+IF($J532="",Dashboard!$M$9,INDEX(Dashboard!$M$5:$M$9,$J532)))</f>
        <v/>
      </c>
      <c r="N532" s="22" t="str">
        <f aca="true">IF(OR($I532="Attempted",$I532="Revisit"),"DUE",IF($M532="","",IF($M532&lt;=TODAY(),"DUE","")))</f>
        <v/>
      </c>
      <c r="O532" s="11"/>
    </row>
    <row r="533" customFormat="false" ht="15" hidden="false" customHeight="true" outlineLevel="0" collapsed="false">
      <c r="A533" s="12" t="n">
        <v>532</v>
      </c>
      <c r="B533" s="11" t="s">
        <v>768</v>
      </c>
      <c r="C533" s="11" t="s">
        <v>779</v>
      </c>
      <c r="D533" s="11" t="s">
        <v>781</v>
      </c>
      <c r="E533" s="19" t="s">
        <v>109</v>
      </c>
      <c r="F533" s="19" t="s">
        <v>121</v>
      </c>
      <c r="G533" s="12" t="s">
        <v>107</v>
      </c>
      <c r="H533" s="20" t="s">
        <v>97</v>
      </c>
      <c r="I533" s="19" t="s">
        <v>98</v>
      </c>
      <c r="J533" s="19"/>
      <c r="K533" s="12"/>
      <c r="L533" s="21"/>
      <c r="M533" s="21" t="str">
        <f aca="false">IF($L533="","",$L533+IF($J533="",Dashboard!$M$9,INDEX(Dashboard!$M$5:$M$9,$J533)))</f>
        <v/>
      </c>
      <c r="N533" s="22" t="str">
        <f aca="true">IF(OR($I533="Attempted",$I533="Revisit"),"DUE",IF($M533="","",IF($M533&lt;=TODAY(),"DUE","")))</f>
        <v/>
      </c>
      <c r="O533" s="11"/>
    </row>
    <row r="534" customFormat="false" ht="15" hidden="false" customHeight="true" outlineLevel="0" collapsed="false">
      <c r="A534" s="12" t="n">
        <v>533</v>
      </c>
      <c r="B534" s="11" t="s">
        <v>768</v>
      </c>
      <c r="C534" s="11" t="s">
        <v>779</v>
      </c>
      <c r="D534" s="11" t="s">
        <v>782</v>
      </c>
      <c r="E534" s="19" t="s">
        <v>94</v>
      </c>
      <c r="F534" s="19" t="s">
        <v>95</v>
      </c>
      <c r="G534" s="12" t="s">
        <v>107</v>
      </c>
      <c r="H534" s="20" t="s">
        <v>97</v>
      </c>
      <c r="I534" s="19" t="s">
        <v>98</v>
      </c>
      <c r="J534" s="19"/>
      <c r="K534" s="12"/>
      <c r="L534" s="21"/>
      <c r="M534" s="21" t="str">
        <f aca="false">IF($L534="","",$L534+IF($J534="",Dashboard!$M$9,INDEX(Dashboard!$M$5:$M$9,$J534)))</f>
        <v/>
      </c>
      <c r="N534" s="22" t="str">
        <f aca="true">IF(OR($I534="Attempted",$I534="Revisit"),"DUE",IF($M534="","",IF($M534&lt;=TODAY(),"DUE","")))</f>
        <v/>
      </c>
      <c r="O534" s="11"/>
    </row>
    <row r="535" customFormat="false" ht="15" hidden="false" customHeight="true" outlineLevel="0" collapsed="false">
      <c r="A535" s="12" t="n">
        <v>534</v>
      </c>
      <c r="B535" s="11" t="s">
        <v>768</v>
      </c>
      <c r="C535" s="11" t="s">
        <v>779</v>
      </c>
      <c r="D535" s="11" t="s">
        <v>783</v>
      </c>
      <c r="E535" s="19" t="s">
        <v>135</v>
      </c>
      <c r="F535" s="19" t="s">
        <v>136</v>
      </c>
      <c r="G535" s="12" t="s">
        <v>107</v>
      </c>
      <c r="H535" s="20" t="s">
        <v>97</v>
      </c>
      <c r="I535" s="19" t="s">
        <v>98</v>
      </c>
      <c r="J535" s="19"/>
      <c r="K535" s="12"/>
      <c r="L535" s="21"/>
      <c r="M535" s="21" t="str">
        <f aca="false">IF($L535="","",$L535+IF($J535="",Dashboard!$M$9,INDEX(Dashboard!$M$5:$M$9,$J535)))</f>
        <v/>
      </c>
      <c r="N535" s="22" t="str">
        <f aca="true">IF(OR($I535="Attempted",$I535="Revisit"),"DUE",IF($M535="","",IF($M535&lt;=TODAY(),"DUE","")))</f>
        <v/>
      </c>
      <c r="O535" s="11"/>
    </row>
    <row r="536" customFormat="false" ht="15" hidden="false" customHeight="true" outlineLevel="0" collapsed="false">
      <c r="A536" s="12" t="n">
        <v>535</v>
      </c>
      <c r="B536" s="11" t="s">
        <v>768</v>
      </c>
      <c r="C536" s="11" t="s">
        <v>784</v>
      </c>
      <c r="D536" s="11" t="s">
        <v>785</v>
      </c>
      <c r="E536" s="19" t="s">
        <v>109</v>
      </c>
      <c r="F536" s="19" t="s">
        <v>95</v>
      </c>
      <c r="G536" s="12" t="s">
        <v>107</v>
      </c>
      <c r="H536" s="20" t="s">
        <v>97</v>
      </c>
      <c r="I536" s="19" t="s">
        <v>98</v>
      </c>
      <c r="J536" s="19"/>
      <c r="K536" s="12"/>
      <c r="L536" s="21"/>
      <c r="M536" s="21" t="str">
        <f aca="false">IF($L536="","",$L536+IF($J536="",Dashboard!$M$9,INDEX(Dashboard!$M$5:$M$9,$J536)))</f>
        <v/>
      </c>
      <c r="N536" s="22" t="str">
        <f aca="true">IF(OR($I536="Attempted",$I536="Revisit"),"DUE",IF($M536="","",IF($M536&lt;=TODAY(),"DUE","")))</f>
        <v/>
      </c>
      <c r="O536" s="11"/>
    </row>
    <row r="537" customFormat="false" ht="15" hidden="false" customHeight="true" outlineLevel="0" collapsed="false">
      <c r="A537" s="12" t="n">
        <v>536</v>
      </c>
      <c r="B537" s="11" t="s">
        <v>768</v>
      </c>
      <c r="C537" s="11" t="s">
        <v>786</v>
      </c>
      <c r="D537" s="11" t="s">
        <v>787</v>
      </c>
      <c r="E537" s="19" t="s">
        <v>94</v>
      </c>
      <c r="F537" s="19" t="s">
        <v>95</v>
      </c>
      <c r="G537" s="12" t="s">
        <v>107</v>
      </c>
      <c r="H537" s="20" t="s">
        <v>97</v>
      </c>
      <c r="I537" s="19" t="s">
        <v>98</v>
      </c>
      <c r="J537" s="19"/>
      <c r="K537" s="12"/>
      <c r="L537" s="21"/>
      <c r="M537" s="21" t="str">
        <f aca="false">IF($L537="","",$L537+IF($J537="",Dashboard!$M$9,INDEX(Dashboard!$M$5:$M$9,$J537)))</f>
        <v/>
      </c>
      <c r="N537" s="22" t="str">
        <f aca="true">IF(OR($I537="Attempted",$I537="Revisit"),"DUE",IF($M537="","",IF($M537&lt;=TODAY(),"DUE","")))</f>
        <v/>
      </c>
      <c r="O537" s="11"/>
    </row>
    <row r="538" customFormat="false" ht="15" hidden="false" customHeight="true" outlineLevel="0" collapsed="false">
      <c r="A538" s="12" t="n">
        <v>537</v>
      </c>
      <c r="B538" s="11" t="s">
        <v>768</v>
      </c>
      <c r="C538" s="11" t="s">
        <v>786</v>
      </c>
      <c r="D538" s="11" t="s">
        <v>788</v>
      </c>
      <c r="E538" s="19" t="s">
        <v>94</v>
      </c>
      <c r="F538" s="19" t="s">
        <v>95</v>
      </c>
      <c r="G538" s="12" t="s">
        <v>107</v>
      </c>
      <c r="H538" s="20" t="s">
        <v>97</v>
      </c>
      <c r="I538" s="19" t="s">
        <v>98</v>
      </c>
      <c r="J538" s="19"/>
      <c r="K538" s="12"/>
      <c r="L538" s="21"/>
      <c r="M538" s="21" t="str">
        <f aca="false">IF($L538="","",$L538+IF($J538="",Dashboard!$M$9,INDEX(Dashboard!$M$5:$M$9,$J538)))</f>
        <v/>
      </c>
      <c r="N538" s="22" t="str">
        <f aca="true">IF(OR($I538="Attempted",$I538="Revisit"),"DUE",IF($M538="","",IF($M538&lt;=TODAY(),"DUE","")))</f>
        <v/>
      </c>
      <c r="O538" s="11"/>
    </row>
    <row r="539" customFormat="false" ht="15" hidden="false" customHeight="true" outlineLevel="0" collapsed="false">
      <c r="A539" s="12" t="n">
        <v>538</v>
      </c>
      <c r="B539" s="11" t="s">
        <v>768</v>
      </c>
      <c r="C539" s="11" t="s">
        <v>789</v>
      </c>
      <c r="D539" s="11" t="s">
        <v>790</v>
      </c>
      <c r="E539" s="19" t="s">
        <v>94</v>
      </c>
      <c r="F539" s="19" t="s">
        <v>95</v>
      </c>
      <c r="G539" s="12" t="s">
        <v>107</v>
      </c>
      <c r="H539" s="20" t="s">
        <v>97</v>
      </c>
      <c r="I539" s="19" t="s">
        <v>98</v>
      </c>
      <c r="J539" s="19"/>
      <c r="K539" s="12"/>
      <c r="L539" s="21"/>
      <c r="M539" s="21" t="str">
        <f aca="false">IF($L539="","",$L539+IF($J539="",Dashboard!$M$9,INDEX(Dashboard!$M$5:$M$9,$J539)))</f>
        <v/>
      </c>
      <c r="N539" s="22" t="str">
        <f aca="true">IF(OR($I539="Attempted",$I539="Revisit"),"DUE",IF($M539="","",IF($M539&lt;=TODAY(),"DUE","")))</f>
        <v/>
      </c>
      <c r="O539" s="11"/>
    </row>
    <row r="540" customFormat="false" ht="15" hidden="false" customHeight="true" outlineLevel="0" collapsed="false">
      <c r="A540" s="12" t="n">
        <v>539</v>
      </c>
      <c r="B540" s="11" t="s">
        <v>768</v>
      </c>
      <c r="C540" s="11" t="s">
        <v>789</v>
      </c>
      <c r="D540" s="11" t="s">
        <v>791</v>
      </c>
      <c r="E540" s="19" t="s">
        <v>109</v>
      </c>
      <c r="F540" s="19" t="s">
        <v>95</v>
      </c>
      <c r="G540" s="12" t="s">
        <v>96</v>
      </c>
      <c r="H540" s="20" t="s">
        <v>97</v>
      </c>
      <c r="I540" s="19" t="s">
        <v>98</v>
      </c>
      <c r="J540" s="19"/>
      <c r="K540" s="12"/>
      <c r="L540" s="21"/>
      <c r="M540" s="21" t="str">
        <f aca="false">IF($L540="","",$L540+IF($J540="",Dashboard!$M$9,INDEX(Dashboard!$M$5:$M$9,$J540)))</f>
        <v/>
      </c>
      <c r="N540" s="22" t="str">
        <f aca="true">IF(OR($I540="Attempted",$I540="Revisit"),"DUE",IF($M540="","",IF($M540&lt;=TODAY(),"DUE","")))</f>
        <v/>
      </c>
      <c r="O540" s="11"/>
    </row>
    <row r="541" customFormat="false" ht="15" hidden="false" customHeight="true" outlineLevel="0" collapsed="false">
      <c r="A541" s="12" t="n">
        <v>540</v>
      </c>
      <c r="B541" s="11" t="s">
        <v>768</v>
      </c>
      <c r="C541" s="11" t="s">
        <v>792</v>
      </c>
      <c r="D541" s="11" t="s">
        <v>793</v>
      </c>
      <c r="E541" s="19" t="s">
        <v>109</v>
      </c>
      <c r="F541" s="19" t="s">
        <v>95</v>
      </c>
      <c r="G541" s="12" t="s">
        <v>96</v>
      </c>
      <c r="H541" s="20" t="s">
        <v>97</v>
      </c>
      <c r="I541" s="19" t="s">
        <v>98</v>
      </c>
      <c r="J541" s="19"/>
      <c r="K541" s="12"/>
      <c r="L541" s="21"/>
      <c r="M541" s="21" t="str">
        <f aca="false">IF($L541="","",$L541+IF($J541="",Dashboard!$M$9,INDEX(Dashboard!$M$5:$M$9,$J541)))</f>
        <v/>
      </c>
      <c r="N541" s="22" t="str">
        <f aca="true">IF(OR($I541="Attempted",$I541="Revisit"),"DUE",IF($M541="","",IF($M541&lt;=TODAY(),"DUE","")))</f>
        <v/>
      </c>
      <c r="O541" s="11"/>
    </row>
    <row r="542" customFormat="false" ht="15" hidden="false" customHeight="true" outlineLevel="0" collapsed="false">
      <c r="A542" s="12" t="n">
        <v>541</v>
      </c>
      <c r="B542" s="11" t="s">
        <v>794</v>
      </c>
      <c r="C542" s="11" t="s">
        <v>370</v>
      </c>
      <c r="D542" s="11" t="s">
        <v>795</v>
      </c>
      <c r="E542" s="19" t="s">
        <v>109</v>
      </c>
      <c r="F542" s="19" t="s">
        <v>95</v>
      </c>
      <c r="G542" s="12" t="s">
        <v>107</v>
      </c>
      <c r="H542" s="20" t="s">
        <v>97</v>
      </c>
      <c r="I542" s="19" t="s">
        <v>98</v>
      </c>
      <c r="J542" s="19"/>
      <c r="K542" s="12"/>
      <c r="L542" s="21"/>
      <c r="M542" s="21" t="str">
        <f aca="false">IF($L542="","",$L542+IF($J542="",Dashboard!$M$9,INDEX(Dashboard!$M$5:$M$9,$J542)))</f>
        <v/>
      </c>
      <c r="N542" s="22" t="str">
        <f aca="true">IF(OR($I542="Attempted",$I542="Revisit"),"DUE",IF($M542="","",IF($M542&lt;=TODAY(),"DUE","")))</f>
        <v/>
      </c>
      <c r="O542" s="11"/>
    </row>
    <row r="543" customFormat="false" ht="15" hidden="false" customHeight="true" outlineLevel="0" collapsed="false">
      <c r="A543" s="12" t="n">
        <v>542</v>
      </c>
      <c r="B543" s="11" t="s">
        <v>794</v>
      </c>
      <c r="C543" s="11" t="s">
        <v>370</v>
      </c>
      <c r="D543" s="11" t="s">
        <v>796</v>
      </c>
      <c r="E543" s="19" t="s">
        <v>109</v>
      </c>
      <c r="F543" s="19" t="s">
        <v>95</v>
      </c>
      <c r="G543" s="12" t="s">
        <v>107</v>
      </c>
      <c r="H543" s="20" t="s">
        <v>97</v>
      </c>
      <c r="I543" s="19" t="s">
        <v>98</v>
      </c>
      <c r="J543" s="19"/>
      <c r="K543" s="12"/>
      <c r="L543" s="21"/>
      <c r="M543" s="21" t="str">
        <f aca="false">IF($L543="","",$L543+IF($J543="",Dashboard!$M$9,INDEX(Dashboard!$M$5:$M$9,$J543)))</f>
        <v/>
      </c>
      <c r="N543" s="22" t="str">
        <f aca="true">IF(OR($I543="Attempted",$I543="Revisit"),"DUE",IF($M543="","",IF($M543&lt;=TODAY(),"DUE","")))</f>
        <v/>
      </c>
      <c r="O543" s="11"/>
    </row>
    <row r="544" customFormat="false" ht="15" hidden="false" customHeight="true" outlineLevel="0" collapsed="false">
      <c r="A544" s="12" t="n">
        <v>543</v>
      </c>
      <c r="B544" s="11" t="s">
        <v>794</v>
      </c>
      <c r="C544" s="11" t="s">
        <v>370</v>
      </c>
      <c r="D544" s="11" t="s">
        <v>797</v>
      </c>
      <c r="E544" s="19" t="s">
        <v>109</v>
      </c>
      <c r="F544" s="19" t="s">
        <v>121</v>
      </c>
      <c r="G544" s="12" t="s">
        <v>107</v>
      </c>
      <c r="H544" s="20" t="s">
        <v>97</v>
      </c>
      <c r="I544" s="19" t="s">
        <v>98</v>
      </c>
      <c r="J544" s="19"/>
      <c r="K544" s="12"/>
      <c r="L544" s="21"/>
      <c r="M544" s="21" t="str">
        <f aca="false">IF($L544="","",$L544+IF($J544="",Dashboard!$M$9,INDEX(Dashboard!$M$5:$M$9,$J544)))</f>
        <v/>
      </c>
      <c r="N544" s="22" t="str">
        <f aca="true">IF(OR($I544="Attempted",$I544="Revisit"),"DUE",IF($M544="","",IF($M544&lt;=TODAY(),"DUE","")))</f>
        <v/>
      </c>
      <c r="O544" s="11"/>
    </row>
    <row r="545" customFormat="false" ht="15" hidden="false" customHeight="true" outlineLevel="0" collapsed="false">
      <c r="A545" s="12" t="n">
        <v>544</v>
      </c>
      <c r="B545" s="11" t="s">
        <v>794</v>
      </c>
      <c r="C545" s="11" t="s">
        <v>370</v>
      </c>
      <c r="D545" s="11" t="s">
        <v>798</v>
      </c>
      <c r="E545" s="19" t="s">
        <v>109</v>
      </c>
      <c r="F545" s="19" t="s">
        <v>121</v>
      </c>
      <c r="G545" s="12" t="s">
        <v>107</v>
      </c>
      <c r="H545" s="20" t="s">
        <v>97</v>
      </c>
      <c r="I545" s="19" t="s">
        <v>98</v>
      </c>
      <c r="J545" s="19"/>
      <c r="K545" s="12"/>
      <c r="L545" s="21"/>
      <c r="M545" s="21" t="str">
        <f aca="false">IF($L545="","",$L545+IF($J545="",Dashboard!$M$9,INDEX(Dashboard!$M$5:$M$9,$J545)))</f>
        <v/>
      </c>
      <c r="N545" s="22" t="str">
        <f aca="true">IF(OR($I545="Attempted",$I545="Revisit"),"DUE",IF($M545="","",IF($M545&lt;=TODAY(),"DUE","")))</f>
        <v/>
      </c>
      <c r="O545" s="11"/>
    </row>
    <row r="546" customFormat="false" ht="15" hidden="false" customHeight="true" outlineLevel="0" collapsed="false">
      <c r="A546" s="12" t="n">
        <v>545</v>
      </c>
      <c r="B546" s="11" t="s">
        <v>794</v>
      </c>
      <c r="C546" s="11" t="s">
        <v>799</v>
      </c>
      <c r="D546" s="11" t="s">
        <v>800</v>
      </c>
      <c r="E546" s="19" t="s">
        <v>94</v>
      </c>
      <c r="F546" s="19" t="s">
        <v>95</v>
      </c>
      <c r="G546" s="12" t="s">
        <v>96</v>
      </c>
      <c r="H546" s="20" t="s">
        <v>97</v>
      </c>
      <c r="I546" s="19" t="s">
        <v>98</v>
      </c>
      <c r="J546" s="19"/>
      <c r="K546" s="12"/>
      <c r="L546" s="21"/>
      <c r="M546" s="21" t="str">
        <f aca="false">IF($L546="","",$L546+IF($J546="",Dashboard!$M$9,INDEX(Dashboard!$M$5:$M$9,$J546)))</f>
        <v/>
      </c>
      <c r="N546" s="22" t="str">
        <f aca="true">IF(OR($I546="Attempted",$I546="Revisit"),"DUE",IF($M546="","",IF($M546&lt;=TODAY(),"DUE","")))</f>
        <v/>
      </c>
      <c r="O546" s="11"/>
    </row>
    <row r="547" customFormat="false" ht="15" hidden="false" customHeight="true" outlineLevel="0" collapsed="false">
      <c r="A547" s="12" t="n">
        <v>546</v>
      </c>
      <c r="B547" s="11" t="s">
        <v>794</v>
      </c>
      <c r="C547" s="11" t="s">
        <v>799</v>
      </c>
      <c r="D547" s="11" t="s">
        <v>801</v>
      </c>
      <c r="E547" s="19" t="s">
        <v>109</v>
      </c>
      <c r="F547" s="19" t="s">
        <v>95</v>
      </c>
      <c r="G547" s="12" t="s">
        <v>96</v>
      </c>
      <c r="H547" s="20" t="s">
        <v>97</v>
      </c>
      <c r="I547" s="19" t="s">
        <v>98</v>
      </c>
      <c r="J547" s="19"/>
      <c r="K547" s="12"/>
      <c r="L547" s="21"/>
      <c r="M547" s="21" t="str">
        <f aca="false">IF($L547="","",$L547+IF($J547="",Dashboard!$M$9,INDEX(Dashboard!$M$5:$M$9,$J547)))</f>
        <v/>
      </c>
      <c r="N547" s="22" t="str">
        <f aca="true">IF(OR($I547="Attempted",$I547="Revisit"),"DUE",IF($M547="","",IF($M547&lt;=TODAY(),"DUE","")))</f>
        <v/>
      </c>
      <c r="O547" s="11"/>
    </row>
    <row r="548" customFormat="false" ht="15" hidden="false" customHeight="true" outlineLevel="0" collapsed="false">
      <c r="A548" s="12" t="n">
        <v>547</v>
      </c>
      <c r="B548" s="11" t="s">
        <v>794</v>
      </c>
      <c r="C548" s="11" t="s">
        <v>799</v>
      </c>
      <c r="D548" s="11" t="s">
        <v>802</v>
      </c>
      <c r="E548" s="19" t="s">
        <v>135</v>
      </c>
      <c r="F548" s="19" t="s">
        <v>136</v>
      </c>
      <c r="G548" s="12" t="s">
        <v>96</v>
      </c>
      <c r="H548" s="20" t="s">
        <v>97</v>
      </c>
      <c r="I548" s="19" t="s">
        <v>98</v>
      </c>
      <c r="J548" s="19"/>
      <c r="K548" s="12"/>
      <c r="L548" s="21"/>
      <c r="M548" s="21" t="str">
        <f aca="false">IF($L548="","",$L548+IF($J548="",Dashboard!$M$9,INDEX(Dashboard!$M$5:$M$9,$J548)))</f>
        <v/>
      </c>
      <c r="N548" s="22" t="str">
        <f aca="true">IF(OR($I548="Attempted",$I548="Revisit"),"DUE",IF($M548="","",IF($M548&lt;=TODAY(),"DUE","")))</f>
        <v/>
      </c>
      <c r="O548" s="11"/>
    </row>
    <row r="549" customFormat="false" ht="15" hidden="false" customHeight="true" outlineLevel="0" collapsed="false">
      <c r="A549" s="12" t="n">
        <v>548</v>
      </c>
      <c r="B549" s="11" t="s">
        <v>794</v>
      </c>
      <c r="C549" s="11" t="s">
        <v>799</v>
      </c>
      <c r="D549" s="11" t="s">
        <v>803</v>
      </c>
      <c r="E549" s="19" t="s">
        <v>135</v>
      </c>
      <c r="F549" s="19" t="s">
        <v>136</v>
      </c>
      <c r="G549" s="12" t="s">
        <v>96</v>
      </c>
      <c r="H549" s="20" t="s">
        <v>97</v>
      </c>
      <c r="I549" s="19" t="s">
        <v>98</v>
      </c>
      <c r="J549" s="19"/>
      <c r="K549" s="12"/>
      <c r="L549" s="21"/>
      <c r="M549" s="21" t="str">
        <f aca="false">IF($L549="","",$L549+IF($J549="",Dashboard!$M$9,INDEX(Dashboard!$M$5:$M$9,$J549)))</f>
        <v/>
      </c>
      <c r="N549" s="22" t="str">
        <f aca="true">IF(OR($I549="Attempted",$I549="Revisit"),"DUE",IF($M549="","",IF($M549&lt;=TODAY(),"DUE","")))</f>
        <v/>
      </c>
      <c r="O549" s="11"/>
    </row>
    <row r="550" customFormat="false" ht="15" hidden="false" customHeight="true" outlineLevel="0" collapsed="false">
      <c r="A550" s="12" t="n">
        <v>549</v>
      </c>
      <c r="B550" s="11" t="s">
        <v>794</v>
      </c>
      <c r="C550" s="11" t="s">
        <v>804</v>
      </c>
      <c r="D550" s="11" t="s">
        <v>805</v>
      </c>
      <c r="E550" s="19" t="s">
        <v>109</v>
      </c>
      <c r="F550" s="19" t="s">
        <v>95</v>
      </c>
      <c r="G550" s="12" t="s">
        <v>107</v>
      </c>
      <c r="H550" s="20" t="s">
        <v>97</v>
      </c>
      <c r="I550" s="19" t="s">
        <v>98</v>
      </c>
      <c r="J550" s="19"/>
      <c r="K550" s="12"/>
      <c r="L550" s="21"/>
      <c r="M550" s="21" t="str">
        <f aca="false">IF($L550="","",$L550+IF($J550="",Dashboard!$M$9,INDEX(Dashboard!$M$5:$M$9,$J550)))</f>
        <v/>
      </c>
      <c r="N550" s="22" t="str">
        <f aca="true">IF(OR($I550="Attempted",$I550="Revisit"),"DUE",IF($M550="","",IF($M550&lt;=TODAY(),"DUE","")))</f>
        <v/>
      </c>
      <c r="O550" s="11"/>
    </row>
    <row r="551" customFormat="false" ht="15" hidden="false" customHeight="true" outlineLevel="0" collapsed="false">
      <c r="A551" s="12" t="n">
        <v>550</v>
      </c>
      <c r="B551" s="11" t="s">
        <v>794</v>
      </c>
      <c r="C551" s="11" t="s">
        <v>804</v>
      </c>
      <c r="D551" s="11" t="s">
        <v>806</v>
      </c>
      <c r="E551" s="19" t="s">
        <v>109</v>
      </c>
      <c r="F551" s="19" t="s">
        <v>95</v>
      </c>
      <c r="G551" s="12" t="s">
        <v>107</v>
      </c>
      <c r="H551" s="20" t="s">
        <v>97</v>
      </c>
      <c r="I551" s="19" t="s">
        <v>98</v>
      </c>
      <c r="J551" s="19"/>
      <c r="K551" s="12"/>
      <c r="L551" s="21"/>
      <c r="M551" s="21" t="str">
        <f aca="false">IF($L551="","",$L551+IF($J551="",Dashboard!$M$9,INDEX(Dashboard!$M$5:$M$9,$J551)))</f>
        <v/>
      </c>
      <c r="N551" s="22" t="str">
        <f aca="true">IF(OR($I551="Attempted",$I551="Revisit"),"DUE",IF($M551="","",IF($M551&lt;=TODAY(),"DUE","")))</f>
        <v/>
      </c>
      <c r="O551" s="11"/>
    </row>
    <row r="552" customFormat="false" ht="15" hidden="false" customHeight="true" outlineLevel="0" collapsed="false">
      <c r="A552" s="12" t="n">
        <v>551</v>
      </c>
      <c r="B552" s="11" t="s">
        <v>794</v>
      </c>
      <c r="C552" s="11" t="s">
        <v>807</v>
      </c>
      <c r="D552" s="11" t="s">
        <v>808</v>
      </c>
      <c r="E552" s="19" t="s">
        <v>135</v>
      </c>
      <c r="F552" s="19" t="s">
        <v>95</v>
      </c>
      <c r="G552" s="12" t="s">
        <v>107</v>
      </c>
      <c r="H552" s="20" t="s">
        <v>97</v>
      </c>
      <c r="I552" s="19" t="s">
        <v>98</v>
      </c>
      <c r="J552" s="19"/>
      <c r="K552" s="12"/>
      <c r="L552" s="21"/>
      <c r="M552" s="21" t="str">
        <f aca="false">IF($L552="","",$L552+IF($J552="",Dashboard!$M$9,INDEX(Dashboard!$M$5:$M$9,$J552)))</f>
        <v/>
      </c>
      <c r="N552" s="22" t="str">
        <f aca="true">IF(OR($I552="Attempted",$I552="Revisit"),"DUE",IF($M552="","",IF($M552&lt;=TODAY(),"DUE","")))</f>
        <v/>
      </c>
      <c r="O552" s="11"/>
    </row>
    <row r="553" customFormat="false" ht="15" hidden="false" customHeight="true" outlineLevel="0" collapsed="false">
      <c r="A553" s="12" t="n">
        <v>552</v>
      </c>
      <c r="B553" s="11" t="s">
        <v>809</v>
      </c>
      <c r="C553" s="11" t="s">
        <v>810</v>
      </c>
      <c r="D553" s="11" t="s">
        <v>811</v>
      </c>
      <c r="E553" s="19" t="s">
        <v>109</v>
      </c>
      <c r="F553" s="19" t="s">
        <v>95</v>
      </c>
      <c r="G553" s="12" t="s">
        <v>107</v>
      </c>
      <c r="H553" s="20" t="s">
        <v>97</v>
      </c>
      <c r="I553" s="19" t="s">
        <v>98</v>
      </c>
      <c r="J553" s="19"/>
      <c r="K553" s="12"/>
      <c r="L553" s="21"/>
      <c r="M553" s="21" t="str">
        <f aca="false">IF($L553="","",$L553+IF($J553="",Dashboard!$M$9,INDEX(Dashboard!$M$5:$M$9,$J553)))</f>
        <v/>
      </c>
      <c r="N553" s="22" t="str">
        <f aca="true">IF(OR($I553="Attempted",$I553="Revisit"),"DUE",IF($M553="","",IF($M553&lt;=TODAY(),"DUE","")))</f>
        <v/>
      </c>
      <c r="O553" s="11"/>
    </row>
    <row r="554" customFormat="false" ht="15" hidden="false" customHeight="true" outlineLevel="0" collapsed="false">
      <c r="A554" s="12" t="n">
        <v>553</v>
      </c>
      <c r="B554" s="11" t="s">
        <v>809</v>
      </c>
      <c r="C554" s="11" t="s">
        <v>810</v>
      </c>
      <c r="D554" s="11" t="s">
        <v>812</v>
      </c>
      <c r="E554" s="19" t="s">
        <v>135</v>
      </c>
      <c r="F554" s="19" t="s">
        <v>95</v>
      </c>
      <c r="G554" s="12" t="s">
        <v>107</v>
      </c>
      <c r="H554" s="20" t="s">
        <v>97</v>
      </c>
      <c r="I554" s="19" t="s">
        <v>98</v>
      </c>
      <c r="J554" s="19"/>
      <c r="K554" s="12"/>
      <c r="L554" s="21"/>
      <c r="M554" s="21" t="str">
        <f aca="false">IF($L554="","",$L554+IF($J554="",Dashboard!$M$9,INDEX(Dashboard!$M$5:$M$9,$J554)))</f>
        <v/>
      </c>
      <c r="N554" s="22" t="str">
        <f aca="true">IF(OR($I554="Attempted",$I554="Revisit"),"DUE",IF($M554="","",IF($M554&lt;=TODAY(),"DUE","")))</f>
        <v/>
      </c>
      <c r="O554" s="11"/>
    </row>
    <row r="555" customFormat="false" ht="15" hidden="false" customHeight="true" outlineLevel="0" collapsed="false">
      <c r="A555" s="12" t="n">
        <v>554</v>
      </c>
      <c r="B555" s="11" t="s">
        <v>809</v>
      </c>
      <c r="C555" s="11" t="s">
        <v>813</v>
      </c>
      <c r="D555" s="11" t="s">
        <v>814</v>
      </c>
      <c r="E555" s="19" t="s">
        <v>94</v>
      </c>
      <c r="F555" s="19" t="s">
        <v>95</v>
      </c>
      <c r="G555" s="12" t="s">
        <v>107</v>
      </c>
      <c r="H555" s="20" t="s">
        <v>97</v>
      </c>
      <c r="I555" s="19" t="s">
        <v>98</v>
      </c>
      <c r="J555" s="19"/>
      <c r="K555" s="12"/>
      <c r="L555" s="21"/>
      <c r="M555" s="21" t="str">
        <f aca="false">IF($L555="","",$L555+IF($J555="",Dashboard!$M$9,INDEX(Dashboard!$M$5:$M$9,$J555)))</f>
        <v/>
      </c>
      <c r="N555" s="22" t="str">
        <f aca="true">IF(OR($I555="Attempted",$I555="Revisit"),"DUE",IF($M555="","",IF($M555&lt;=TODAY(),"DUE","")))</f>
        <v/>
      </c>
      <c r="O555" s="11"/>
    </row>
    <row r="556" customFormat="false" ht="15" hidden="false" customHeight="true" outlineLevel="0" collapsed="false">
      <c r="A556" s="12" t="n">
        <v>555</v>
      </c>
      <c r="B556" s="11" t="s">
        <v>809</v>
      </c>
      <c r="C556" s="11" t="s">
        <v>813</v>
      </c>
      <c r="D556" s="11" t="s">
        <v>815</v>
      </c>
      <c r="E556" s="19" t="s">
        <v>94</v>
      </c>
      <c r="F556" s="19" t="s">
        <v>95</v>
      </c>
      <c r="G556" s="12" t="s">
        <v>107</v>
      </c>
      <c r="H556" s="20" t="s">
        <v>97</v>
      </c>
      <c r="I556" s="19" t="s">
        <v>98</v>
      </c>
      <c r="J556" s="19"/>
      <c r="K556" s="12"/>
      <c r="L556" s="21"/>
      <c r="M556" s="21" t="str">
        <f aca="false">IF($L556="","",$L556+IF($J556="",Dashboard!$M$9,INDEX(Dashboard!$M$5:$M$9,$J556)))</f>
        <v/>
      </c>
      <c r="N556" s="22" t="str">
        <f aca="true">IF(OR($I556="Attempted",$I556="Revisit"),"DUE",IF($M556="","",IF($M556&lt;=TODAY(),"DUE","")))</f>
        <v/>
      </c>
      <c r="O556" s="11"/>
    </row>
    <row r="557" customFormat="false" ht="15" hidden="false" customHeight="true" outlineLevel="0" collapsed="false">
      <c r="A557" s="12" t="n">
        <v>556</v>
      </c>
      <c r="B557" s="11" t="s">
        <v>809</v>
      </c>
      <c r="C557" s="11" t="s">
        <v>813</v>
      </c>
      <c r="D557" s="11" t="s">
        <v>816</v>
      </c>
      <c r="E557" s="19" t="s">
        <v>109</v>
      </c>
      <c r="F557" s="19" t="s">
        <v>121</v>
      </c>
      <c r="G557" s="12" t="s">
        <v>107</v>
      </c>
      <c r="H557" s="20" t="s">
        <v>97</v>
      </c>
      <c r="I557" s="19" t="s">
        <v>98</v>
      </c>
      <c r="J557" s="19"/>
      <c r="K557" s="12"/>
      <c r="L557" s="21"/>
      <c r="M557" s="21" t="str">
        <f aca="false">IF($L557="","",$L557+IF($J557="",Dashboard!$M$9,INDEX(Dashboard!$M$5:$M$9,$J557)))</f>
        <v/>
      </c>
      <c r="N557" s="22" t="str">
        <f aca="true">IF(OR($I557="Attempted",$I557="Revisit"),"DUE",IF($M557="","",IF($M557&lt;=TODAY(),"DUE","")))</f>
        <v/>
      </c>
      <c r="O557" s="11"/>
    </row>
    <row r="558" customFormat="false" ht="15" hidden="false" customHeight="true" outlineLevel="0" collapsed="false">
      <c r="A558" s="12" t="n">
        <v>557</v>
      </c>
      <c r="B558" s="11" t="s">
        <v>809</v>
      </c>
      <c r="C558" s="11" t="s">
        <v>813</v>
      </c>
      <c r="D558" s="11" t="s">
        <v>817</v>
      </c>
      <c r="E558" s="19" t="s">
        <v>135</v>
      </c>
      <c r="F558" s="19" t="s">
        <v>136</v>
      </c>
      <c r="G558" s="12" t="s">
        <v>107</v>
      </c>
      <c r="H558" s="20" t="s">
        <v>97</v>
      </c>
      <c r="I558" s="19" t="s">
        <v>98</v>
      </c>
      <c r="J558" s="19"/>
      <c r="K558" s="12"/>
      <c r="L558" s="21"/>
      <c r="M558" s="21" t="str">
        <f aca="false">IF($L558="","",$L558+IF($J558="",Dashboard!$M$9,INDEX(Dashboard!$M$5:$M$9,$J558)))</f>
        <v/>
      </c>
      <c r="N558" s="22" t="str">
        <f aca="true">IF(OR($I558="Attempted",$I558="Revisit"),"DUE",IF($M558="","",IF($M558&lt;=TODAY(),"DUE","")))</f>
        <v/>
      </c>
      <c r="O558" s="11"/>
    </row>
    <row r="559" customFormat="false" ht="15" hidden="false" customHeight="true" outlineLevel="0" collapsed="false">
      <c r="A559" s="12" t="n">
        <v>558</v>
      </c>
      <c r="B559" s="11" t="s">
        <v>809</v>
      </c>
      <c r="C559" s="11" t="s">
        <v>818</v>
      </c>
      <c r="D559" s="11" t="s">
        <v>819</v>
      </c>
      <c r="E559" s="19" t="s">
        <v>109</v>
      </c>
      <c r="F559" s="19" t="s">
        <v>95</v>
      </c>
      <c r="G559" s="12" t="s">
        <v>107</v>
      </c>
      <c r="H559" s="20" t="s">
        <v>97</v>
      </c>
      <c r="I559" s="19" t="s">
        <v>98</v>
      </c>
      <c r="J559" s="19"/>
      <c r="K559" s="12"/>
      <c r="L559" s="21"/>
      <c r="M559" s="21" t="str">
        <f aca="false">IF($L559="","",$L559+IF($J559="",Dashboard!$M$9,INDEX(Dashboard!$M$5:$M$9,$J559)))</f>
        <v/>
      </c>
      <c r="N559" s="22" t="str">
        <f aca="true">IF(OR($I559="Attempted",$I559="Revisit"),"DUE",IF($M559="","",IF($M559&lt;=TODAY(),"DUE","")))</f>
        <v/>
      </c>
      <c r="O559" s="11"/>
    </row>
    <row r="560" customFormat="false" ht="15" hidden="false" customHeight="true" outlineLevel="0" collapsed="false">
      <c r="A560" s="12" t="n">
        <v>559</v>
      </c>
      <c r="B560" s="11" t="s">
        <v>809</v>
      </c>
      <c r="C560" s="11" t="s">
        <v>818</v>
      </c>
      <c r="D560" s="11" t="s">
        <v>820</v>
      </c>
      <c r="E560" s="19" t="s">
        <v>109</v>
      </c>
      <c r="F560" s="19" t="s">
        <v>95</v>
      </c>
      <c r="G560" s="12" t="s">
        <v>107</v>
      </c>
      <c r="H560" s="20" t="s">
        <v>97</v>
      </c>
      <c r="I560" s="19" t="s">
        <v>98</v>
      </c>
      <c r="J560" s="19"/>
      <c r="K560" s="12"/>
      <c r="L560" s="21"/>
      <c r="M560" s="21" t="str">
        <f aca="false">IF($L560="","",$L560+IF($J560="",Dashboard!$M$9,INDEX(Dashboard!$M$5:$M$9,$J560)))</f>
        <v/>
      </c>
      <c r="N560" s="22" t="str">
        <f aca="true">IF(OR($I560="Attempted",$I560="Revisit"),"DUE",IF($M560="","",IF($M560&lt;=TODAY(),"DUE","")))</f>
        <v/>
      </c>
      <c r="O560" s="11"/>
    </row>
    <row r="561" customFormat="false" ht="15" hidden="false" customHeight="true" outlineLevel="0" collapsed="false">
      <c r="A561" s="12" t="n">
        <v>560</v>
      </c>
      <c r="B561" s="11" t="s">
        <v>809</v>
      </c>
      <c r="C561" s="11" t="s">
        <v>818</v>
      </c>
      <c r="D561" s="11" t="s">
        <v>821</v>
      </c>
      <c r="E561" s="19" t="s">
        <v>109</v>
      </c>
      <c r="F561" s="19" t="s">
        <v>121</v>
      </c>
      <c r="G561" s="12" t="s">
        <v>107</v>
      </c>
      <c r="H561" s="20" t="s">
        <v>97</v>
      </c>
      <c r="I561" s="19" t="s">
        <v>98</v>
      </c>
      <c r="J561" s="19"/>
      <c r="K561" s="12"/>
      <c r="L561" s="21"/>
      <c r="M561" s="21" t="str">
        <f aca="false">IF($L561="","",$L561+IF($J561="",Dashboard!$M$9,INDEX(Dashboard!$M$5:$M$9,$J561)))</f>
        <v/>
      </c>
      <c r="N561" s="22" t="str">
        <f aca="true">IF(OR($I561="Attempted",$I561="Revisit"),"DUE",IF($M561="","",IF($M561&lt;=TODAY(),"DUE","")))</f>
        <v/>
      </c>
      <c r="O561" s="11"/>
    </row>
    <row r="562" customFormat="false" ht="15" hidden="false" customHeight="true" outlineLevel="0" collapsed="false">
      <c r="A562" s="12" t="n">
        <v>561</v>
      </c>
      <c r="B562" s="11" t="s">
        <v>809</v>
      </c>
      <c r="C562" s="11" t="s">
        <v>822</v>
      </c>
      <c r="D562" s="11" t="s">
        <v>823</v>
      </c>
      <c r="E562" s="19" t="s">
        <v>109</v>
      </c>
      <c r="F562" s="19" t="s">
        <v>95</v>
      </c>
      <c r="G562" s="12" t="s">
        <v>107</v>
      </c>
      <c r="H562" s="20" t="s">
        <v>97</v>
      </c>
      <c r="I562" s="19" t="s">
        <v>98</v>
      </c>
      <c r="J562" s="19"/>
      <c r="K562" s="12"/>
      <c r="L562" s="21"/>
      <c r="M562" s="21" t="str">
        <f aca="false">IF($L562="","",$L562+IF($J562="",Dashboard!$M$9,INDEX(Dashboard!$M$5:$M$9,$J562)))</f>
        <v/>
      </c>
      <c r="N562" s="22" t="str">
        <f aca="true">IF(OR($I562="Attempted",$I562="Revisit"),"DUE",IF($M562="","",IF($M562&lt;=TODAY(),"DUE","")))</f>
        <v/>
      </c>
      <c r="O562" s="11"/>
    </row>
    <row r="563" customFormat="false" ht="15" hidden="false" customHeight="true" outlineLevel="0" collapsed="false">
      <c r="A563" s="12" t="n">
        <v>562</v>
      </c>
      <c r="B563" s="11" t="s">
        <v>809</v>
      </c>
      <c r="C563" s="11" t="s">
        <v>822</v>
      </c>
      <c r="D563" s="11" t="s">
        <v>824</v>
      </c>
      <c r="E563" s="19" t="s">
        <v>109</v>
      </c>
      <c r="F563" s="19" t="s">
        <v>95</v>
      </c>
      <c r="G563" s="12" t="s">
        <v>107</v>
      </c>
      <c r="H563" s="20" t="s">
        <v>97</v>
      </c>
      <c r="I563" s="19" t="s">
        <v>98</v>
      </c>
      <c r="J563" s="19"/>
      <c r="K563" s="12"/>
      <c r="L563" s="21"/>
      <c r="M563" s="21" t="str">
        <f aca="false">IF($L563="","",$L563+IF($J563="",Dashboard!$M$9,INDEX(Dashboard!$M$5:$M$9,$J563)))</f>
        <v/>
      </c>
      <c r="N563" s="22" t="str">
        <f aca="true">IF(OR($I563="Attempted",$I563="Revisit"),"DUE",IF($M563="","",IF($M563&lt;=TODAY(),"DUE","")))</f>
        <v/>
      </c>
      <c r="O563" s="11"/>
    </row>
    <row r="564" customFormat="false" ht="15" hidden="false" customHeight="true" outlineLevel="0" collapsed="false">
      <c r="A564" s="12" t="n">
        <v>563</v>
      </c>
      <c r="B564" s="11" t="s">
        <v>825</v>
      </c>
      <c r="C564" s="11" t="s">
        <v>826</v>
      </c>
      <c r="D564" s="11" t="s">
        <v>827</v>
      </c>
      <c r="E564" s="19" t="s">
        <v>109</v>
      </c>
      <c r="F564" s="19" t="s">
        <v>136</v>
      </c>
      <c r="G564" s="12" t="s">
        <v>107</v>
      </c>
      <c r="H564" s="20" t="s">
        <v>97</v>
      </c>
      <c r="I564" s="19" t="s">
        <v>98</v>
      </c>
      <c r="J564" s="19"/>
      <c r="K564" s="12"/>
      <c r="L564" s="21"/>
      <c r="M564" s="21" t="str">
        <f aca="false">IF($L564="","",$L564+IF($J564="",Dashboard!$M$9,INDEX(Dashboard!$M$5:$M$9,$J564)))</f>
        <v/>
      </c>
      <c r="N564" s="22" t="str">
        <f aca="true">IF(OR($I564="Attempted",$I564="Revisit"),"DUE",IF($M564="","",IF($M564&lt;=TODAY(),"DUE","")))</f>
        <v/>
      </c>
      <c r="O564" s="11"/>
    </row>
    <row r="565" customFormat="false" ht="15" hidden="false" customHeight="true" outlineLevel="0" collapsed="false">
      <c r="A565" s="12" t="n">
        <v>564</v>
      </c>
      <c r="B565" s="11" t="s">
        <v>825</v>
      </c>
      <c r="C565" s="11" t="s">
        <v>826</v>
      </c>
      <c r="D565" s="11" t="s">
        <v>828</v>
      </c>
      <c r="E565" s="19" t="s">
        <v>109</v>
      </c>
      <c r="F565" s="19" t="s">
        <v>136</v>
      </c>
      <c r="G565" s="12" t="s">
        <v>96</v>
      </c>
      <c r="H565" s="20" t="s">
        <v>97</v>
      </c>
      <c r="I565" s="19" t="s">
        <v>98</v>
      </c>
      <c r="J565" s="19"/>
      <c r="K565" s="12"/>
      <c r="L565" s="21"/>
      <c r="M565" s="21" t="str">
        <f aca="false">IF($L565="","",$L565+IF($J565="",Dashboard!$M$9,INDEX(Dashboard!$M$5:$M$9,$J565)))</f>
        <v/>
      </c>
      <c r="N565" s="22" t="str">
        <f aca="true">IF(OR($I565="Attempted",$I565="Revisit"),"DUE",IF($M565="","",IF($M565&lt;=TODAY(),"DUE","")))</f>
        <v/>
      </c>
      <c r="O565" s="11"/>
    </row>
    <row r="566" customFormat="false" ht="15" hidden="false" customHeight="true" outlineLevel="0" collapsed="false">
      <c r="A566" s="12" t="n">
        <v>565</v>
      </c>
      <c r="B566" s="11" t="s">
        <v>825</v>
      </c>
      <c r="C566" s="11" t="s">
        <v>826</v>
      </c>
      <c r="D566" s="11" t="s">
        <v>829</v>
      </c>
      <c r="E566" s="19" t="s">
        <v>135</v>
      </c>
      <c r="F566" s="19" t="s">
        <v>136</v>
      </c>
      <c r="G566" s="12" t="s">
        <v>96</v>
      </c>
      <c r="H566" s="20" t="s">
        <v>97</v>
      </c>
      <c r="I566" s="19" t="s">
        <v>98</v>
      </c>
      <c r="J566" s="19"/>
      <c r="K566" s="12"/>
      <c r="L566" s="21"/>
      <c r="M566" s="21" t="str">
        <f aca="false">IF($L566="","",$L566+IF($J566="",Dashboard!$M$9,INDEX(Dashboard!$M$5:$M$9,$J566)))</f>
        <v/>
      </c>
      <c r="N566" s="22" t="str">
        <f aca="true">IF(OR($I566="Attempted",$I566="Revisit"),"DUE",IF($M566="","",IF($M566&lt;=TODAY(),"DUE","")))</f>
        <v/>
      </c>
      <c r="O566" s="11"/>
    </row>
    <row r="567" customFormat="false" ht="15" hidden="false" customHeight="true" outlineLevel="0" collapsed="false">
      <c r="A567" s="12" t="n">
        <v>566</v>
      </c>
      <c r="B567" s="11" t="s">
        <v>825</v>
      </c>
      <c r="C567" s="11" t="s">
        <v>830</v>
      </c>
      <c r="D567" s="11" t="s">
        <v>831</v>
      </c>
      <c r="E567" s="19" t="s">
        <v>109</v>
      </c>
      <c r="F567" s="19" t="s">
        <v>136</v>
      </c>
      <c r="G567" s="12" t="s">
        <v>96</v>
      </c>
      <c r="H567" s="20" t="s">
        <v>97</v>
      </c>
      <c r="I567" s="19" t="s">
        <v>98</v>
      </c>
      <c r="J567" s="19"/>
      <c r="K567" s="12"/>
      <c r="L567" s="21"/>
      <c r="M567" s="21" t="str">
        <f aca="false">IF($L567="","",$L567+IF($J567="",Dashboard!$M$9,INDEX(Dashboard!$M$5:$M$9,$J567)))</f>
        <v/>
      </c>
      <c r="N567" s="22" t="str">
        <f aca="true">IF(OR($I567="Attempted",$I567="Revisit"),"DUE",IF($M567="","",IF($M567&lt;=TODAY(),"DUE","")))</f>
        <v/>
      </c>
      <c r="O567" s="11"/>
    </row>
    <row r="568" customFormat="false" ht="15" hidden="false" customHeight="true" outlineLevel="0" collapsed="false">
      <c r="A568" s="12" t="n">
        <v>567</v>
      </c>
      <c r="B568" s="11" t="s">
        <v>825</v>
      </c>
      <c r="C568" s="11" t="s">
        <v>830</v>
      </c>
      <c r="D568" s="11" t="s">
        <v>832</v>
      </c>
      <c r="E568" s="19" t="s">
        <v>135</v>
      </c>
      <c r="F568" s="19" t="s">
        <v>136</v>
      </c>
      <c r="G568" s="12" t="s">
        <v>107</v>
      </c>
      <c r="H568" s="20" t="s">
        <v>97</v>
      </c>
      <c r="I568" s="19" t="s">
        <v>98</v>
      </c>
      <c r="J568" s="19"/>
      <c r="K568" s="12"/>
      <c r="L568" s="21"/>
      <c r="M568" s="21" t="str">
        <f aca="false">IF($L568="","",$L568+IF($J568="",Dashboard!$M$9,INDEX(Dashboard!$M$5:$M$9,$J568)))</f>
        <v/>
      </c>
      <c r="N568" s="22" t="str">
        <f aca="true">IF(OR($I568="Attempted",$I568="Revisit"),"DUE",IF($M568="","",IF($M568&lt;=TODAY(),"DUE","")))</f>
        <v/>
      </c>
      <c r="O568" s="11"/>
    </row>
    <row r="569" customFormat="false" ht="15" hidden="false" customHeight="true" outlineLevel="0" collapsed="false">
      <c r="A569" s="12" t="n">
        <v>568</v>
      </c>
      <c r="B569" s="11" t="s">
        <v>825</v>
      </c>
      <c r="C569" s="11" t="s">
        <v>833</v>
      </c>
      <c r="D569" s="11" t="s">
        <v>834</v>
      </c>
      <c r="E569" s="19" t="s">
        <v>135</v>
      </c>
      <c r="F569" s="19" t="s">
        <v>136</v>
      </c>
      <c r="G569" s="12" t="s">
        <v>107</v>
      </c>
      <c r="H569" s="20" t="s">
        <v>97</v>
      </c>
      <c r="I569" s="19" t="s">
        <v>98</v>
      </c>
      <c r="J569" s="19"/>
      <c r="K569" s="12"/>
      <c r="L569" s="21"/>
      <c r="M569" s="21" t="str">
        <f aca="false">IF($L569="","",$L569+IF($J569="",Dashboard!$M$9,INDEX(Dashboard!$M$5:$M$9,$J569)))</f>
        <v/>
      </c>
      <c r="N569" s="22" t="str">
        <f aca="true">IF(OR($I569="Attempted",$I569="Revisit"),"DUE",IF($M569="","",IF($M569&lt;=TODAY(),"DUE","")))</f>
        <v/>
      </c>
      <c r="O569" s="11"/>
    </row>
    <row r="570" customFormat="false" ht="15" hidden="false" customHeight="true" outlineLevel="0" collapsed="false">
      <c r="A570" s="12" t="n">
        <v>569</v>
      </c>
      <c r="B570" s="11" t="s">
        <v>825</v>
      </c>
      <c r="C570" s="11" t="s">
        <v>835</v>
      </c>
      <c r="D570" s="11" t="s">
        <v>836</v>
      </c>
      <c r="E570" s="19" t="s">
        <v>135</v>
      </c>
      <c r="F570" s="19" t="s">
        <v>136</v>
      </c>
      <c r="G570" s="12" t="s">
        <v>96</v>
      </c>
      <c r="H570" s="20" t="s">
        <v>97</v>
      </c>
      <c r="I570" s="19" t="s">
        <v>98</v>
      </c>
      <c r="J570" s="19"/>
      <c r="K570" s="12"/>
      <c r="L570" s="21"/>
      <c r="M570" s="21" t="str">
        <f aca="false">IF($L570="","",$L570+IF($J570="",Dashboard!$M$9,INDEX(Dashboard!$M$5:$M$9,$J570)))</f>
        <v/>
      </c>
      <c r="N570" s="22" t="str">
        <f aca="true">IF(OR($I570="Attempted",$I570="Revisit"),"DUE",IF($M570="","",IF($M570&lt;=TODAY(),"DUE","")))</f>
        <v/>
      </c>
      <c r="O570" s="11"/>
    </row>
    <row r="571" customFormat="false" ht="15" hidden="false" customHeight="true" outlineLevel="0" collapsed="false">
      <c r="A571" s="12" t="n">
        <v>570</v>
      </c>
      <c r="B571" s="11" t="s">
        <v>825</v>
      </c>
      <c r="C571" s="11" t="s">
        <v>837</v>
      </c>
      <c r="D571" s="11" t="s">
        <v>838</v>
      </c>
      <c r="E571" s="19" t="s">
        <v>135</v>
      </c>
      <c r="F571" s="19" t="s">
        <v>136</v>
      </c>
      <c r="G571" s="12" t="s">
        <v>96</v>
      </c>
      <c r="H571" s="20" t="s">
        <v>97</v>
      </c>
      <c r="I571" s="19" t="s">
        <v>98</v>
      </c>
      <c r="J571" s="19"/>
      <c r="K571" s="12"/>
      <c r="L571" s="21"/>
      <c r="M571" s="21" t="str">
        <f aca="false">IF($L571="","",$L571+IF($J571="",Dashboard!$M$9,INDEX(Dashboard!$M$5:$M$9,$J571)))</f>
        <v/>
      </c>
      <c r="N571" s="22" t="str">
        <f aca="true">IF(OR($I571="Attempted",$I571="Revisit"),"DUE",IF($M571="","",IF($M571&lt;=TODAY(),"DUE","")))</f>
        <v/>
      </c>
      <c r="O571" s="11"/>
    </row>
  </sheetData>
  <autoFilter ref="A1:O571"/>
  <conditionalFormatting sqref="E2:E571">
    <cfRule type="cellIs" priority="2" operator="equal" aboveAverage="0" equalAverage="0" bottom="0" percent="0" rank="0" text="" dxfId="9">
      <formula>"Easy"</formula>
    </cfRule>
    <cfRule type="cellIs" priority="3" operator="equal" aboveAverage="0" equalAverage="0" bottom="0" percent="0" rank="0" text="" dxfId="10">
      <formula>"Medium"</formula>
    </cfRule>
    <cfRule type="cellIs" priority="4" operator="equal" aboveAverage="0" equalAverage="0" bottom="0" percent="0" rank="0" text="" dxfId="11">
      <formula>"Hard"</formula>
    </cfRule>
  </conditionalFormatting>
  <conditionalFormatting sqref="I2:I571">
    <cfRule type="cellIs" priority="5" operator="equal" aboveAverage="0" equalAverage="0" bottom="0" percent="0" rank="0" text="" dxfId="9">
      <formula>"Mastered"</formula>
    </cfRule>
    <cfRule type="cellIs" priority="6" operator="equal" aboveAverage="0" equalAverage="0" bottom="0" percent="0" rank="0" text="" dxfId="12">
      <formula>"Solved"</formula>
    </cfRule>
    <cfRule type="cellIs" priority="7" operator="equal" aboveAverage="0" equalAverage="0" bottom="0" percent="0" rank="0" text="" dxfId="10">
      <formula>"Attempted"</formula>
    </cfRule>
    <cfRule type="cellIs" priority="8" operator="equal" aboveAverage="0" equalAverage="0" bottom="0" percent="0" rank="0" text="" dxfId="11">
      <formula>"Revisit"</formula>
    </cfRule>
  </conditionalFormatting>
  <conditionalFormatting sqref="F2:F571">
    <cfRule type="cellIs" priority="9" operator="equal" aboveAverage="0" equalAverage="0" bottom="0" percent="0" rank="0" text="" dxfId="13">
      <formula>"Core"</formula>
    </cfRule>
    <cfRule type="cellIs" priority="10" operator="equal" aboveAverage="0" equalAverage="0" bottom="0" percent="0" rank="0" text="" dxfId="14">
      <formula>"Stretch"</formula>
    </cfRule>
  </conditionalFormatting>
  <conditionalFormatting sqref="N2:N571">
    <cfRule type="cellIs" priority="11" operator="equal" aboveAverage="0" equalAverage="0" bottom="0" percent="0" rank="0" text="" dxfId="15">
      <formula>"DUE"</formula>
    </cfRule>
  </conditionalFormatting>
  <dataValidations count="3">
    <dataValidation allowBlank="true" errorStyle="stop" operator="between" showDropDown="false" showErrorMessage="false" showInputMessage="false" sqref="I2:I571" type="list">
      <formula1>"Not Started,Attempted,Solved,Mastered,Revisit"</formula1>
      <formula2>0</formula2>
    </dataValidation>
    <dataValidation allowBlank="true" errorStyle="stop" operator="between" showDropDown="false" showErrorMessage="false" showInputMessage="false" sqref="J2:J571" type="list">
      <formula1>"1,2,3,4,5"</formula1>
      <formula2>0</formula2>
    </dataValidation>
    <dataValidation allowBlank="true" errorStyle="stop" operator="between" showDropDown="false" showErrorMessage="false" showInputMessage="false" sqref="F2:F571" type="list">
      <formula1>"Core,Depth,Stretch"</formula1>
      <formula2>0</formula2>
    </dataValidation>
  </dataValidations>
  <hyperlinks>
    <hyperlink ref="H2" r:id="rId1" display="Open"/>
    <hyperlink ref="H3" r:id="rId2" display="Open"/>
    <hyperlink ref="H4" r:id="rId3" display="Open"/>
    <hyperlink ref="H5" r:id="rId4" display="Open"/>
    <hyperlink ref="H6" r:id="rId5" display="Open"/>
    <hyperlink ref="H7" r:id="rId6" display="Open"/>
    <hyperlink ref="H8" r:id="rId7" display="Open"/>
    <hyperlink ref="H9" r:id="rId8" display="Open"/>
    <hyperlink ref="H10" r:id="rId9" display="Open"/>
    <hyperlink ref="H11" r:id="rId10" display="Open"/>
    <hyperlink ref="H12" r:id="rId11" display="Open"/>
    <hyperlink ref="H13" r:id="rId12" display="Open"/>
    <hyperlink ref="H14" r:id="rId13" display="Open"/>
    <hyperlink ref="H15" r:id="rId14" display="Open"/>
    <hyperlink ref="H16" r:id="rId15" display="Open"/>
    <hyperlink ref="H17" r:id="rId16" display="Open"/>
    <hyperlink ref="H18" r:id="rId17" display="Open"/>
    <hyperlink ref="H19" r:id="rId18" display="Open"/>
    <hyperlink ref="H20" r:id="rId19" display="Open"/>
    <hyperlink ref="H21" r:id="rId20" display="Open"/>
    <hyperlink ref="H22" r:id="rId21" display="Open"/>
    <hyperlink ref="H23" r:id="rId22" display="Open"/>
    <hyperlink ref="H24" r:id="rId23" display="Open"/>
    <hyperlink ref="H25" r:id="rId24" display="Open"/>
    <hyperlink ref="H26" r:id="rId25" display="Open"/>
    <hyperlink ref="H27" r:id="rId26" display="Open"/>
    <hyperlink ref="H28" r:id="rId27" display="Open"/>
    <hyperlink ref="H29" r:id="rId28" display="Open"/>
    <hyperlink ref="H30" r:id="rId29" display="Open"/>
    <hyperlink ref="H31" r:id="rId30" display="Open"/>
    <hyperlink ref="H32" r:id="rId31" display="Open"/>
    <hyperlink ref="H33" r:id="rId32" display="Open"/>
    <hyperlink ref="H34" r:id="rId33" display="Open"/>
    <hyperlink ref="H35" r:id="rId34" display="Open"/>
    <hyperlink ref="H36" r:id="rId35" display="Open"/>
    <hyperlink ref="H37" r:id="rId36" display="Open"/>
    <hyperlink ref="H38" r:id="rId37" display="Open"/>
    <hyperlink ref="H39" r:id="rId38" display="Open"/>
    <hyperlink ref="H40" r:id="rId39" display="Open"/>
    <hyperlink ref="H41" r:id="rId40" display="Open"/>
    <hyperlink ref="H42" r:id="rId41" display="Open"/>
    <hyperlink ref="H43" r:id="rId42" display="Open"/>
    <hyperlink ref="H44" r:id="rId43" display="Open"/>
    <hyperlink ref="H45" r:id="rId44" display="Open"/>
    <hyperlink ref="H46" r:id="rId45" display="Open"/>
    <hyperlink ref="H47" r:id="rId46" display="Open"/>
    <hyperlink ref="H48" r:id="rId47" display="Open"/>
    <hyperlink ref="H49" r:id="rId48" display="Open"/>
    <hyperlink ref="H50" r:id="rId49" display="Open"/>
    <hyperlink ref="H51" r:id="rId50" display="Open"/>
    <hyperlink ref="H52" r:id="rId51" display="Open"/>
    <hyperlink ref="H53" r:id="rId52" display="Open"/>
    <hyperlink ref="H54" r:id="rId53" display="Open"/>
    <hyperlink ref="H55" r:id="rId54" display="Open"/>
    <hyperlink ref="H56" r:id="rId55" display="Open"/>
    <hyperlink ref="H57" r:id="rId56" display="Open"/>
    <hyperlink ref="H58" r:id="rId57" display="Open"/>
    <hyperlink ref="H59" r:id="rId58" display="Open"/>
    <hyperlink ref="H60" r:id="rId59" display="Open"/>
    <hyperlink ref="H61" r:id="rId60" display="Open"/>
    <hyperlink ref="H62" r:id="rId61" display="Open"/>
    <hyperlink ref="H63" r:id="rId62" display="Open"/>
    <hyperlink ref="H64" r:id="rId63" display="Open"/>
    <hyperlink ref="H65" r:id="rId64" display="Open"/>
    <hyperlink ref="H66" r:id="rId65" display="Open"/>
    <hyperlink ref="H67" r:id="rId66" display="Open"/>
    <hyperlink ref="H68" r:id="rId67" display="Open"/>
    <hyperlink ref="H69" r:id="rId68" display="Open"/>
    <hyperlink ref="H70" r:id="rId69" display="Open"/>
    <hyperlink ref="H71" r:id="rId70" display="Open"/>
    <hyperlink ref="H72" r:id="rId71" display="Open"/>
    <hyperlink ref="H73" r:id="rId72" display="Open"/>
    <hyperlink ref="H74" r:id="rId73" display="Open"/>
    <hyperlink ref="H75" r:id="rId74" display="Open"/>
    <hyperlink ref="H76" r:id="rId75" display="Open"/>
    <hyperlink ref="H77" r:id="rId76" display="Open"/>
    <hyperlink ref="H78" r:id="rId77" display="Open"/>
    <hyperlink ref="H79" r:id="rId78" display="Open"/>
    <hyperlink ref="H80" r:id="rId79" display="Open"/>
    <hyperlink ref="H81" r:id="rId80" display="Open"/>
    <hyperlink ref="H82" r:id="rId81" display="Open"/>
    <hyperlink ref="H83" r:id="rId82" display="Open"/>
    <hyperlink ref="H84" r:id="rId83" display="Open"/>
    <hyperlink ref="H85" r:id="rId84" display="Open"/>
    <hyperlink ref="H86" r:id="rId85" display="Open"/>
    <hyperlink ref="H87" r:id="rId86" display="Open"/>
    <hyperlink ref="H88" r:id="rId87" display="Open"/>
    <hyperlink ref="H89" r:id="rId88" display="Open"/>
    <hyperlink ref="H90" r:id="rId89" display="Open"/>
    <hyperlink ref="H91" r:id="rId90" display="Open"/>
    <hyperlink ref="H92" r:id="rId91" display="Open"/>
    <hyperlink ref="H93" r:id="rId92" display="Open"/>
    <hyperlink ref="H94" r:id="rId93" display="Open"/>
    <hyperlink ref="H95" r:id="rId94" display="Open"/>
    <hyperlink ref="H96" r:id="rId95" display="Open"/>
    <hyperlink ref="H97" r:id="rId96" display="Open"/>
    <hyperlink ref="H98" r:id="rId97" display="Open"/>
    <hyperlink ref="H99" r:id="rId98" display="Open"/>
    <hyperlink ref="H100" r:id="rId99" display="Open"/>
    <hyperlink ref="H101" r:id="rId100" display="Open"/>
    <hyperlink ref="H102" r:id="rId101" display="Open"/>
    <hyperlink ref="H103" r:id="rId102" display="Open"/>
    <hyperlink ref="H104" r:id="rId103" display="Open"/>
    <hyperlink ref="H105" r:id="rId104" display="Open"/>
    <hyperlink ref="H106" r:id="rId105" display="Open"/>
    <hyperlink ref="H107" r:id="rId106" display="Open"/>
    <hyperlink ref="H108" r:id="rId107" display="Open"/>
    <hyperlink ref="H109" r:id="rId108" display="Open"/>
    <hyperlink ref="H110" r:id="rId109" display="Open"/>
    <hyperlink ref="H111" r:id="rId110" display="Open"/>
    <hyperlink ref="H112" r:id="rId111" display="Open"/>
    <hyperlink ref="H113" r:id="rId112" display="Open"/>
    <hyperlink ref="H114" r:id="rId113" display="Open"/>
    <hyperlink ref="H115" r:id="rId114" display="Open"/>
    <hyperlink ref="H116" r:id="rId115" display="Open"/>
    <hyperlink ref="H117" r:id="rId116" display="Open"/>
    <hyperlink ref="H118" r:id="rId117" display="Open"/>
    <hyperlink ref="H119" r:id="rId118" display="Open"/>
    <hyperlink ref="H120" r:id="rId119" display="Open"/>
    <hyperlink ref="H121" r:id="rId120" display="Open"/>
    <hyperlink ref="H122" r:id="rId121" display="Open"/>
    <hyperlink ref="H123" r:id="rId122" display="Open"/>
    <hyperlink ref="H124" r:id="rId123" display="Open"/>
    <hyperlink ref="H125" r:id="rId124" display="Open"/>
    <hyperlink ref="H126" r:id="rId125" display="Open"/>
    <hyperlink ref="H127" r:id="rId126" display="Open"/>
    <hyperlink ref="H128" r:id="rId127" display="Open"/>
    <hyperlink ref="H129" r:id="rId128" display="Open"/>
    <hyperlink ref="H130" r:id="rId129" display="Open"/>
    <hyperlink ref="H131" r:id="rId130" display="Open"/>
    <hyperlink ref="H132" r:id="rId131" display="Open"/>
    <hyperlink ref="H133" r:id="rId132" display="Open"/>
    <hyperlink ref="H134" r:id="rId133" display="Open"/>
    <hyperlink ref="H135" r:id="rId134" display="Open"/>
    <hyperlink ref="H136" r:id="rId135" display="Open"/>
    <hyperlink ref="H137" r:id="rId136" display="Open"/>
    <hyperlink ref="H138" r:id="rId137" display="Open"/>
    <hyperlink ref="H139" r:id="rId138" display="Open"/>
    <hyperlink ref="H140" r:id="rId139" display="Open"/>
    <hyperlink ref="H141" r:id="rId140" display="Open"/>
    <hyperlink ref="H142" r:id="rId141" display="Open"/>
    <hyperlink ref="H143" r:id="rId142" display="Open"/>
    <hyperlink ref="H144" r:id="rId143" display="Open"/>
    <hyperlink ref="H145" r:id="rId144" display="Open"/>
    <hyperlink ref="H146" r:id="rId145" display="Open"/>
    <hyperlink ref="H147" r:id="rId146" display="Open"/>
    <hyperlink ref="H148" r:id="rId147" display="Open"/>
    <hyperlink ref="H149" r:id="rId148" display="Open"/>
    <hyperlink ref="H150" r:id="rId149" display="Open"/>
    <hyperlink ref="H151" r:id="rId150" display="Open"/>
    <hyperlink ref="H152" r:id="rId151" display="Open"/>
    <hyperlink ref="H153" r:id="rId152" display="Open"/>
    <hyperlink ref="H154" r:id="rId153" display="Open"/>
    <hyperlink ref="H155" r:id="rId154" display="Open"/>
    <hyperlink ref="H156" r:id="rId155" display="Open"/>
    <hyperlink ref="H157" r:id="rId156" display="Open"/>
    <hyperlink ref="H158" r:id="rId157" display="Open"/>
    <hyperlink ref="H159" r:id="rId158" display="Open"/>
    <hyperlink ref="H160" r:id="rId159" display="Open"/>
    <hyperlink ref="H161" r:id="rId160" display="Open"/>
    <hyperlink ref="H162" r:id="rId161" display="Open"/>
    <hyperlink ref="H163" r:id="rId162" display="Open"/>
    <hyperlink ref="H164" r:id="rId163" display="Open"/>
    <hyperlink ref="H165" r:id="rId164" display="Open"/>
    <hyperlink ref="H166" r:id="rId165" display="Open"/>
    <hyperlink ref="H167" r:id="rId166" display="Open"/>
    <hyperlink ref="H168" r:id="rId167" display="Open"/>
    <hyperlink ref="H169" r:id="rId168" display="Open"/>
    <hyperlink ref="H170" r:id="rId169" display="Open"/>
    <hyperlink ref="H171" r:id="rId170" display="Open"/>
    <hyperlink ref="H172" r:id="rId171" display="Open"/>
    <hyperlink ref="H173" r:id="rId172" display="Open"/>
    <hyperlink ref="H174" r:id="rId173" display="Open"/>
    <hyperlink ref="H175" r:id="rId174" display="Open"/>
    <hyperlink ref="H176" r:id="rId175" display="Open"/>
    <hyperlink ref="H177" r:id="rId176" display="Open"/>
    <hyperlink ref="H178" r:id="rId177" display="Open"/>
    <hyperlink ref="H179" r:id="rId178" display="Open"/>
    <hyperlink ref="H180" r:id="rId179" display="Open"/>
    <hyperlink ref="H181" r:id="rId180" display="Open"/>
    <hyperlink ref="H182" r:id="rId181" display="Open"/>
    <hyperlink ref="H183" r:id="rId182" display="Open"/>
    <hyperlink ref="H184" r:id="rId183" display="Open"/>
    <hyperlink ref="H185" r:id="rId184" display="Open"/>
    <hyperlink ref="H186" r:id="rId185" display="Open"/>
    <hyperlink ref="H187" r:id="rId186" display="Open"/>
    <hyperlink ref="H188" r:id="rId187" display="Open"/>
    <hyperlink ref="H189" r:id="rId188" display="Open"/>
    <hyperlink ref="H190" r:id="rId189" display="Open"/>
    <hyperlink ref="H191" r:id="rId190" display="Open"/>
    <hyperlink ref="H192" r:id="rId191" display="Open"/>
    <hyperlink ref="H193" r:id="rId192" display="Open"/>
    <hyperlink ref="H194" r:id="rId193" display="Open"/>
    <hyperlink ref="H195" r:id="rId194" display="Open"/>
    <hyperlink ref="H196" r:id="rId195" display="Open"/>
    <hyperlink ref="H197" r:id="rId196" display="Open"/>
    <hyperlink ref="H198" r:id="rId197" display="Open"/>
    <hyperlink ref="H199" r:id="rId198" display="Open"/>
    <hyperlink ref="H200" r:id="rId199" display="Open"/>
    <hyperlink ref="H201" r:id="rId200" display="Open"/>
    <hyperlink ref="H202" r:id="rId201" display="Open"/>
    <hyperlink ref="H203" r:id="rId202" display="Open"/>
    <hyperlink ref="H204" r:id="rId203" display="Open"/>
    <hyperlink ref="H205" r:id="rId204" display="Open"/>
    <hyperlink ref="H206" r:id="rId205" display="Open"/>
    <hyperlink ref="H207" r:id="rId206" display="Open"/>
    <hyperlink ref="H208" r:id="rId207" display="Open"/>
    <hyperlink ref="H209" r:id="rId208" display="Open"/>
    <hyperlink ref="H210" r:id="rId209" display="Open"/>
    <hyperlink ref="H211" r:id="rId210" display="Open"/>
    <hyperlink ref="H212" r:id="rId211" display="Open"/>
    <hyperlink ref="H213" r:id="rId212" display="Open"/>
    <hyperlink ref="H214" r:id="rId213" display="Open"/>
    <hyperlink ref="H215" r:id="rId214" display="Open"/>
    <hyperlink ref="H216" r:id="rId215" display="Open"/>
    <hyperlink ref="H217" r:id="rId216" display="Open"/>
    <hyperlink ref="H218" r:id="rId217" display="Open"/>
    <hyperlink ref="H219" r:id="rId218" display="Open"/>
    <hyperlink ref="H220" r:id="rId219" display="Open"/>
    <hyperlink ref="H221" r:id="rId220" display="Open"/>
    <hyperlink ref="H222" r:id="rId221" display="Open"/>
    <hyperlink ref="H223" r:id="rId222" display="Open"/>
    <hyperlink ref="H224" r:id="rId223" display="Open"/>
    <hyperlink ref="H225" r:id="rId224" display="Open"/>
    <hyperlink ref="H226" r:id="rId225" display="Open"/>
    <hyperlink ref="H227" r:id="rId226" display="Open"/>
    <hyperlink ref="H228" r:id="rId227" display="Open"/>
    <hyperlink ref="H229" r:id="rId228" display="Open"/>
    <hyperlink ref="H230" r:id="rId229" display="Open"/>
    <hyperlink ref="H231" r:id="rId230" display="Open"/>
    <hyperlink ref="H232" r:id="rId231" display="Open"/>
    <hyperlink ref="H233" r:id="rId232" display="Open"/>
    <hyperlink ref="H234" r:id="rId233" display="Open"/>
    <hyperlink ref="H235" r:id="rId234" display="Open"/>
    <hyperlink ref="H236" r:id="rId235" display="Open"/>
    <hyperlink ref="H237" r:id="rId236" display="Open"/>
    <hyperlink ref="H238" r:id="rId237" display="Open"/>
    <hyperlink ref="H239" r:id="rId238" display="Open"/>
    <hyperlink ref="H240" r:id="rId239" display="Open"/>
    <hyperlink ref="H241" r:id="rId240" display="Open"/>
    <hyperlink ref="H242" r:id="rId241" display="Open"/>
    <hyperlink ref="H243" r:id="rId242" display="Open"/>
    <hyperlink ref="H244" r:id="rId243" display="Open"/>
    <hyperlink ref="H245" r:id="rId244" display="Open"/>
    <hyperlink ref="H246" r:id="rId245" display="Open"/>
    <hyperlink ref="H247" r:id="rId246" display="Open"/>
    <hyperlink ref="H248" r:id="rId247" display="Open"/>
    <hyperlink ref="H249" r:id="rId248" display="Open"/>
    <hyperlink ref="H250" r:id="rId249" display="Open"/>
    <hyperlink ref="H251" r:id="rId250" display="Open"/>
    <hyperlink ref="H252" r:id="rId251" display="Open"/>
    <hyperlink ref="H253" r:id="rId252" display="Open"/>
    <hyperlink ref="H254" r:id="rId253" display="Open"/>
    <hyperlink ref="H255" r:id="rId254" display="Open"/>
    <hyperlink ref="H256" r:id="rId255" display="Open"/>
    <hyperlink ref="H257" r:id="rId256" display="Open"/>
    <hyperlink ref="H258" r:id="rId257" display="Open"/>
    <hyperlink ref="H259" r:id="rId258" display="Open"/>
    <hyperlink ref="H260" r:id="rId259" display="Open"/>
    <hyperlink ref="H261" r:id="rId260" display="Open"/>
    <hyperlink ref="H262" r:id="rId261" display="Open"/>
    <hyperlink ref="H263" r:id="rId262" display="Open"/>
    <hyperlink ref="H264" r:id="rId263" display="Open"/>
    <hyperlink ref="H265" r:id="rId264" display="Open"/>
    <hyperlink ref="H266" r:id="rId265" display="Open"/>
    <hyperlink ref="H267" r:id="rId266" display="Open"/>
    <hyperlink ref="H268" r:id="rId267" display="Open"/>
    <hyperlink ref="H269" r:id="rId268" display="Open"/>
    <hyperlink ref="H270" r:id="rId269" display="Open"/>
    <hyperlink ref="H271" r:id="rId270" display="Open"/>
    <hyperlink ref="H272" r:id="rId271" display="Open"/>
    <hyperlink ref="H273" r:id="rId272" display="Open"/>
    <hyperlink ref="H274" r:id="rId273" display="Open"/>
    <hyperlink ref="H275" r:id="rId274" display="Open"/>
    <hyperlink ref="H276" r:id="rId275" display="Open"/>
    <hyperlink ref="H277" r:id="rId276" display="Open"/>
    <hyperlink ref="H278" r:id="rId277" display="Open"/>
    <hyperlink ref="H279" r:id="rId278" display="Open"/>
    <hyperlink ref="H280" r:id="rId279" display="Open"/>
    <hyperlink ref="H281" r:id="rId280" display="Open"/>
    <hyperlink ref="H282" r:id="rId281" display="Open"/>
    <hyperlink ref="H283" r:id="rId282" display="Open"/>
    <hyperlink ref="H284" r:id="rId283" display="Open"/>
    <hyperlink ref="H285" r:id="rId284" display="Open"/>
    <hyperlink ref="H286" r:id="rId285" display="Open"/>
    <hyperlink ref="H287" r:id="rId286" display="Open"/>
    <hyperlink ref="H288" r:id="rId287" display="Open"/>
    <hyperlink ref="H289" r:id="rId288" display="Open"/>
    <hyperlink ref="H290" r:id="rId289" display="Open"/>
    <hyperlink ref="H291" r:id="rId290" display="Open"/>
    <hyperlink ref="H292" r:id="rId291" display="Open"/>
    <hyperlink ref="H293" r:id="rId292" display="Open"/>
    <hyperlink ref="H294" r:id="rId293" display="Open"/>
    <hyperlink ref="H295" r:id="rId294" display="Open"/>
    <hyperlink ref="H296" r:id="rId295" display="Open"/>
    <hyperlink ref="H297" r:id="rId296" display="Open"/>
    <hyperlink ref="H298" r:id="rId297" display="Open"/>
    <hyperlink ref="H299" r:id="rId298" display="Open"/>
    <hyperlink ref="H300" r:id="rId299" display="Open"/>
    <hyperlink ref="H301" r:id="rId300" display="Open"/>
    <hyperlink ref="H302" r:id="rId301" display="Open"/>
    <hyperlink ref="H303" r:id="rId302" display="Open"/>
    <hyperlink ref="H304" r:id="rId303" display="Open"/>
    <hyperlink ref="H305" r:id="rId304" display="Open"/>
    <hyperlink ref="H306" r:id="rId305" display="Open"/>
    <hyperlink ref="H307" r:id="rId306" display="Open"/>
    <hyperlink ref="H308" r:id="rId307" display="Open"/>
    <hyperlink ref="H309" r:id="rId308" display="Open"/>
    <hyperlink ref="H310" r:id="rId309" display="Open"/>
    <hyperlink ref="H311" r:id="rId310" display="Open"/>
    <hyperlink ref="H312" r:id="rId311" display="Open"/>
    <hyperlink ref="H313" r:id="rId312" display="Open"/>
    <hyperlink ref="H314" r:id="rId313" display="Open"/>
    <hyperlink ref="H315" r:id="rId314" display="Open"/>
    <hyperlink ref="H316" r:id="rId315" display="Open"/>
    <hyperlink ref="H317" r:id="rId316" display="Open"/>
    <hyperlink ref="H318" r:id="rId317" display="Open"/>
    <hyperlink ref="H319" r:id="rId318" display="Open"/>
    <hyperlink ref="H320" r:id="rId319" display="Open"/>
    <hyperlink ref="H321" r:id="rId320" display="Open"/>
    <hyperlink ref="H322" r:id="rId321" display="Open"/>
    <hyperlink ref="H323" r:id="rId322" display="Open"/>
    <hyperlink ref="H324" r:id="rId323" display="Open"/>
    <hyperlink ref="H325" r:id="rId324" display="Open"/>
    <hyperlink ref="H326" r:id="rId325" display="Open"/>
    <hyperlink ref="H327" r:id="rId326" display="Open"/>
    <hyperlink ref="H328" r:id="rId327" display="Open"/>
    <hyperlink ref="H329" r:id="rId328" display="Open"/>
    <hyperlink ref="H330" r:id="rId329" display="Open"/>
    <hyperlink ref="H331" r:id="rId330" display="Open"/>
    <hyperlink ref="H332" r:id="rId331" display="Open"/>
    <hyperlink ref="H333" r:id="rId332" display="Open"/>
    <hyperlink ref="H334" r:id="rId333" display="Open"/>
    <hyperlink ref="H335" r:id="rId334" display="Open"/>
    <hyperlink ref="H336" r:id="rId335" display="Open"/>
    <hyperlink ref="H337" r:id="rId336" display="Open"/>
    <hyperlink ref="H338" r:id="rId337" display="Open"/>
    <hyperlink ref="H339" r:id="rId338" display="Open"/>
    <hyperlink ref="H340" r:id="rId339" display="Open"/>
    <hyperlink ref="H341" r:id="rId340" display="Open"/>
    <hyperlink ref="H342" r:id="rId341" display="Open"/>
    <hyperlink ref="H343" r:id="rId342" display="Open"/>
    <hyperlink ref="H344" r:id="rId343" display="Open"/>
    <hyperlink ref="H345" r:id="rId344" display="Open"/>
    <hyperlink ref="H346" r:id="rId345" display="Open"/>
    <hyperlink ref="H347" r:id="rId346" display="Open"/>
    <hyperlink ref="H348" r:id="rId347" display="Open"/>
    <hyperlink ref="H349" r:id="rId348" display="Open"/>
    <hyperlink ref="H350" r:id="rId349" display="Open"/>
    <hyperlink ref="H351" r:id="rId350" display="Open"/>
    <hyperlink ref="H352" r:id="rId351" display="Open"/>
    <hyperlink ref="H353" r:id="rId352" display="Open"/>
    <hyperlink ref="H354" r:id="rId353" display="Open"/>
    <hyperlink ref="H355" r:id="rId354" display="Open"/>
    <hyperlink ref="H356" r:id="rId355" display="Open"/>
    <hyperlink ref="H357" r:id="rId356" display="Open"/>
    <hyperlink ref="H358" r:id="rId357" display="Open"/>
    <hyperlink ref="H359" r:id="rId358" display="Open"/>
    <hyperlink ref="H360" r:id="rId359" display="Open"/>
    <hyperlink ref="H361" r:id="rId360" display="Open"/>
    <hyperlink ref="H362" r:id="rId361" display="Open"/>
    <hyperlink ref="H363" r:id="rId362" display="Open"/>
    <hyperlink ref="H364" r:id="rId363" display="Open"/>
    <hyperlink ref="H365" r:id="rId364" display="Open"/>
    <hyperlink ref="H366" r:id="rId365" display="Open"/>
    <hyperlink ref="H367" r:id="rId366" display="Open"/>
    <hyperlink ref="H368" r:id="rId367" display="Open"/>
    <hyperlink ref="H369" r:id="rId368" display="Open"/>
    <hyperlink ref="H370" r:id="rId369" display="Open"/>
    <hyperlink ref="H371" r:id="rId370" display="Open"/>
    <hyperlink ref="H372" r:id="rId371" display="Open"/>
    <hyperlink ref="H373" r:id="rId372" display="Open"/>
    <hyperlink ref="H374" r:id="rId373" display="Open"/>
    <hyperlink ref="H375" r:id="rId374" display="Open"/>
    <hyperlink ref="H376" r:id="rId375" display="Open"/>
    <hyperlink ref="H377" r:id="rId376" display="Open"/>
    <hyperlink ref="H378" r:id="rId377" display="Open"/>
    <hyperlink ref="H379" r:id="rId378" display="Open"/>
    <hyperlink ref="H380" r:id="rId379" display="Open"/>
    <hyperlink ref="H381" r:id="rId380" display="Open"/>
    <hyperlink ref="H382" r:id="rId381" display="Open"/>
    <hyperlink ref="H383" r:id="rId382" display="Open"/>
    <hyperlink ref="H384" r:id="rId383" display="Open"/>
    <hyperlink ref="H385" r:id="rId384" display="Open"/>
    <hyperlink ref="H386" r:id="rId385" display="Open"/>
    <hyperlink ref="H387" r:id="rId386" display="Open"/>
    <hyperlink ref="H388" r:id="rId387" display="Open"/>
    <hyperlink ref="H389" r:id="rId388" display="Open"/>
    <hyperlink ref="H390" r:id="rId389" display="Open"/>
    <hyperlink ref="H391" r:id="rId390" display="Open"/>
    <hyperlink ref="H392" r:id="rId391" display="Open"/>
    <hyperlink ref="H393" r:id="rId392" display="Open"/>
    <hyperlink ref="H394" r:id="rId393" display="Open"/>
    <hyperlink ref="H395" r:id="rId394" display="Open"/>
    <hyperlink ref="H396" r:id="rId395" display="Open"/>
    <hyperlink ref="H397" r:id="rId396" display="Open"/>
    <hyperlink ref="H398" r:id="rId397" display="Open"/>
    <hyperlink ref="H399" r:id="rId398" display="Open"/>
    <hyperlink ref="H400" r:id="rId399" display="Open"/>
    <hyperlink ref="H401" r:id="rId400" display="Open"/>
    <hyperlink ref="H402" r:id="rId401" display="Open"/>
    <hyperlink ref="H403" r:id="rId402" display="Open"/>
    <hyperlink ref="H404" r:id="rId403" display="Open"/>
    <hyperlink ref="H405" r:id="rId404" display="Open"/>
    <hyperlink ref="H406" r:id="rId405" display="Open"/>
    <hyperlink ref="H407" r:id="rId406" display="Open"/>
    <hyperlink ref="H408" r:id="rId407" display="Open"/>
    <hyperlink ref="H409" r:id="rId408" display="Open"/>
    <hyperlink ref="H410" r:id="rId409" display="Open"/>
    <hyperlink ref="H411" r:id="rId410" display="Open"/>
    <hyperlink ref="H412" r:id="rId411" display="Open"/>
    <hyperlink ref="H413" r:id="rId412" display="Open"/>
    <hyperlink ref="H414" r:id="rId413" display="Open"/>
    <hyperlink ref="H415" r:id="rId414" display="Open"/>
    <hyperlink ref="H416" r:id="rId415" display="Open"/>
    <hyperlink ref="H417" r:id="rId416" display="Open"/>
    <hyperlink ref="H418" r:id="rId417" display="Open"/>
    <hyperlink ref="H419" r:id="rId418" display="Open"/>
    <hyperlink ref="H420" r:id="rId419" display="Open"/>
    <hyperlink ref="H421" r:id="rId420" display="Open"/>
    <hyperlink ref="H422" r:id="rId421" display="Open"/>
    <hyperlink ref="H423" r:id="rId422" display="Open"/>
    <hyperlink ref="H424" r:id="rId423" display="Open"/>
    <hyperlink ref="H425" r:id="rId424" display="Open"/>
    <hyperlink ref="H426" r:id="rId425" display="Open"/>
    <hyperlink ref="H427" r:id="rId426" display="Open"/>
    <hyperlink ref="H428" r:id="rId427" display="Open"/>
    <hyperlink ref="H429" r:id="rId428" display="Open"/>
    <hyperlink ref="H430" r:id="rId429" display="Open"/>
    <hyperlink ref="H431" r:id="rId430" display="Open"/>
    <hyperlink ref="H432" r:id="rId431" display="Open"/>
    <hyperlink ref="H433" r:id="rId432" display="Open"/>
    <hyperlink ref="H434" r:id="rId433" display="Open"/>
    <hyperlink ref="H435" r:id="rId434" display="Open"/>
    <hyperlink ref="H436" r:id="rId435" display="Open"/>
    <hyperlink ref="H437" r:id="rId436" display="Open"/>
    <hyperlink ref="H438" r:id="rId437" display="Open"/>
    <hyperlink ref="H439" r:id="rId438" display="Open"/>
    <hyperlink ref="H440" r:id="rId439" display="Open"/>
    <hyperlink ref="H441" r:id="rId440" display="Open"/>
    <hyperlink ref="H442" r:id="rId441" display="Open"/>
    <hyperlink ref="H443" r:id="rId442" display="Open"/>
    <hyperlink ref="H444" r:id="rId443" display="Open"/>
    <hyperlink ref="H445" r:id="rId444" display="Open"/>
    <hyperlink ref="H446" r:id="rId445" display="Open"/>
    <hyperlink ref="H447" r:id="rId446" display="Open"/>
    <hyperlink ref="H448" r:id="rId447" display="Open"/>
    <hyperlink ref="H449" r:id="rId448" display="Open"/>
    <hyperlink ref="H450" r:id="rId449" display="Open"/>
    <hyperlink ref="H451" r:id="rId450" display="Open"/>
    <hyperlink ref="H452" r:id="rId451" display="Open"/>
    <hyperlink ref="H453" r:id="rId452" display="Open"/>
    <hyperlink ref="H454" r:id="rId453" display="Open"/>
    <hyperlink ref="H455" r:id="rId454" display="Open"/>
    <hyperlink ref="H456" r:id="rId455" display="Open"/>
    <hyperlink ref="H457" r:id="rId456" display="Open"/>
    <hyperlink ref="H458" r:id="rId457" display="Open"/>
    <hyperlink ref="H459" r:id="rId458" display="Open"/>
    <hyperlink ref="H460" r:id="rId459" display="Open"/>
    <hyperlink ref="H461" r:id="rId460" display="Open"/>
    <hyperlink ref="H462" r:id="rId461" display="Open"/>
    <hyperlink ref="H463" r:id="rId462" display="Open"/>
    <hyperlink ref="H464" r:id="rId463" display="Open"/>
    <hyperlink ref="H465" r:id="rId464" display="Open"/>
    <hyperlink ref="H466" r:id="rId465" display="Open"/>
    <hyperlink ref="H467" r:id="rId466" display="Open"/>
    <hyperlink ref="H468" r:id="rId467" display="Open"/>
    <hyperlink ref="H469" r:id="rId468" display="Open"/>
    <hyperlink ref="H470" r:id="rId469" display="Open"/>
    <hyperlink ref="H471" r:id="rId470" display="Open"/>
    <hyperlink ref="H472" r:id="rId471" display="Open"/>
    <hyperlink ref="H473" r:id="rId472" display="Open"/>
    <hyperlink ref="H474" r:id="rId473" display="Open"/>
    <hyperlink ref="H475" r:id="rId474" display="Open"/>
    <hyperlink ref="H476" r:id="rId475" display="Open"/>
    <hyperlink ref="H477" r:id="rId476" display="Open"/>
    <hyperlink ref="H478" r:id="rId477" display="Open"/>
    <hyperlink ref="H479" r:id="rId478" display="Open"/>
    <hyperlink ref="H480" r:id="rId479" display="Open"/>
    <hyperlink ref="H481" r:id="rId480" display="Open"/>
    <hyperlink ref="H482" r:id="rId481" display="Open"/>
    <hyperlink ref="H483" r:id="rId482" display="Open"/>
    <hyperlink ref="H484" r:id="rId483" display="Open"/>
    <hyperlink ref="H485" r:id="rId484" display="Open"/>
    <hyperlink ref="H486" r:id="rId485" display="Open"/>
    <hyperlink ref="H487" r:id="rId486" display="Open"/>
    <hyperlink ref="H488" r:id="rId487" display="Open"/>
    <hyperlink ref="H489" r:id="rId488" display="Open"/>
    <hyperlink ref="H490" r:id="rId489" display="Open"/>
    <hyperlink ref="H491" r:id="rId490" display="Open"/>
    <hyperlink ref="H492" r:id="rId491" display="Open"/>
    <hyperlink ref="H493" r:id="rId492" display="Open"/>
    <hyperlink ref="H494" r:id="rId493" display="Open"/>
    <hyperlink ref="H495" r:id="rId494" display="Open"/>
    <hyperlink ref="H496" r:id="rId495" display="Open"/>
    <hyperlink ref="H497" r:id="rId496" display="Open"/>
    <hyperlink ref="H498" r:id="rId497" display="Open"/>
    <hyperlink ref="H499" r:id="rId498" display="Open"/>
    <hyperlink ref="H500" r:id="rId499" display="Open"/>
    <hyperlink ref="H501" r:id="rId500" display="Open"/>
    <hyperlink ref="H502" r:id="rId501" display="Open"/>
    <hyperlink ref="H503" r:id="rId502" display="Open"/>
    <hyperlink ref="H504" r:id="rId503" display="Open"/>
    <hyperlink ref="H505" r:id="rId504" display="Open"/>
    <hyperlink ref="H506" r:id="rId505" display="Open"/>
    <hyperlink ref="H507" r:id="rId506" display="Open"/>
    <hyperlink ref="H508" r:id="rId507" display="Open"/>
    <hyperlink ref="H509" r:id="rId508" display="Open"/>
    <hyperlink ref="H510" r:id="rId509" display="Open"/>
    <hyperlink ref="H511" r:id="rId510" display="Open"/>
    <hyperlink ref="H512" r:id="rId511" display="Open"/>
    <hyperlink ref="H513" r:id="rId512" display="Open"/>
    <hyperlink ref="H514" r:id="rId513" display="Open"/>
    <hyperlink ref="H515" r:id="rId514" display="Open"/>
    <hyperlink ref="H516" r:id="rId515" display="Open"/>
    <hyperlink ref="H517" r:id="rId516" display="Open"/>
    <hyperlink ref="H518" r:id="rId517" display="Open"/>
    <hyperlink ref="H519" r:id="rId518" display="Open"/>
    <hyperlink ref="H520" r:id="rId519" display="Open"/>
    <hyperlink ref="H521" r:id="rId520" display="Open"/>
    <hyperlink ref="H522" r:id="rId521" display="Open"/>
    <hyperlink ref="H523" r:id="rId522" display="Open"/>
    <hyperlink ref="H524" r:id="rId523" display="Open"/>
    <hyperlink ref="H525" r:id="rId524" display="Open"/>
    <hyperlink ref="H526" r:id="rId525" display="Open"/>
    <hyperlink ref="H527" r:id="rId526" display="Open"/>
    <hyperlink ref="H528" r:id="rId527" display="Open"/>
    <hyperlink ref="H529" r:id="rId528" display="Open"/>
    <hyperlink ref="H530" r:id="rId529" display="Open"/>
    <hyperlink ref="H531" r:id="rId530" display="Open"/>
    <hyperlink ref="H532" r:id="rId531" display="Open"/>
    <hyperlink ref="H533" r:id="rId532" display="Open"/>
    <hyperlink ref="H534" r:id="rId533" display="Open"/>
    <hyperlink ref="H535" r:id="rId534" display="Open"/>
    <hyperlink ref="H536" r:id="rId535" display="Open"/>
    <hyperlink ref="H537" r:id="rId536" display="Open"/>
    <hyperlink ref="H538" r:id="rId537" display="Open"/>
    <hyperlink ref="H539" r:id="rId538" display="Open"/>
    <hyperlink ref="H540" r:id="rId539" display="Open"/>
    <hyperlink ref="H541" r:id="rId540" display="Open"/>
    <hyperlink ref="H542" r:id="rId541" display="Open"/>
    <hyperlink ref="H543" r:id="rId542" display="Open"/>
    <hyperlink ref="H544" r:id="rId543" display="Open"/>
    <hyperlink ref="H545" r:id="rId544" display="Open"/>
    <hyperlink ref="H546" r:id="rId545" display="Open"/>
    <hyperlink ref="H547" r:id="rId546" display="Open"/>
    <hyperlink ref="H548" r:id="rId547" display="Open"/>
    <hyperlink ref="H549" r:id="rId548" display="Open"/>
    <hyperlink ref="H550" r:id="rId549" display="Open"/>
    <hyperlink ref="H551" r:id="rId550" display="Open"/>
    <hyperlink ref="H552" r:id="rId551" display="Open"/>
    <hyperlink ref="H553" r:id="rId552" display="Open"/>
    <hyperlink ref="H554" r:id="rId553" display="Open"/>
    <hyperlink ref="H555" r:id="rId554" display="Open"/>
    <hyperlink ref="H556" r:id="rId555" display="Open"/>
    <hyperlink ref="H557" r:id="rId556" display="Open"/>
    <hyperlink ref="H558" r:id="rId557" display="Open"/>
    <hyperlink ref="H559" r:id="rId558" display="Open"/>
    <hyperlink ref="H560" r:id="rId559" display="Open"/>
    <hyperlink ref="H561" r:id="rId560" display="Open"/>
    <hyperlink ref="H562" r:id="rId561" display="Open"/>
    <hyperlink ref="H563" r:id="rId562" display="Open"/>
    <hyperlink ref="H564" r:id="rId563" display="Open"/>
    <hyperlink ref="H565" r:id="rId564" display="Open"/>
    <hyperlink ref="H566" r:id="rId565" display="Open"/>
    <hyperlink ref="H567" r:id="rId566" display="Open"/>
    <hyperlink ref="H568" r:id="rId567" display="Open"/>
    <hyperlink ref="H569" r:id="rId568" display="Open"/>
    <hyperlink ref="H570" r:id="rId569" display="Open"/>
    <hyperlink ref="H571" r:id="rId570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0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4"/>
    <col collapsed="false" customWidth="true" hidden="false" outlineLevel="0" max="12" min="12" style="1" width="12"/>
    <col collapsed="false" customWidth="true" hidden="false" outlineLevel="0" max="13" min="13" style="1" width="8"/>
  </cols>
  <sheetData>
    <row r="2" customFormat="false" ht="19.5" hidden="false" customHeight="true" outlineLevel="0" collapsed="false">
      <c r="B2" s="2" t="s">
        <v>839</v>
      </c>
    </row>
    <row r="3" customFormat="false" ht="15" hidden="false" customHeight="true" outlineLevel="0" collapsed="false">
      <c r="B3" s="3" t="s">
        <v>840</v>
      </c>
      <c r="L3" s="18" t="s">
        <v>841</v>
      </c>
    </row>
    <row r="4" customFormat="false" ht="15" hidden="false" customHeight="true" outlineLevel="0" collapsed="false">
      <c r="L4" s="23" t="s">
        <v>85</v>
      </c>
      <c r="M4" s="23" t="s">
        <v>54</v>
      </c>
    </row>
    <row r="5" customFormat="false" ht="15" hidden="false" customHeight="true" outlineLevel="0" collapsed="false">
      <c r="B5" s="18" t="s">
        <v>842</v>
      </c>
      <c r="C5" s="24" t="n">
        <f aca="false">COUNTIFS(Master!$F$2:$F$571,"Core",Master!$I$2:$I$571,"Solved")+COUNTIFS(Master!$F$2:$F$571,"Core",Master!$I$2:$I$571,"Mastered")</f>
        <v>0</v>
      </c>
      <c r="D5" s="25" t="n">
        <f aca="false">COUNTIF(Master!$F$2:$F$571,"Core")</f>
        <v>295</v>
      </c>
      <c r="E5" s="17" t="n">
        <f aca="false">IFERROR($C5/$D5,0)</f>
        <v>0</v>
      </c>
      <c r="L5" s="11" t="n">
        <v>1</v>
      </c>
      <c r="M5" s="26" t="n">
        <v>2</v>
      </c>
    </row>
    <row r="6" customFormat="false" ht="15" hidden="false" customHeight="true" outlineLevel="0" collapsed="false">
      <c r="B6" s="6" t="s">
        <v>843</v>
      </c>
      <c r="C6" s="24" t="n">
        <f aca="false">COUNTIF(Master!$I$2:$I$571,"Solved")+COUNTIF(Master!$I$2:$I$571,"Mastered")</f>
        <v>0</v>
      </c>
      <c r="D6" s="25" t="n">
        <f aca="false">COUNTA(Master!$A$2:$A$571)</f>
        <v>570</v>
      </c>
      <c r="E6" s="17" t="n">
        <f aca="false">IFERROR($C6/$D6,0)</f>
        <v>0</v>
      </c>
      <c r="L6" s="11" t="n">
        <v>2</v>
      </c>
      <c r="M6" s="26" t="n">
        <v>4</v>
      </c>
    </row>
    <row r="7" customFormat="false" ht="15" hidden="false" customHeight="true" outlineLevel="0" collapsed="false">
      <c r="B7" s="6" t="s">
        <v>844</v>
      </c>
      <c r="C7" s="24" t="n">
        <f aca="false">COUNTIF(Master!$N$2:$N$571,"DUE")</f>
        <v>0</v>
      </c>
      <c r="L7" s="11" t="n">
        <v>3</v>
      </c>
      <c r="M7" s="26" t="n">
        <v>7</v>
      </c>
    </row>
    <row r="8" customFormat="false" ht="15" hidden="false" customHeight="true" outlineLevel="0" collapsed="false">
      <c r="L8" s="11" t="n">
        <v>4</v>
      </c>
      <c r="M8" s="26" t="n">
        <v>21</v>
      </c>
    </row>
    <row r="9" customFormat="false" ht="15" hidden="false" customHeight="true" outlineLevel="0" collapsed="false">
      <c r="B9" s="10" t="s">
        <v>77</v>
      </c>
      <c r="C9" s="10" t="s">
        <v>845</v>
      </c>
      <c r="D9" s="10" t="s">
        <v>95</v>
      </c>
      <c r="E9" s="10" t="s">
        <v>56</v>
      </c>
      <c r="F9" s="10" t="s">
        <v>846</v>
      </c>
      <c r="G9" s="10" t="s">
        <v>847</v>
      </c>
      <c r="H9" s="10" t="s">
        <v>848</v>
      </c>
      <c r="I9" s="10" t="s">
        <v>849</v>
      </c>
      <c r="L9" s="11" t="n">
        <v>5</v>
      </c>
      <c r="M9" s="26" t="n">
        <v>45</v>
      </c>
    </row>
    <row r="10" customFormat="false" ht="15" hidden="false" customHeight="true" outlineLevel="0" collapsed="false">
      <c r="B10" s="11" t="s">
        <v>91</v>
      </c>
      <c r="C10" s="12" t="n">
        <f aca="false">COUNTIF(Master!$B$2:$B$571,$B10)</f>
        <v>15</v>
      </c>
      <c r="D10" s="12" t="n">
        <f aca="false">COUNTIFS(Master!$B$2:$B$571,$B10,Master!$F$2:$F$571,"Core")</f>
        <v>15</v>
      </c>
      <c r="E10" s="12" t="n">
        <f aca="false">COUNTIFS(Master!$B$2:$B$571,$B10,Master!$I$2:$I$571,"Solved")+COUNTIFS(Master!$B$2:$B$571,$B10,Master!$I$2:$I$571,"Mastered")</f>
        <v>0</v>
      </c>
      <c r="F10" s="12" t="n">
        <f aca="false">COUNTIFS(Master!$B$2:$B$571,$B10,Master!$F$2:$F$571,"Core",Master!$I$2:$I$571,"Solved")+COUNTIFS(Master!$B$2:$B$571,$B10,Master!$F$2:$F$571,"Core",Master!$I$2:$I$571,"Mastered")</f>
        <v>0</v>
      </c>
      <c r="G10" s="12" t="n">
        <f aca="false">COUNTIFS(Master!$B$2:$B$571,$B10,Master!$I$2:$I$571,"Attempted")+COUNTIFS(Master!$B$2:$B$571,$B10,Master!$I$2:$I$571,"Revisit")</f>
        <v>0</v>
      </c>
      <c r="H10" s="27" t="str">
        <f aca="false">IFERROR(AVERAGEIFS(Master!$J$2:$J$571,Master!$B$2:$B$571,$B10),"")</f>
        <v/>
      </c>
      <c r="I10" s="14" t="n">
        <f aca="false">IFERROR($F10/$C10,0)</f>
        <v>0</v>
      </c>
      <c r="L10" s="8" t="s">
        <v>850</v>
      </c>
    </row>
    <row r="11" customFormat="false" ht="15" hidden="false" customHeight="true" outlineLevel="0" collapsed="false">
      <c r="B11" s="11" t="s">
        <v>116</v>
      </c>
      <c r="C11" s="12" t="n">
        <f aca="false">COUNTIF(Master!$B$2:$B$571,$B11)</f>
        <v>28</v>
      </c>
      <c r="D11" s="12" t="n">
        <f aca="false">COUNTIFS(Master!$B$2:$B$571,$B11,Master!$F$2:$F$571,"Core")</f>
        <v>11</v>
      </c>
      <c r="E11" s="12" t="n">
        <f aca="false">COUNTIFS(Master!$B$2:$B$571,$B11,Master!$I$2:$I$571,"Solved")+COUNTIFS(Master!$B$2:$B$571,$B11,Master!$I$2:$I$571,"Mastered")</f>
        <v>0</v>
      </c>
      <c r="F11" s="12" t="n">
        <f aca="false">COUNTIFS(Master!$B$2:$B$571,$B11,Master!$F$2:$F$571,"Core",Master!$I$2:$I$571,"Solved")+COUNTIFS(Master!$B$2:$B$571,$B11,Master!$F$2:$F$571,"Core",Master!$I$2:$I$571,"Mastered")</f>
        <v>0</v>
      </c>
      <c r="G11" s="12" t="n">
        <f aca="false">COUNTIFS(Master!$B$2:$B$571,$B11,Master!$I$2:$I$571,"Attempted")+COUNTIFS(Master!$B$2:$B$571,$B11,Master!$I$2:$I$571,"Revisit")</f>
        <v>0</v>
      </c>
      <c r="H11" s="27" t="str">
        <f aca="false">IFERROR(AVERAGEIFS(Master!$J$2:$J$571,Master!$B$2:$B$571,$B11),"")</f>
        <v/>
      </c>
      <c r="I11" s="14" t="n">
        <f aca="false">IFERROR($F11/$C11,0)</f>
        <v>0</v>
      </c>
    </row>
    <row r="12" customFormat="false" ht="15" hidden="false" customHeight="true" outlineLevel="0" collapsed="false">
      <c r="B12" s="11" t="s">
        <v>154</v>
      </c>
      <c r="C12" s="12" t="n">
        <f aca="false">COUNTIF(Master!$B$2:$B$571,$B12)</f>
        <v>20</v>
      </c>
      <c r="D12" s="12" t="n">
        <f aca="false">COUNTIFS(Master!$B$2:$B$571,$B12,Master!$F$2:$F$571,"Core")</f>
        <v>11</v>
      </c>
      <c r="E12" s="12" t="n">
        <f aca="false">COUNTIFS(Master!$B$2:$B$571,$B12,Master!$I$2:$I$571,"Solved")+COUNTIFS(Master!$B$2:$B$571,$B12,Master!$I$2:$I$571,"Mastered")</f>
        <v>0</v>
      </c>
      <c r="F12" s="12" t="n">
        <f aca="false">COUNTIFS(Master!$B$2:$B$571,$B12,Master!$F$2:$F$571,"Core",Master!$I$2:$I$571,"Solved")+COUNTIFS(Master!$B$2:$B$571,$B12,Master!$F$2:$F$571,"Core",Master!$I$2:$I$571,"Mastered")</f>
        <v>0</v>
      </c>
      <c r="G12" s="12" t="n">
        <f aca="false">COUNTIFS(Master!$B$2:$B$571,$B12,Master!$I$2:$I$571,"Attempted")+COUNTIFS(Master!$B$2:$B$571,$B12,Master!$I$2:$I$571,"Revisit")</f>
        <v>0</v>
      </c>
      <c r="H12" s="27" t="str">
        <f aca="false">IFERROR(AVERAGEIFS(Master!$J$2:$J$571,Master!$B$2:$B$571,$B12),"")</f>
        <v/>
      </c>
      <c r="I12" s="14" t="n">
        <f aca="false">IFERROR($F12/$C12,0)</f>
        <v>0</v>
      </c>
    </row>
    <row r="13" customFormat="false" ht="15" hidden="false" customHeight="true" outlineLevel="0" collapsed="false">
      <c r="B13" s="11" t="s">
        <v>181</v>
      </c>
      <c r="C13" s="12" t="n">
        <f aca="false">COUNTIF(Master!$B$2:$B$571,$B13)</f>
        <v>20</v>
      </c>
      <c r="D13" s="12" t="n">
        <f aca="false">COUNTIFS(Master!$B$2:$B$571,$B13,Master!$F$2:$F$571,"Core")</f>
        <v>10</v>
      </c>
      <c r="E13" s="12" t="n">
        <f aca="false">COUNTIFS(Master!$B$2:$B$571,$B13,Master!$I$2:$I$571,"Solved")+COUNTIFS(Master!$B$2:$B$571,$B13,Master!$I$2:$I$571,"Mastered")</f>
        <v>0</v>
      </c>
      <c r="F13" s="12" t="n">
        <f aca="false">COUNTIFS(Master!$B$2:$B$571,$B13,Master!$F$2:$F$571,"Core",Master!$I$2:$I$571,"Solved")+COUNTIFS(Master!$B$2:$B$571,$B13,Master!$F$2:$F$571,"Core",Master!$I$2:$I$571,"Mastered")</f>
        <v>0</v>
      </c>
      <c r="G13" s="12" t="n">
        <f aca="false">COUNTIFS(Master!$B$2:$B$571,$B13,Master!$I$2:$I$571,"Attempted")+COUNTIFS(Master!$B$2:$B$571,$B13,Master!$I$2:$I$571,"Revisit")</f>
        <v>0</v>
      </c>
      <c r="H13" s="27" t="str">
        <f aca="false">IFERROR(AVERAGEIFS(Master!$J$2:$J$571,Master!$B$2:$B$571,$B13),"")</f>
        <v/>
      </c>
      <c r="I13" s="14" t="n">
        <f aca="false">IFERROR($F13/$C13,0)</f>
        <v>0</v>
      </c>
    </row>
    <row r="14" customFormat="false" ht="15" hidden="false" customHeight="true" outlineLevel="0" collapsed="false">
      <c r="B14" s="11" t="s">
        <v>208</v>
      </c>
      <c r="C14" s="12" t="n">
        <f aca="false">COUNTIF(Master!$B$2:$B$571,$B14)</f>
        <v>14</v>
      </c>
      <c r="D14" s="12" t="n">
        <f aca="false">COUNTIFS(Master!$B$2:$B$571,$B14,Master!$F$2:$F$571,"Core")</f>
        <v>7</v>
      </c>
      <c r="E14" s="12" t="n">
        <f aca="false">COUNTIFS(Master!$B$2:$B$571,$B14,Master!$I$2:$I$571,"Solved")+COUNTIFS(Master!$B$2:$B$571,$B14,Master!$I$2:$I$571,"Mastered")</f>
        <v>0</v>
      </c>
      <c r="F14" s="12" t="n">
        <f aca="false">COUNTIFS(Master!$B$2:$B$571,$B14,Master!$F$2:$F$571,"Core",Master!$I$2:$I$571,"Solved")+COUNTIFS(Master!$B$2:$B$571,$B14,Master!$F$2:$F$571,"Core",Master!$I$2:$I$571,"Mastered")</f>
        <v>0</v>
      </c>
      <c r="G14" s="12" t="n">
        <f aca="false">COUNTIFS(Master!$B$2:$B$571,$B14,Master!$I$2:$I$571,"Attempted")+COUNTIFS(Master!$B$2:$B$571,$B14,Master!$I$2:$I$571,"Revisit")</f>
        <v>0</v>
      </c>
      <c r="H14" s="27" t="str">
        <f aca="false">IFERROR(AVERAGEIFS(Master!$J$2:$J$571,Master!$B$2:$B$571,$B14),"")</f>
        <v/>
      </c>
      <c r="I14" s="14" t="n">
        <f aca="false">IFERROR($F14/$C14,0)</f>
        <v>0</v>
      </c>
    </row>
    <row r="15" customFormat="false" ht="15" hidden="false" customHeight="true" outlineLevel="0" collapsed="false">
      <c r="B15" s="11" t="s">
        <v>227</v>
      </c>
      <c r="C15" s="12" t="n">
        <f aca="false">COUNTIF(Master!$B$2:$B$571,$B15)</f>
        <v>38</v>
      </c>
      <c r="D15" s="12" t="n">
        <f aca="false">COUNTIFS(Master!$B$2:$B$571,$B15,Master!$F$2:$F$571,"Core")</f>
        <v>17</v>
      </c>
      <c r="E15" s="12" t="n">
        <f aca="false">COUNTIFS(Master!$B$2:$B$571,$B15,Master!$I$2:$I$571,"Solved")+COUNTIFS(Master!$B$2:$B$571,$B15,Master!$I$2:$I$571,"Mastered")</f>
        <v>0</v>
      </c>
      <c r="F15" s="12" t="n">
        <f aca="false">COUNTIFS(Master!$B$2:$B$571,$B15,Master!$F$2:$F$571,"Core",Master!$I$2:$I$571,"Solved")+COUNTIFS(Master!$B$2:$B$571,$B15,Master!$F$2:$F$571,"Core",Master!$I$2:$I$571,"Mastered")</f>
        <v>0</v>
      </c>
      <c r="G15" s="12" t="n">
        <f aca="false">COUNTIFS(Master!$B$2:$B$571,$B15,Master!$I$2:$I$571,"Attempted")+COUNTIFS(Master!$B$2:$B$571,$B15,Master!$I$2:$I$571,"Revisit")</f>
        <v>0</v>
      </c>
      <c r="H15" s="27" t="str">
        <f aca="false">IFERROR(AVERAGEIFS(Master!$J$2:$J$571,Master!$B$2:$B$571,$B15),"")</f>
        <v/>
      </c>
      <c r="I15" s="14" t="n">
        <f aca="false">IFERROR($F15/$C15,0)</f>
        <v>0</v>
      </c>
    </row>
    <row r="16" customFormat="false" ht="15" hidden="false" customHeight="true" outlineLevel="0" collapsed="false">
      <c r="B16" s="11" t="s">
        <v>276</v>
      </c>
      <c r="C16" s="12" t="n">
        <f aca="false">COUNTIF(Master!$B$2:$B$571,$B16)</f>
        <v>27</v>
      </c>
      <c r="D16" s="12" t="n">
        <f aca="false">COUNTIFS(Master!$B$2:$B$571,$B16,Master!$F$2:$F$571,"Core")</f>
        <v>14</v>
      </c>
      <c r="E16" s="12" t="n">
        <f aca="false">COUNTIFS(Master!$B$2:$B$571,$B16,Master!$I$2:$I$571,"Solved")+COUNTIFS(Master!$B$2:$B$571,$B16,Master!$I$2:$I$571,"Mastered")</f>
        <v>0</v>
      </c>
      <c r="F16" s="12" t="n">
        <f aca="false">COUNTIFS(Master!$B$2:$B$571,$B16,Master!$F$2:$F$571,"Core",Master!$I$2:$I$571,"Solved")+COUNTIFS(Master!$B$2:$B$571,$B16,Master!$F$2:$F$571,"Core",Master!$I$2:$I$571,"Mastered")</f>
        <v>0</v>
      </c>
      <c r="G16" s="12" t="n">
        <f aca="false">COUNTIFS(Master!$B$2:$B$571,$B16,Master!$I$2:$I$571,"Attempted")+COUNTIFS(Master!$B$2:$B$571,$B16,Master!$I$2:$I$571,"Revisit")</f>
        <v>0</v>
      </c>
      <c r="H16" s="27" t="str">
        <f aca="false">IFERROR(AVERAGEIFS(Master!$J$2:$J$571,Master!$B$2:$B$571,$B16),"")</f>
        <v/>
      </c>
      <c r="I16" s="14" t="n">
        <f aca="false">IFERROR($F16/$C16,0)</f>
        <v>0</v>
      </c>
    </row>
    <row r="17" customFormat="false" ht="15" hidden="false" customHeight="true" outlineLevel="0" collapsed="false">
      <c r="B17" s="11" t="s">
        <v>310</v>
      </c>
      <c r="C17" s="12" t="n">
        <f aca="false">COUNTIF(Master!$B$2:$B$571,$B17)</f>
        <v>16</v>
      </c>
      <c r="D17" s="12" t="n">
        <f aca="false">COUNTIFS(Master!$B$2:$B$571,$B17,Master!$F$2:$F$571,"Core")</f>
        <v>10</v>
      </c>
      <c r="E17" s="12" t="n">
        <f aca="false">COUNTIFS(Master!$B$2:$B$571,$B17,Master!$I$2:$I$571,"Solved")+COUNTIFS(Master!$B$2:$B$571,$B17,Master!$I$2:$I$571,"Mastered")</f>
        <v>0</v>
      </c>
      <c r="F17" s="12" t="n">
        <f aca="false">COUNTIFS(Master!$B$2:$B$571,$B17,Master!$F$2:$F$571,"Core",Master!$I$2:$I$571,"Solved")+COUNTIFS(Master!$B$2:$B$571,$B17,Master!$F$2:$F$571,"Core",Master!$I$2:$I$571,"Mastered")</f>
        <v>0</v>
      </c>
      <c r="G17" s="12" t="n">
        <f aca="false">COUNTIFS(Master!$B$2:$B$571,$B17,Master!$I$2:$I$571,"Attempted")+COUNTIFS(Master!$B$2:$B$571,$B17,Master!$I$2:$I$571,"Revisit")</f>
        <v>0</v>
      </c>
      <c r="H17" s="27" t="str">
        <f aca="false">IFERROR(AVERAGEIFS(Master!$J$2:$J$571,Master!$B$2:$B$571,$B17),"")</f>
        <v/>
      </c>
      <c r="I17" s="14" t="n">
        <f aca="false">IFERROR($F17/$C17,0)</f>
        <v>0</v>
      </c>
    </row>
    <row r="18" customFormat="false" ht="15" hidden="false" customHeight="true" outlineLevel="0" collapsed="false">
      <c r="B18" s="11" t="s">
        <v>334</v>
      </c>
      <c r="C18" s="12" t="n">
        <f aca="false">COUNTIF(Master!$B$2:$B$571,$B18)</f>
        <v>11</v>
      </c>
      <c r="D18" s="12" t="n">
        <f aca="false">COUNTIFS(Master!$B$2:$B$571,$B18,Master!$F$2:$F$571,"Core")</f>
        <v>7</v>
      </c>
      <c r="E18" s="12" t="n">
        <f aca="false">COUNTIFS(Master!$B$2:$B$571,$B18,Master!$I$2:$I$571,"Solved")+COUNTIFS(Master!$B$2:$B$571,$B18,Master!$I$2:$I$571,"Mastered")</f>
        <v>0</v>
      </c>
      <c r="F18" s="12" t="n">
        <f aca="false">COUNTIFS(Master!$B$2:$B$571,$B18,Master!$F$2:$F$571,"Core",Master!$I$2:$I$571,"Solved")+COUNTIFS(Master!$B$2:$B$571,$B18,Master!$F$2:$F$571,"Core",Master!$I$2:$I$571,"Mastered")</f>
        <v>0</v>
      </c>
      <c r="G18" s="12" t="n">
        <f aca="false">COUNTIFS(Master!$B$2:$B$571,$B18,Master!$I$2:$I$571,"Attempted")+COUNTIFS(Master!$B$2:$B$571,$B18,Master!$I$2:$I$571,"Revisit")</f>
        <v>0</v>
      </c>
      <c r="H18" s="27" t="str">
        <f aca="false">IFERROR(AVERAGEIFS(Master!$J$2:$J$571,Master!$B$2:$B$571,$B18),"")</f>
        <v/>
      </c>
      <c r="I18" s="14" t="n">
        <f aca="false">IFERROR($F18/$C18,0)</f>
        <v>0</v>
      </c>
    </row>
    <row r="19" customFormat="false" ht="15" hidden="false" customHeight="true" outlineLevel="0" collapsed="false">
      <c r="B19" s="11" t="s">
        <v>350</v>
      </c>
      <c r="C19" s="12" t="n">
        <f aca="false">COUNTIF(Master!$B$2:$B$571,$B19)</f>
        <v>30</v>
      </c>
      <c r="D19" s="12" t="n">
        <f aca="false">COUNTIFS(Master!$B$2:$B$571,$B19,Master!$F$2:$F$571,"Core")</f>
        <v>15</v>
      </c>
      <c r="E19" s="12" t="n">
        <f aca="false">COUNTIFS(Master!$B$2:$B$571,$B19,Master!$I$2:$I$571,"Solved")+COUNTIFS(Master!$B$2:$B$571,$B19,Master!$I$2:$I$571,"Mastered")</f>
        <v>0</v>
      </c>
      <c r="F19" s="12" t="n">
        <f aca="false">COUNTIFS(Master!$B$2:$B$571,$B19,Master!$F$2:$F$571,"Core",Master!$I$2:$I$571,"Solved")+COUNTIFS(Master!$B$2:$B$571,$B19,Master!$F$2:$F$571,"Core",Master!$I$2:$I$571,"Mastered")</f>
        <v>0</v>
      </c>
      <c r="G19" s="12" t="n">
        <f aca="false">COUNTIFS(Master!$B$2:$B$571,$B19,Master!$I$2:$I$571,"Attempted")+COUNTIFS(Master!$B$2:$B$571,$B19,Master!$I$2:$I$571,"Revisit")</f>
        <v>0</v>
      </c>
      <c r="H19" s="27" t="str">
        <f aca="false">IFERROR(AVERAGEIFS(Master!$J$2:$J$571,Master!$B$2:$B$571,$B19),"")</f>
        <v/>
      </c>
      <c r="I19" s="14" t="n">
        <f aca="false">IFERROR($F19/$C19,0)</f>
        <v>0</v>
      </c>
    </row>
    <row r="20" customFormat="false" ht="15" hidden="false" customHeight="true" outlineLevel="0" collapsed="false">
      <c r="B20" s="11" t="s">
        <v>388</v>
      </c>
      <c r="C20" s="12" t="n">
        <f aca="false">COUNTIF(Master!$B$2:$B$571,$B20)</f>
        <v>29</v>
      </c>
      <c r="D20" s="12" t="n">
        <f aca="false">COUNTIFS(Master!$B$2:$B$571,$B20,Master!$F$2:$F$571,"Core")</f>
        <v>10</v>
      </c>
      <c r="E20" s="12" t="n">
        <f aca="false">COUNTIFS(Master!$B$2:$B$571,$B20,Master!$I$2:$I$571,"Solved")+COUNTIFS(Master!$B$2:$B$571,$B20,Master!$I$2:$I$571,"Mastered")</f>
        <v>0</v>
      </c>
      <c r="F20" s="12" t="n">
        <f aca="false">COUNTIFS(Master!$B$2:$B$571,$B20,Master!$F$2:$F$571,"Core",Master!$I$2:$I$571,"Solved")+COUNTIFS(Master!$B$2:$B$571,$B20,Master!$F$2:$F$571,"Core",Master!$I$2:$I$571,"Mastered")</f>
        <v>0</v>
      </c>
      <c r="G20" s="12" t="n">
        <f aca="false">COUNTIFS(Master!$B$2:$B$571,$B20,Master!$I$2:$I$571,"Attempted")+COUNTIFS(Master!$B$2:$B$571,$B20,Master!$I$2:$I$571,"Revisit")</f>
        <v>0</v>
      </c>
      <c r="H20" s="27" t="str">
        <f aca="false">IFERROR(AVERAGEIFS(Master!$J$2:$J$571,Master!$B$2:$B$571,$B20),"")</f>
        <v/>
      </c>
      <c r="I20" s="14" t="n">
        <f aca="false">IFERROR($F20/$C20,0)</f>
        <v>0</v>
      </c>
    </row>
    <row r="21" customFormat="false" ht="15" hidden="false" customHeight="true" outlineLevel="0" collapsed="false">
      <c r="B21" s="11" t="s">
        <v>421</v>
      </c>
      <c r="C21" s="12" t="n">
        <f aca="false">COUNTIF(Master!$B$2:$B$571,$B21)</f>
        <v>25</v>
      </c>
      <c r="D21" s="12" t="n">
        <f aca="false">COUNTIFS(Master!$B$2:$B$571,$B21,Master!$F$2:$F$571,"Core")</f>
        <v>12</v>
      </c>
      <c r="E21" s="12" t="n">
        <f aca="false">COUNTIFS(Master!$B$2:$B$571,$B21,Master!$I$2:$I$571,"Solved")+COUNTIFS(Master!$B$2:$B$571,$B21,Master!$I$2:$I$571,"Mastered")</f>
        <v>0</v>
      </c>
      <c r="F21" s="12" t="n">
        <f aca="false">COUNTIFS(Master!$B$2:$B$571,$B21,Master!$F$2:$F$571,"Core",Master!$I$2:$I$571,"Solved")+COUNTIFS(Master!$B$2:$B$571,$B21,Master!$F$2:$F$571,"Core",Master!$I$2:$I$571,"Mastered")</f>
        <v>0</v>
      </c>
      <c r="G21" s="12" t="n">
        <f aca="false">COUNTIFS(Master!$B$2:$B$571,$B21,Master!$I$2:$I$571,"Attempted")+COUNTIFS(Master!$B$2:$B$571,$B21,Master!$I$2:$I$571,"Revisit")</f>
        <v>0</v>
      </c>
      <c r="H21" s="27" t="str">
        <f aca="false">IFERROR(AVERAGEIFS(Master!$J$2:$J$571,Master!$B$2:$B$571,$B21),"")</f>
        <v/>
      </c>
      <c r="I21" s="14" t="n">
        <f aca="false">IFERROR($F21/$C21,0)</f>
        <v>0</v>
      </c>
    </row>
    <row r="22" customFormat="false" ht="15" hidden="false" customHeight="true" outlineLevel="0" collapsed="false">
      <c r="B22" s="11" t="s">
        <v>452</v>
      </c>
      <c r="C22" s="12" t="n">
        <f aca="false">COUNTIF(Master!$B$2:$B$571,$B22)</f>
        <v>18</v>
      </c>
      <c r="D22" s="12" t="n">
        <f aca="false">COUNTIFS(Master!$B$2:$B$571,$B22,Master!$F$2:$F$571,"Core")</f>
        <v>14</v>
      </c>
      <c r="E22" s="12" t="n">
        <f aca="false">COUNTIFS(Master!$B$2:$B$571,$B22,Master!$I$2:$I$571,"Solved")+COUNTIFS(Master!$B$2:$B$571,$B22,Master!$I$2:$I$571,"Mastered")</f>
        <v>0</v>
      </c>
      <c r="F22" s="12" t="n">
        <f aca="false">COUNTIFS(Master!$B$2:$B$571,$B22,Master!$F$2:$F$571,"Core",Master!$I$2:$I$571,"Solved")+COUNTIFS(Master!$B$2:$B$571,$B22,Master!$F$2:$F$571,"Core",Master!$I$2:$I$571,"Mastered")</f>
        <v>0</v>
      </c>
      <c r="G22" s="12" t="n">
        <f aca="false">COUNTIFS(Master!$B$2:$B$571,$B22,Master!$I$2:$I$571,"Attempted")+COUNTIFS(Master!$B$2:$B$571,$B22,Master!$I$2:$I$571,"Revisit")</f>
        <v>0</v>
      </c>
      <c r="H22" s="27" t="str">
        <f aca="false">IFERROR(AVERAGEIFS(Master!$J$2:$J$571,Master!$B$2:$B$571,$B22),"")</f>
        <v/>
      </c>
      <c r="I22" s="14" t="n">
        <f aca="false">IFERROR($F22/$C22,0)</f>
        <v>0</v>
      </c>
    </row>
    <row r="23" customFormat="false" ht="15" hidden="false" customHeight="true" outlineLevel="0" collapsed="false">
      <c r="B23" s="11" t="s">
        <v>480</v>
      </c>
      <c r="C23" s="12" t="n">
        <f aca="false">COUNTIF(Master!$B$2:$B$571,$B23)</f>
        <v>25</v>
      </c>
      <c r="D23" s="12" t="n">
        <f aca="false">COUNTIFS(Master!$B$2:$B$571,$B23,Master!$F$2:$F$571,"Core")</f>
        <v>17</v>
      </c>
      <c r="E23" s="12" t="n">
        <f aca="false">COUNTIFS(Master!$B$2:$B$571,$B23,Master!$I$2:$I$571,"Solved")+COUNTIFS(Master!$B$2:$B$571,$B23,Master!$I$2:$I$571,"Mastered")</f>
        <v>0</v>
      </c>
      <c r="F23" s="12" t="n">
        <f aca="false">COUNTIFS(Master!$B$2:$B$571,$B23,Master!$F$2:$F$571,"Core",Master!$I$2:$I$571,"Solved")+COUNTIFS(Master!$B$2:$B$571,$B23,Master!$F$2:$F$571,"Core",Master!$I$2:$I$571,"Mastered")</f>
        <v>0</v>
      </c>
      <c r="G23" s="12" t="n">
        <f aca="false">COUNTIFS(Master!$B$2:$B$571,$B23,Master!$I$2:$I$571,"Attempted")+COUNTIFS(Master!$B$2:$B$571,$B23,Master!$I$2:$I$571,"Revisit")</f>
        <v>0</v>
      </c>
      <c r="H23" s="27" t="str">
        <f aca="false">IFERROR(AVERAGEIFS(Master!$J$2:$J$571,Master!$B$2:$B$571,$B23),"")</f>
        <v/>
      </c>
      <c r="I23" s="14" t="n">
        <f aca="false">IFERROR($F23/$C23,0)</f>
        <v>0</v>
      </c>
    </row>
    <row r="24" customFormat="false" ht="15" hidden="false" customHeight="true" outlineLevel="0" collapsed="false">
      <c r="B24" s="11" t="s">
        <v>512</v>
      </c>
      <c r="C24" s="12" t="n">
        <f aca="false">COUNTIF(Master!$B$2:$B$571,$B24)</f>
        <v>52</v>
      </c>
      <c r="D24" s="12" t="n">
        <f aca="false">COUNTIFS(Master!$B$2:$B$571,$B24,Master!$F$2:$F$571,"Core")</f>
        <v>23</v>
      </c>
      <c r="E24" s="12" t="n">
        <f aca="false">COUNTIFS(Master!$B$2:$B$571,$B24,Master!$I$2:$I$571,"Solved")+COUNTIFS(Master!$B$2:$B$571,$B24,Master!$I$2:$I$571,"Mastered")</f>
        <v>0</v>
      </c>
      <c r="F24" s="12" t="n">
        <f aca="false">COUNTIFS(Master!$B$2:$B$571,$B24,Master!$F$2:$F$571,"Core",Master!$I$2:$I$571,"Solved")+COUNTIFS(Master!$B$2:$B$571,$B24,Master!$F$2:$F$571,"Core",Master!$I$2:$I$571,"Mastered")</f>
        <v>0</v>
      </c>
      <c r="G24" s="12" t="n">
        <f aca="false">COUNTIFS(Master!$B$2:$B$571,$B24,Master!$I$2:$I$571,"Attempted")+COUNTIFS(Master!$B$2:$B$571,$B24,Master!$I$2:$I$571,"Revisit")</f>
        <v>0</v>
      </c>
      <c r="H24" s="27" t="str">
        <f aca="false">IFERROR(AVERAGEIFS(Master!$J$2:$J$571,Master!$B$2:$B$571,$B24),"")</f>
        <v/>
      </c>
      <c r="I24" s="14" t="n">
        <f aca="false">IFERROR($F24/$C24,0)</f>
        <v>0</v>
      </c>
    </row>
    <row r="25" customFormat="false" ht="15" hidden="false" customHeight="true" outlineLevel="0" collapsed="false">
      <c r="B25" s="11" t="s">
        <v>575</v>
      </c>
      <c r="C25" s="12" t="n">
        <f aca="false">COUNTIF(Master!$B$2:$B$571,$B25)</f>
        <v>10</v>
      </c>
      <c r="D25" s="12" t="n">
        <f aca="false">COUNTIFS(Master!$B$2:$B$571,$B25,Master!$F$2:$F$571,"Core")</f>
        <v>7</v>
      </c>
      <c r="E25" s="12" t="n">
        <f aca="false">COUNTIFS(Master!$B$2:$B$571,$B25,Master!$I$2:$I$571,"Solved")+COUNTIFS(Master!$B$2:$B$571,$B25,Master!$I$2:$I$571,"Mastered")</f>
        <v>0</v>
      </c>
      <c r="F25" s="12" t="n">
        <f aca="false">COUNTIFS(Master!$B$2:$B$571,$B25,Master!$F$2:$F$571,"Core",Master!$I$2:$I$571,"Solved")+COUNTIFS(Master!$B$2:$B$571,$B25,Master!$F$2:$F$571,"Core",Master!$I$2:$I$571,"Mastered")</f>
        <v>0</v>
      </c>
      <c r="G25" s="12" t="n">
        <f aca="false">COUNTIFS(Master!$B$2:$B$571,$B25,Master!$I$2:$I$571,"Attempted")+COUNTIFS(Master!$B$2:$B$571,$B25,Master!$I$2:$I$571,"Revisit")</f>
        <v>0</v>
      </c>
      <c r="H25" s="27" t="str">
        <f aca="false">IFERROR(AVERAGEIFS(Master!$J$2:$J$571,Master!$B$2:$B$571,$B25),"")</f>
        <v/>
      </c>
      <c r="I25" s="14" t="n">
        <f aca="false">IFERROR($F25/$C25,0)</f>
        <v>0</v>
      </c>
    </row>
    <row r="26" customFormat="false" ht="15" hidden="false" customHeight="true" outlineLevel="0" collapsed="false">
      <c r="B26" s="11" t="s">
        <v>589</v>
      </c>
      <c r="C26" s="12" t="n">
        <f aca="false">COUNTIF(Master!$B$2:$B$571,$B26)</f>
        <v>56</v>
      </c>
      <c r="D26" s="12" t="n">
        <f aca="false">COUNTIFS(Master!$B$2:$B$571,$B26,Master!$F$2:$F$571,"Core")</f>
        <v>31</v>
      </c>
      <c r="E26" s="12" t="n">
        <f aca="false">COUNTIFS(Master!$B$2:$B$571,$B26,Master!$I$2:$I$571,"Solved")+COUNTIFS(Master!$B$2:$B$571,$B26,Master!$I$2:$I$571,"Mastered")</f>
        <v>0</v>
      </c>
      <c r="F26" s="12" t="n">
        <f aca="false">COUNTIFS(Master!$B$2:$B$571,$B26,Master!$F$2:$F$571,"Core",Master!$I$2:$I$571,"Solved")+COUNTIFS(Master!$B$2:$B$571,$B26,Master!$F$2:$F$571,"Core",Master!$I$2:$I$571,"Mastered")</f>
        <v>0</v>
      </c>
      <c r="G26" s="12" t="n">
        <f aca="false">COUNTIFS(Master!$B$2:$B$571,$B26,Master!$I$2:$I$571,"Attempted")+COUNTIFS(Master!$B$2:$B$571,$B26,Master!$I$2:$I$571,"Revisit")</f>
        <v>0</v>
      </c>
      <c r="H26" s="27" t="str">
        <f aca="false">IFERROR(AVERAGEIFS(Master!$J$2:$J$571,Master!$B$2:$B$571,$B26),"")</f>
        <v/>
      </c>
      <c r="I26" s="14" t="n">
        <f aca="false">IFERROR($F26/$C26,0)</f>
        <v>0</v>
      </c>
    </row>
    <row r="27" customFormat="false" ht="15" hidden="false" customHeight="true" outlineLevel="0" collapsed="false">
      <c r="B27" s="11" t="s">
        <v>662</v>
      </c>
      <c r="C27" s="12" t="n">
        <f aca="false">COUNTIF(Master!$B$2:$B$571,$B27)</f>
        <v>69</v>
      </c>
      <c r="D27" s="12" t="n">
        <f aca="false">COUNTIFS(Master!$B$2:$B$571,$B27,Master!$F$2:$F$571,"Core")</f>
        <v>26</v>
      </c>
      <c r="E27" s="12" t="n">
        <f aca="false">COUNTIFS(Master!$B$2:$B$571,$B27,Master!$I$2:$I$571,"Solved")+COUNTIFS(Master!$B$2:$B$571,$B27,Master!$I$2:$I$571,"Mastered")</f>
        <v>0</v>
      </c>
      <c r="F27" s="12" t="n">
        <f aca="false">COUNTIFS(Master!$B$2:$B$571,$B27,Master!$F$2:$F$571,"Core",Master!$I$2:$I$571,"Solved")+COUNTIFS(Master!$B$2:$B$571,$B27,Master!$F$2:$F$571,"Core",Master!$I$2:$I$571,"Mastered")</f>
        <v>0</v>
      </c>
      <c r="G27" s="12" t="n">
        <f aca="false">COUNTIFS(Master!$B$2:$B$571,$B27,Master!$I$2:$I$571,"Attempted")+COUNTIFS(Master!$B$2:$B$571,$B27,Master!$I$2:$I$571,"Revisit")</f>
        <v>0</v>
      </c>
      <c r="H27" s="27" t="str">
        <f aca="false">IFERROR(AVERAGEIFS(Master!$J$2:$J$571,Master!$B$2:$B$571,$B27),"")</f>
        <v/>
      </c>
      <c r="I27" s="14" t="n">
        <f aca="false">IFERROR($F27/$C27,0)</f>
        <v>0</v>
      </c>
    </row>
    <row r="28" customFormat="false" ht="15" hidden="false" customHeight="true" outlineLevel="0" collapsed="false">
      <c r="B28" s="11" t="s">
        <v>744</v>
      </c>
      <c r="C28" s="12" t="n">
        <f aca="false">COUNTIF(Master!$B$2:$B$571,$B28)</f>
        <v>20</v>
      </c>
      <c r="D28" s="12" t="n">
        <f aca="false">COUNTIFS(Master!$B$2:$B$571,$B28,Master!$F$2:$F$571,"Core")</f>
        <v>9</v>
      </c>
      <c r="E28" s="12" t="n">
        <f aca="false">COUNTIFS(Master!$B$2:$B$571,$B28,Master!$I$2:$I$571,"Solved")+COUNTIFS(Master!$B$2:$B$571,$B28,Master!$I$2:$I$571,"Mastered")</f>
        <v>0</v>
      </c>
      <c r="F28" s="12" t="n">
        <f aca="false">COUNTIFS(Master!$B$2:$B$571,$B28,Master!$F$2:$F$571,"Core",Master!$I$2:$I$571,"Solved")+COUNTIFS(Master!$B$2:$B$571,$B28,Master!$F$2:$F$571,"Core",Master!$I$2:$I$571,"Mastered")</f>
        <v>0</v>
      </c>
      <c r="G28" s="12" t="n">
        <f aca="false">COUNTIFS(Master!$B$2:$B$571,$B28,Master!$I$2:$I$571,"Attempted")+COUNTIFS(Master!$B$2:$B$571,$B28,Master!$I$2:$I$571,"Revisit")</f>
        <v>0</v>
      </c>
      <c r="H28" s="27" t="str">
        <f aca="false">IFERROR(AVERAGEIFS(Master!$J$2:$J$571,Master!$B$2:$B$571,$B28),"")</f>
        <v/>
      </c>
      <c r="I28" s="14" t="n">
        <f aca="false">IFERROR($F28/$C28,0)</f>
        <v>0</v>
      </c>
    </row>
    <row r="29" customFormat="false" ht="15" hidden="false" customHeight="true" outlineLevel="0" collapsed="false">
      <c r="B29" s="11" t="s">
        <v>768</v>
      </c>
      <c r="C29" s="12" t="n">
        <f aca="false">COUNTIF(Master!$B$2:$B$571,$B29)</f>
        <v>17</v>
      </c>
      <c r="D29" s="12" t="n">
        <f aca="false">COUNTIFS(Master!$B$2:$B$571,$B29,Master!$F$2:$F$571,"Core")</f>
        <v>14</v>
      </c>
      <c r="E29" s="12" t="n">
        <f aca="false">COUNTIFS(Master!$B$2:$B$571,$B29,Master!$I$2:$I$571,"Solved")+COUNTIFS(Master!$B$2:$B$571,$B29,Master!$I$2:$I$571,"Mastered")</f>
        <v>0</v>
      </c>
      <c r="F29" s="12" t="n">
        <f aca="false">COUNTIFS(Master!$B$2:$B$571,$B29,Master!$F$2:$F$571,"Core",Master!$I$2:$I$571,"Solved")+COUNTIFS(Master!$B$2:$B$571,$B29,Master!$F$2:$F$571,"Core",Master!$I$2:$I$571,"Mastered")</f>
        <v>0</v>
      </c>
      <c r="G29" s="12" t="n">
        <f aca="false">COUNTIFS(Master!$B$2:$B$571,$B29,Master!$I$2:$I$571,"Attempted")+COUNTIFS(Master!$B$2:$B$571,$B29,Master!$I$2:$I$571,"Revisit")</f>
        <v>0</v>
      </c>
      <c r="H29" s="27" t="str">
        <f aca="false">IFERROR(AVERAGEIFS(Master!$J$2:$J$571,Master!$B$2:$B$571,$B29),"")</f>
        <v/>
      </c>
      <c r="I29" s="14" t="n">
        <f aca="false">IFERROR($F29/$C29,0)</f>
        <v>0</v>
      </c>
    </row>
    <row r="30" customFormat="false" ht="15" hidden="false" customHeight="true" outlineLevel="0" collapsed="false">
      <c r="B30" s="11" t="s">
        <v>794</v>
      </c>
      <c r="C30" s="12" t="n">
        <f aca="false">COUNTIF(Master!$B$2:$B$571,$B30)</f>
        <v>11</v>
      </c>
      <c r="D30" s="12" t="n">
        <f aca="false">COUNTIFS(Master!$B$2:$B$571,$B30,Master!$F$2:$F$571,"Core")</f>
        <v>7</v>
      </c>
      <c r="E30" s="12" t="n">
        <f aca="false">COUNTIFS(Master!$B$2:$B$571,$B30,Master!$I$2:$I$571,"Solved")+COUNTIFS(Master!$B$2:$B$571,$B30,Master!$I$2:$I$571,"Mastered")</f>
        <v>0</v>
      </c>
      <c r="F30" s="12" t="n">
        <f aca="false">COUNTIFS(Master!$B$2:$B$571,$B30,Master!$F$2:$F$571,"Core",Master!$I$2:$I$571,"Solved")+COUNTIFS(Master!$B$2:$B$571,$B30,Master!$F$2:$F$571,"Core",Master!$I$2:$I$571,"Mastered")</f>
        <v>0</v>
      </c>
      <c r="G30" s="12" t="n">
        <f aca="false">COUNTIFS(Master!$B$2:$B$571,$B30,Master!$I$2:$I$571,"Attempted")+COUNTIFS(Master!$B$2:$B$571,$B30,Master!$I$2:$I$571,"Revisit")</f>
        <v>0</v>
      </c>
      <c r="H30" s="27" t="str">
        <f aca="false">IFERROR(AVERAGEIFS(Master!$J$2:$J$571,Master!$B$2:$B$571,$B30),"")</f>
        <v/>
      </c>
      <c r="I30" s="14" t="n">
        <f aca="false">IFERROR($F30/$C30,0)</f>
        <v>0</v>
      </c>
    </row>
    <row r="31" customFormat="false" ht="15" hidden="false" customHeight="true" outlineLevel="0" collapsed="false">
      <c r="B31" s="11" t="s">
        <v>809</v>
      </c>
      <c r="C31" s="12" t="n">
        <f aca="false">COUNTIF(Master!$B$2:$B$571,$B31)</f>
        <v>11</v>
      </c>
      <c r="D31" s="12" t="n">
        <f aca="false">COUNTIFS(Master!$B$2:$B$571,$B31,Master!$F$2:$F$571,"Core")</f>
        <v>8</v>
      </c>
      <c r="E31" s="12" t="n">
        <f aca="false">COUNTIFS(Master!$B$2:$B$571,$B31,Master!$I$2:$I$571,"Solved")+COUNTIFS(Master!$B$2:$B$571,$B31,Master!$I$2:$I$571,"Mastered")</f>
        <v>0</v>
      </c>
      <c r="F31" s="12" t="n">
        <f aca="false">COUNTIFS(Master!$B$2:$B$571,$B31,Master!$F$2:$F$571,"Core",Master!$I$2:$I$571,"Solved")+COUNTIFS(Master!$B$2:$B$571,$B31,Master!$F$2:$F$571,"Core",Master!$I$2:$I$571,"Mastered")</f>
        <v>0</v>
      </c>
      <c r="G31" s="12" t="n">
        <f aca="false">COUNTIFS(Master!$B$2:$B$571,$B31,Master!$I$2:$I$571,"Attempted")+COUNTIFS(Master!$B$2:$B$571,$B31,Master!$I$2:$I$571,"Revisit")</f>
        <v>0</v>
      </c>
      <c r="H31" s="27" t="str">
        <f aca="false">IFERROR(AVERAGEIFS(Master!$J$2:$J$571,Master!$B$2:$B$571,$B31),"")</f>
        <v/>
      </c>
      <c r="I31" s="14" t="n">
        <f aca="false">IFERROR($F31/$C31,0)</f>
        <v>0</v>
      </c>
    </row>
    <row r="32" customFormat="false" ht="15" hidden="false" customHeight="true" outlineLevel="0" collapsed="false">
      <c r="B32" s="11" t="s">
        <v>825</v>
      </c>
      <c r="C32" s="12" t="n">
        <f aca="false">COUNTIF(Master!$B$2:$B$571,$B32)</f>
        <v>8</v>
      </c>
      <c r="D32" s="12" t="n">
        <f aca="false">COUNTIFS(Master!$B$2:$B$571,$B32,Master!$F$2:$F$571,"Core")</f>
        <v>0</v>
      </c>
      <c r="E32" s="12" t="n">
        <f aca="false">COUNTIFS(Master!$B$2:$B$571,$B32,Master!$I$2:$I$571,"Solved")+COUNTIFS(Master!$B$2:$B$571,$B32,Master!$I$2:$I$571,"Mastered")</f>
        <v>0</v>
      </c>
      <c r="F32" s="12" t="n">
        <f aca="false">COUNTIFS(Master!$B$2:$B$571,$B32,Master!$F$2:$F$571,"Core",Master!$I$2:$I$571,"Solved")+COUNTIFS(Master!$B$2:$B$571,$B32,Master!$F$2:$F$571,"Core",Master!$I$2:$I$571,"Mastered")</f>
        <v>0</v>
      </c>
      <c r="G32" s="12" t="n">
        <f aca="false">COUNTIFS(Master!$B$2:$B$571,$B32,Master!$I$2:$I$571,"Attempted")+COUNTIFS(Master!$B$2:$B$571,$B32,Master!$I$2:$I$571,"Revisit")</f>
        <v>0</v>
      </c>
      <c r="H32" s="27" t="str">
        <f aca="false">IFERROR(AVERAGEIFS(Master!$J$2:$J$571,Master!$B$2:$B$571,$B32),"")</f>
        <v/>
      </c>
      <c r="I32" s="14" t="n">
        <f aca="false">IFERROR($F32/$C32,0)</f>
        <v>0</v>
      </c>
    </row>
    <row r="33" customFormat="false" ht="15" hidden="false" customHeight="true" outlineLevel="0" collapsed="false">
      <c r="B33" s="6" t="s">
        <v>70</v>
      </c>
      <c r="C33" s="15" t="n">
        <f aca="false">SUM(C10:C32)</f>
        <v>570</v>
      </c>
      <c r="D33" s="15" t="n">
        <f aca="false">SUM(D10:D32)</f>
        <v>295</v>
      </c>
      <c r="E33" s="15" t="n">
        <f aca="false">SUM(E10:E32)</f>
        <v>0</v>
      </c>
      <c r="F33" s="15" t="n">
        <f aca="false">SUM(F10:F32)</f>
        <v>0</v>
      </c>
      <c r="G33" s="15" t="n">
        <f aca="false">SUM(G10:G32)</f>
        <v>0</v>
      </c>
      <c r="H33" s="28" t="str">
        <f aca="false">IFERROR(AVERAGEIFS(Master!$J$2:$J$571,Master!$J$2:$J$571,"&gt;0"),"")</f>
        <v/>
      </c>
      <c r="I33" s="29" t="n">
        <f aca="false">IFERROR($F33/$C33,0)</f>
        <v>0</v>
      </c>
    </row>
    <row r="35" customFormat="false" ht="15" hidden="false" customHeight="true" outlineLevel="0" collapsed="false">
      <c r="B35" s="18" t="s">
        <v>851</v>
      </c>
      <c r="G35" s="18" t="s">
        <v>852</v>
      </c>
    </row>
    <row r="36" customFormat="false" ht="15" hidden="false" customHeight="true" outlineLevel="0" collapsed="false">
      <c r="B36" s="23"/>
      <c r="C36" s="23" t="s">
        <v>845</v>
      </c>
      <c r="D36" s="23" t="s">
        <v>56</v>
      </c>
      <c r="E36" s="23" t="s">
        <v>57</v>
      </c>
      <c r="G36" s="23"/>
      <c r="H36" s="23" t="s">
        <v>853</v>
      </c>
    </row>
    <row r="37" customFormat="false" ht="15" hidden="false" customHeight="true" outlineLevel="0" collapsed="false">
      <c r="B37" s="11" t="s">
        <v>94</v>
      </c>
      <c r="C37" s="11" t="n">
        <f aca="false">COUNTIF(Master!$E$2:$E$571,$B37)</f>
        <v>134</v>
      </c>
      <c r="D37" s="11" t="n">
        <f aca="false">COUNTIFS(Master!$E$2:$E$571,$B37,Master!$I$2:$I$571,"Solved")+COUNTIFS(Master!$E$2:$E$571,$B37,Master!$I$2:$I$571,"Mastered")</f>
        <v>0</v>
      </c>
      <c r="E37" s="30" t="n">
        <f aca="false">IFERROR($D37/$C37,0)</f>
        <v>0</v>
      </c>
      <c r="G37" s="11" t="s">
        <v>98</v>
      </c>
      <c r="H37" s="11" t="n">
        <f aca="false">COUNTIF(Master!$I$2:$I$571,$G37)</f>
        <v>570</v>
      </c>
    </row>
    <row r="38" customFormat="false" ht="15" hidden="false" customHeight="true" outlineLevel="0" collapsed="false">
      <c r="B38" s="11" t="s">
        <v>109</v>
      </c>
      <c r="C38" s="11" t="n">
        <f aca="false">COUNTIF(Master!$E$2:$E$571,$B38)</f>
        <v>346</v>
      </c>
      <c r="D38" s="11" t="n">
        <f aca="false">COUNTIFS(Master!$E$2:$E$571,$B38,Master!$I$2:$I$571,"Solved")+COUNTIFS(Master!$E$2:$E$571,$B38,Master!$I$2:$I$571,"Mastered")</f>
        <v>0</v>
      </c>
      <c r="E38" s="30" t="n">
        <f aca="false">IFERROR($D38/$C38,0)</f>
        <v>0</v>
      </c>
      <c r="G38" s="11" t="s">
        <v>847</v>
      </c>
      <c r="H38" s="11" t="n">
        <f aca="false">COUNTIF(Master!$I$2:$I$571,$G38)</f>
        <v>0</v>
      </c>
    </row>
    <row r="39" customFormat="false" ht="15" hidden="false" customHeight="true" outlineLevel="0" collapsed="false">
      <c r="B39" s="11" t="s">
        <v>135</v>
      </c>
      <c r="C39" s="11" t="n">
        <f aca="false">COUNTIF(Master!$E$2:$E$571,$B39)</f>
        <v>90</v>
      </c>
      <c r="D39" s="11" t="n">
        <f aca="false">COUNTIFS(Master!$E$2:$E$571,$B39,Master!$I$2:$I$571,"Solved")+COUNTIFS(Master!$E$2:$E$571,$B39,Master!$I$2:$I$571,"Mastered")</f>
        <v>0</v>
      </c>
      <c r="E39" s="30" t="n">
        <f aca="false">IFERROR($D39/$C39,0)</f>
        <v>0</v>
      </c>
      <c r="G39" s="11" t="s">
        <v>854</v>
      </c>
      <c r="H39" s="11" t="n">
        <f aca="false">COUNTIF(Master!$I$2:$I$571,$G39)</f>
        <v>0</v>
      </c>
    </row>
    <row r="40" customFormat="false" ht="15" hidden="false" customHeight="true" outlineLevel="0" collapsed="false">
      <c r="G40" s="11" t="s">
        <v>855</v>
      </c>
      <c r="H40" s="11" t="n">
        <f aca="false">COUNTIF(Master!$I$2:$I$571,$G40)</f>
        <v>0</v>
      </c>
    </row>
    <row r="41" customFormat="false" ht="15" hidden="false" customHeight="true" outlineLevel="0" collapsed="false">
      <c r="G41" s="11" t="s">
        <v>856</v>
      </c>
      <c r="H41" s="11" t="n">
        <f aca="false">COUNTIF(Master!$I$2:$I$571,$G41)</f>
        <v>0</v>
      </c>
    </row>
  </sheetData>
  <conditionalFormatting sqref="I10:I33">
    <cfRule type="cellIs" priority="2" operator="greaterThanOrEqual" aboveAverage="0" equalAverage="0" bottom="0" percent="0" rank="0" text="" dxfId="9">
      <formula>0.8</formula>
    </cfRule>
  </conditionalFormatting>
  <conditionalFormatting sqref="H10:H32">
    <cfRule type="cellIs" priority="3" operator="lessThanOrEqual" aboveAverage="0" equalAverage="0" bottom="0" percent="0" rank="0" text="" dxfId="11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24"/>
    <col collapsed="false" customWidth="true" hidden="false" outlineLevel="0" max="6" min="4" style="1" width="9"/>
    <col collapsed="false" customWidth="true" hidden="false" outlineLevel="0" max="7" min="7" style="1" width="11"/>
    <col collapsed="false" customWidth="true" hidden="false" outlineLevel="0" max="8" min="8" style="1" width="12"/>
  </cols>
  <sheetData>
    <row r="2" customFormat="false" ht="19.5" hidden="false" customHeight="true" outlineLevel="0" collapsed="false">
      <c r="B2" s="2" t="s">
        <v>857</v>
      </c>
    </row>
    <row r="3" customFormat="false" ht="15" hidden="false" customHeight="true" outlineLevel="0" collapsed="false">
      <c r="B3" s="3" t="s">
        <v>858</v>
      </c>
    </row>
    <row r="5" customFormat="false" ht="15" hidden="false" customHeight="true" outlineLevel="0" collapsed="false">
      <c r="B5" s="10" t="s">
        <v>77</v>
      </c>
      <c r="C5" s="10" t="s">
        <v>78</v>
      </c>
      <c r="D5" s="10" t="s">
        <v>845</v>
      </c>
      <c r="E5" s="10" t="s">
        <v>95</v>
      </c>
      <c r="F5" s="10" t="s">
        <v>56</v>
      </c>
      <c r="G5" s="10" t="s">
        <v>848</v>
      </c>
      <c r="H5" s="10" t="s">
        <v>859</v>
      </c>
    </row>
    <row r="6" customFormat="false" ht="15" hidden="false" customHeight="true" outlineLevel="0" collapsed="false">
      <c r="B6" s="11" t="s">
        <v>91</v>
      </c>
      <c r="C6" s="11" t="s">
        <v>92</v>
      </c>
      <c r="D6" s="12" t="n">
        <f aca="false">COUNTIFS(Master!$B$2:$B$571,$B6,Master!$C$2:$C$571,$C6)</f>
        <v>10</v>
      </c>
      <c r="E6" s="12" t="n">
        <f aca="false">COUNTIFS(Master!$B$2:$B$571,$B6,Master!$C$2:$C$571,$C6,Master!$F$2:$F$571,"Core")</f>
        <v>10</v>
      </c>
      <c r="F6" s="12" t="n">
        <f aca="false">COUNTIFS(Master!$B$2:$B$571,$B6,Master!$C$2:$C$571,$C6,Master!$I$2:$I$571,"Solved")+COUNTIFS(Master!$B$2:$B$571,$B6,Master!$C$2:$C$571,$C6,Master!$I$2:$I$571,"Mastered")</f>
        <v>0</v>
      </c>
      <c r="G6" s="27" t="str">
        <f aca="false">IFERROR(AVERAGEIFS(Master!$J$2:$J$571,Master!$B$2:$B$571,$B6,Master!$C$2:$C$571,$C6,Master!$J$2:$J$571,"&gt;0"),"")</f>
        <v/>
      </c>
      <c r="H6" s="22" t="str">
        <f aca="false">IF($F6=0,"Untouched",IF($G6="","No rating",IF($G6&lt;=3,"Weak","Solid")))</f>
        <v>Untouched</v>
      </c>
    </row>
    <row r="7" customFormat="false" ht="15" hidden="false" customHeight="true" outlineLevel="0" collapsed="false">
      <c r="B7" s="11" t="s">
        <v>91</v>
      </c>
      <c r="C7" s="11" t="s">
        <v>110</v>
      </c>
      <c r="D7" s="12" t="n">
        <f aca="false">COUNTIFS(Master!$B$2:$B$571,$B7,Master!$C$2:$C$571,$C7)</f>
        <v>5</v>
      </c>
      <c r="E7" s="12" t="n">
        <f aca="false">COUNTIFS(Master!$B$2:$B$571,$B7,Master!$C$2:$C$571,$C7,Master!$F$2:$F$571,"Core")</f>
        <v>5</v>
      </c>
      <c r="F7" s="12" t="n">
        <f aca="false">COUNTIFS(Master!$B$2:$B$571,$B7,Master!$C$2:$C$571,$C7,Master!$I$2:$I$571,"Solved")+COUNTIFS(Master!$B$2:$B$571,$B7,Master!$C$2:$C$571,$C7,Master!$I$2:$I$571,"Mastered")</f>
        <v>0</v>
      </c>
      <c r="G7" s="27" t="str">
        <f aca="false">IFERROR(AVERAGEIFS(Master!$J$2:$J$571,Master!$B$2:$B$571,$B7,Master!$C$2:$C$571,$C7,Master!$J$2:$J$571,"&gt;0"),"")</f>
        <v/>
      </c>
      <c r="H7" s="22" t="str">
        <f aca="false">IF($F7=0,"Untouched",IF($G7="","No rating",IF($G7&lt;=3,"Weak","Solid")))</f>
        <v>Untouched</v>
      </c>
    </row>
    <row r="8" customFormat="false" ht="15" hidden="false" customHeight="true" outlineLevel="0" collapsed="false">
      <c r="B8" s="11" t="s">
        <v>116</v>
      </c>
      <c r="C8" s="11" t="s">
        <v>117</v>
      </c>
      <c r="D8" s="12" t="n">
        <f aca="false">COUNTIFS(Master!$B$2:$B$571,$B8,Master!$C$2:$C$571,$C8)</f>
        <v>2</v>
      </c>
      <c r="E8" s="12" t="n">
        <f aca="false">COUNTIFS(Master!$B$2:$B$571,$B8,Master!$C$2:$C$571,$C8,Master!$F$2:$F$571,"Core")</f>
        <v>2</v>
      </c>
      <c r="F8" s="12" t="n">
        <f aca="false">COUNTIFS(Master!$B$2:$B$571,$B8,Master!$C$2:$C$571,$C8,Master!$I$2:$I$571,"Solved")+COUNTIFS(Master!$B$2:$B$571,$B8,Master!$C$2:$C$571,$C8,Master!$I$2:$I$571,"Mastered")</f>
        <v>0</v>
      </c>
      <c r="G8" s="27" t="str">
        <f aca="false">IFERROR(AVERAGEIFS(Master!$J$2:$J$571,Master!$B$2:$B$571,$B8,Master!$C$2:$C$571,$C8,Master!$J$2:$J$571,"&gt;0"),"")</f>
        <v/>
      </c>
      <c r="H8" s="22" t="str">
        <f aca="false">IF($F8=0,"Untouched",IF($G8="","No rating",IF($G8&lt;=3,"Weak","Solid")))</f>
        <v>Untouched</v>
      </c>
    </row>
    <row r="9" customFormat="false" ht="15" hidden="false" customHeight="true" outlineLevel="0" collapsed="false">
      <c r="B9" s="11" t="s">
        <v>116</v>
      </c>
      <c r="C9" s="11" t="s">
        <v>119</v>
      </c>
      <c r="D9" s="12" t="n">
        <f aca="false">COUNTIFS(Master!$B$2:$B$571,$B9,Master!$C$2:$C$571,$C9)</f>
        <v>15</v>
      </c>
      <c r="E9" s="12" t="n">
        <f aca="false">COUNTIFS(Master!$B$2:$B$571,$B9,Master!$C$2:$C$571,$C9,Master!$F$2:$F$571,"Core")</f>
        <v>2</v>
      </c>
      <c r="F9" s="12" t="n">
        <f aca="false">COUNTIFS(Master!$B$2:$B$571,$B9,Master!$C$2:$C$571,$C9,Master!$I$2:$I$571,"Solved")+COUNTIFS(Master!$B$2:$B$571,$B9,Master!$C$2:$C$571,$C9,Master!$I$2:$I$571,"Mastered")</f>
        <v>0</v>
      </c>
      <c r="G9" s="27" t="str">
        <f aca="false">IFERROR(AVERAGEIFS(Master!$J$2:$J$571,Master!$B$2:$B$571,$B9,Master!$C$2:$C$571,$C9,Master!$J$2:$J$571,"&gt;0"),"")</f>
        <v/>
      </c>
      <c r="H9" s="22" t="str">
        <f aca="false">IF($F9=0,"Untouched",IF($G9="","No rating",IF($G9&lt;=3,"Weak","Solid")))</f>
        <v>Untouched</v>
      </c>
    </row>
    <row r="10" customFormat="false" ht="15" hidden="false" customHeight="true" outlineLevel="0" collapsed="false">
      <c r="B10" s="11" t="s">
        <v>116</v>
      </c>
      <c r="C10" s="11" t="s">
        <v>130</v>
      </c>
      <c r="D10" s="12" t="n">
        <f aca="false">COUNTIFS(Master!$B$2:$B$571,$B10,Master!$C$2:$C$571,$C10)</f>
        <v>2</v>
      </c>
      <c r="E10" s="12" t="n">
        <f aca="false">COUNTIFS(Master!$B$2:$B$571,$B10,Master!$C$2:$C$571,$C10,Master!$F$2:$F$571,"Core")</f>
        <v>2</v>
      </c>
      <c r="F10" s="12" t="n">
        <f aca="false">COUNTIFS(Master!$B$2:$B$571,$B10,Master!$C$2:$C$571,$C10,Master!$I$2:$I$571,"Solved")+COUNTIFS(Master!$B$2:$B$571,$B10,Master!$C$2:$C$571,$C10,Master!$I$2:$I$571,"Mastered")</f>
        <v>0</v>
      </c>
      <c r="G10" s="27" t="str">
        <f aca="false">IFERROR(AVERAGEIFS(Master!$J$2:$J$571,Master!$B$2:$B$571,$B10,Master!$C$2:$C$571,$C10,Master!$J$2:$J$571,"&gt;0"),"")</f>
        <v/>
      </c>
      <c r="H10" s="22" t="str">
        <f aca="false">IF($F10=0,"Untouched",IF($G10="","No rating",IF($G10&lt;=3,"Weak","Solid")))</f>
        <v>Untouched</v>
      </c>
    </row>
    <row r="11" customFormat="false" ht="15" hidden="false" customHeight="true" outlineLevel="0" collapsed="false">
      <c r="B11" s="11" t="s">
        <v>116</v>
      </c>
      <c r="C11" s="11" t="s">
        <v>137</v>
      </c>
      <c r="D11" s="12" t="n">
        <f aca="false">COUNTIFS(Master!$B$2:$B$571,$B11,Master!$C$2:$C$571,$C11)</f>
        <v>4</v>
      </c>
      <c r="E11" s="12" t="n">
        <f aca="false">COUNTIFS(Master!$B$2:$B$571,$B11,Master!$C$2:$C$571,$C11,Master!$F$2:$F$571,"Core")</f>
        <v>2</v>
      </c>
      <c r="F11" s="12" t="n">
        <f aca="false">COUNTIFS(Master!$B$2:$B$571,$B11,Master!$C$2:$C$571,$C11,Master!$I$2:$I$571,"Solved")+COUNTIFS(Master!$B$2:$B$571,$B11,Master!$C$2:$C$571,$C11,Master!$I$2:$I$571,"Mastered")</f>
        <v>0</v>
      </c>
      <c r="G11" s="27" t="str">
        <f aca="false">IFERROR(AVERAGEIFS(Master!$J$2:$J$571,Master!$B$2:$B$571,$B11,Master!$C$2:$C$571,$C11,Master!$J$2:$J$571,"&gt;0"),"")</f>
        <v/>
      </c>
      <c r="H11" s="22" t="str">
        <f aca="false">IF($F11=0,"Untouched",IF($G11="","No rating",IF($G11&lt;=3,"Weak","Solid")))</f>
        <v>Untouched</v>
      </c>
    </row>
    <row r="12" customFormat="false" ht="15" hidden="false" customHeight="true" outlineLevel="0" collapsed="false">
      <c r="B12" s="11" t="s">
        <v>116</v>
      </c>
      <c r="C12" s="11" t="s">
        <v>144</v>
      </c>
      <c r="D12" s="12" t="n">
        <f aca="false">COUNTIFS(Master!$B$2:$B$571,$B12,Master!$C$2:$C$571,$C12)</f>
        <v>4</v>
      </c>
      <c r="E12" s="12" t="n">
        <f aca="false">COUNTIFS(Master!$B$2:$B$571,$B12,Master!$C$2:$C$571,$C12,Master!$F$2:$F$571,"Core")</f>
        <v>2</v>
      </c>
      <c r="F12" s="12" t="n">
        <f aca="false">COUNTIFS(Master!$B$2:$B$571,$B12,Master!$C$2:$C$571,$C12,Master!$I$2:$I$571,"Solved")+COUNTIFS(Master!$B$2:$B$571,$B12,Master!$C$2:$C$571,$C12,Master!$I$2:$I$571,"Mastered")</f>
        <v>0</v>
      </c>
      <c r="G12" s="27" t="str">
        <f aca="false">IFERROR(AVERAGEIFS(Master!$J$2:$J$571,Master!$B$2:$B$571,$B12,Master!$C$2:$C$571,$C12,Master!$J$2:$J$571,"&gt;0"),"")</f>
        <v/>
      </c>
      <c r="H12" s="22" t="str">
        <f aca="false">IF($F12=0,"Untouched",IF($G12="","No rating",IF($G12&lt;=3,"Weak","Solid")))</f>
        <v>Untouched</v>
      </c>
    </row>
    <row r="13" customFormat="false" ht="15" hidden="false" customHeight="true" outlineLevel="0" collapsed="false">
      <c r="B13" s="11" t="s">
        <v>116</v>
      </c>
      <c r="C13" s="11" t="s">
        <v>149</v>
      </c>
      <c r="D13" s="12" t="n">
        <f aca="false">COUNTIFS(Master!$B$2:$B$571,$B13,Master!$C$2:$C$571,$C13)</f>
        <v>1</v>
      </c>
      <c r="E13" s="12" t="n">
        <f aca="false">COUNTIFS(Master!$B$2:$B$571,$B13,Master!$C$2:$C$571,$C13,Master!$F$2:$F$571,"Core")</f>
        <v>1</v>
      </c>
      <c r="F13" s="12" t="n">
        <f aca="false">COUNTIFS(Master!$B$2:$B$571,$B13,Master!$C$2:$C$571,$C13,Master!$I$2:$I$571,"Solved")+COUNTIFS(Master!$B$2:$B$571,$B13,Master!$C$2:$C$571,$C13,Master!$I$2:$I$571,"Mastered")</f>
        <v>0</v>
      </c>
      <c r="G13" s="27" t="str">
        <f aca="false">IFERROR(AVERAGEIFS(Master!$J$2:$J$571,Master!$B$2:$B$571,$B13,Master!$C$2:$C$571,$C13,Master!$J$2:$J$571,"&gt;0"),"")</f>
        <v/>
      </c>
      <c r="H13" s="22" t="str">
        <f aca="false">IF($F13=0,"Untouched",IF($G13="","No rating",IF($G13&lt;=3,"Weak","Solid")))</f>
        <v>Untouched</v>
      </c>
    </row>
    <row r="14" customFormat="false" ht="15" hidden="false" customHeight="true" outlineLevel="0" collapsed="false">
      <c r="B14" s="11" t="s">
        <v>154</v>
      </c>
      <c r="C14" s="11" t="s">
        <v>155</v>
      </c>
      <c r="D14" s="12" t="n">
        <f aca="false">COUNTIFS(Master!$B$2:$B$571,$B14,Master!$C$2:$C$571,$C14)</f>
        <v>3</v>
      </c>
      <c r="E14" s="12" t="n">
        <f aca="false">COUNTIFS(Master!$B$2:$B$571,$B14,Master!$C$2:$C$571,$C14,Master!$F$2:$F$571,"Core")</f>
        <v>2</v>
      </c>
      <c r="F14" s="12" t="n">
        <f aca="false">COUNTIFS(Master!$B$2:$B$571,$B14,Master!$C$2:$C$571,$C14,Master!$I$2:$I$571,"Solved")+COUNTIFS(Master!$B$2:$B$571,$B14,Master!$C$2:$C$571,$C14,Master!$I$2:$I$571,"Mastered")</f>
        <v>0</v>
      </c>
      <c r="G14" s="27" t="str">
        <f aca="false">IFERROR(AVERAGEIFS(Master!$J$2:$J$571,Master!$B$2:$B$571,$B14,Master!$C$2:$C$571,$C14,Master!$J$2:$J$571,"&gt;0"),"")</f>
        <v/>
      </c>
      <c r="H14" s="22" t="str">
        <f aca="false">IF($F14=0,"Untouched",IF($G14="","No rating",IF($G14&lt;=3,"Weak","Solid")))</f>
        <v>Untouched</v>
      </c>
    </row>
    <row r="15" customFormat="false" ht="15" hidden="false" customHeight="true" outlineLevel="0" collapsed="false">
      <c r="B15" s="11" t="s">
        <v>154</v>
      </c>
      <c r="C15" s="11" t="s">
        <v>159</v>
      </c>
      <c r="D15" s="12" t="n">
        <f aca="false">COUNTIFS(Master!$B$2:$B$571,$B15,Master!$C$2:$C$571,$C15)</f>
        <v>8</v>
      </c>
      <c r="E15" s="12" t="n">
        <f aca="false">COUNTIFS(Master!$B$2:$B$571,$B15,Master!$C$2:$C$571,$C15,Master!$F$2:$F$571,"Core")</f>
        <v>2</v>
      </c>
      <c r="F15" s="12" t="n">
        <f aca="false">COUNTIFS(Master!$B$2:$B$571,$B15,Master!$C$2:$C$571,$C15,Master!$I$2:$I$571,"Solved")+COUNTIFS(Master!$B$2:$B$571,$B15,Master!$C$2:$C$571,$C15,Master!$I$2:$I$571,"Mastered")</f>
        <v>0</v>
      </c>
      <c r="G15" s="27" t="str">
        <f aca="false">IFERROR(AVERAGEIFS(Master!$J$2:$J$571,Master!$B$2:$B$571,$B15,Master!$C$2:$C$571,$C15,Master!$J$2:$J$571,"&gt;0"),"")</f>
        <v/>
      </c>
      <c r="H15" s="22" t="str">
        <f aca="false">IF($F15=0,"Untouched",IF($G15="","No rating",IF($G15&lt;=3,"Weak","Solid")))</f>
        <v>Untouched</v>
      </c>
    </row>
    <row r="16" customFormat="false" ht="15" hidden="false" customHeight="true" outlineLevel="0" collapsed="false">
      <c r="B16" s="11" t="s">
        <v>154</v>
      </c>
      <c r="C16" s="11" t="s">
        <v>168</v>
      </c>
      <c r="D16" s="12" t="n">
        <f aca="false">COUNTIFS(Master!$B$2:$B$571,$B16,Master!$C$2:$C$571,$C16)</f>
        <v>2</v>
      </c>
      <c r="E16" s="12" t="n">
        <f aca="false">COUNTIFS(Master!$B$2:$B$571,$B16,Master!$C$2:$C$571,$C16,Master!$F$2:$F$571,"Core")</f>
        <v>2</v>
      </c>
      <c r="F16" s="12" t="n">
        <f aca="false">COUNTIFS(Master!$B$2:$B$571,$B16,Master!$C$2:$C$571,$C16,Master!$I$2:$I$571,"Solved")+COUNTIFS(Master!$B$2:$B$571,$B16,Master!$C$2:$C$571,$C16,Master!$I$2:$I$571,"Mastered")</f>
        <v>0</v>
      </c>
      <c r="G16" s="27" t="str">
        <f aca="false">IFERROR(AVERAGEIFS(Master!$J$2:$J$571,Master!$B$2:$B$571,$B16,Master!$C$2:$C$571,$C16,Master!$J$2:$J$571,"&gt;0"),"")</f>
        <v/>
      </c>
      <c r="H16" s="22" t="str">
        <f aca="false">IF($F16=0,"Untouched",IF($G16="","No rating",IF($G16&lt;=3,"Weak","Solid")))</f>
        <v>Untouched</v>
      </c>
    </row>
    <row r="17" customFormat="false" ht="15" hidden="false" customHeight="true" outlineLevel="0" collapsed="false">
      <c r="B17" s="11" t="s">
        <v>154</v>
      </c>
      <c r="C17" s="11" t="s">
        <v>171</v>
      </c>
      <c r="D17" s="12" t="n">
        <f aca="false">COUNTIFS(Master!$B$2:$B$571,$B17,Master!$C$2:$C$571,$C17)</f>
        <v>4</v>
      </c>
      <c r="E17" s="12" t="n">
        <f aca="false">COUNTIFS(Master!$B$2:$B$571,$B17,Master!$C$2:$C$571,$C17,Master!$F$2:$F$571,"Core")</f>
        <v>2</v>
      </c>
      <c r="F17" s="12" t="n">
        <f aca="false">COUNTIFS(Master!$B$2:$B$571,$B17,Master!$C$2:$C$571,$C17,Master!$I$2:$I$571,"Solved")+COUNTIFS(Master!$B$2:$B$571,$B17,Master!$C$2:$C$571,$C17,Master!$I$2:$I$571,"Mastered")</f>
        <v>0</v>
      </c>
      <c r="G17" s="27" t="str">
        <f aca="false">IFERROR(AVERAGEIFS(Master!$J$2:$J$571,Master!$B$2:$B$571,$B17,Master!$C$2:$C$571,$C17,Master!$J$2:$J$571,"&gt;0"),"")</f>
        <v/>
      </c>
      <c r="H17" s="22" t="str">
        <f aca="false">IF($F17=0,"Untouched",IF($G17="","No rating",IF($G17&lt;=3,"Weak","Solid")))</f>
        <v>Untouched</v>
      </c>
    </row>
    <row r="18" customFormat="false" ht="15" hidden="false" customHeight="true" outlineLevel="0" collapsed="false">
      <c r="B18" s="11" t="s">
        <v>154</v>
      </c>
      <c r="C18" s="11" t="s">
        <v>176</v>
      </c>
      <c r="D18" s="12" t="n">
        <f aca="false">COUNTIFS(Master!$B$2:$B$571,$B18,Master!$C$2:$C$571,$C18)</f>
        <v>2</v>
      </c>
      <c r="E18" s="12" t="n">
        <f aca="false">COUNTIFS(Master!$B$2:$B$571,$B18,Master!$C$2:$C$571,$C18,Master!$F$2:$F$571,"Core")</f>
        <v>2</v>
      </c>
      <c r="F18" s="12" t="n">
        <f aca="false">COUNTIFS(Master!$B$2:$B$571,$B18,Master!$C$2:$C$571,$C18,Master!$I$2:$I$571,"Solved")+COUNTIFS(Master!$B$2:$B$571,$B18,Master!$C$2:$C$571,$C18,Master!$I$2:$I$571,"Mastered")</f>
        <v>0</v>
      </c>
      <c r="G18" s="27" t="str">
        <f aca="false">IFERROR(AVERAGEIFS(Master!$J$2:$J$571,Master!$B$2:$B$571,$B18,Master!$C$2:$C$571,$C18,Master!$J$2:$J$571,"&gt;0"),"")</f>
        <v/>
      </c>
      <c r="H18" s="22" t="str">
        <f aca="false">IF($F18=0,"Untouched",IF($G18="","No rating",IF($G18&lt;=3,"Weak","Solid")))</f>
        <v>Untouched</v>
      </c>
    </row>
    <row r="19" customFormat="false" ht="15" hidden="false" customHeight="true" outlineLevel="0" collapsed="false">
      <c r="B19" s="11" t="s">
        <v>154</v>
      </c>
      <c r="C19" s="11" t="s">
        <v>179</v>
      </c>
      <c r="D19" s="12" t="n">
        <f aca="false">COUNTIFS(Master!$B$2:$B$571,$B19,Master!$C$2:$C$571,$C19)</f>
        <v>1</v>
      </c>
      <c r="E19" s="12" t="n">
        <f aca="false">COUNTIFS(Master!$B$2:$B$571,$B19,Master!$C$2:$C$571,$C19,Master!$F$2:$F$571,"Core")</f>
        <v>1</v>
      </c>
      <c r="F19" s="12" t="n">
        <f aca="false">COUNTIFS(Master!$B$2:$B$571,$B19,Master!$C$2:$C$571,$C19,Master!$I$2:$I$571,"Solved")+COUNTIFS(Master!$B$2:$B$571,$B19,Master!$C$2:$C$571,$C19,Master!$I$2:$I$571,"Mastered")</f>
        <v>0</v>
      </c>
      <c r="G19" s="27" t="str">
        <f aca="false">IFERROR(AVERAGEIFS(Master!$J$2:$J$571,Master!$B$2:$B$571,$B19,Master!$C$2:$C$571,$C19,Master!$J$2:$J$571,"&gt;0"),"")</f>
        <v/>
      </c>
      <c r="H19" s="22" t="str">
        <f aca="false">IF($F19=0,"Untouched",IF($G19="","No rating",IF($G19&lt;=3,"Weak","Solid")))</f>
        <v>Untouched</v>
      </c>
    </row>
    <row r="20" customFormat="false" ht="15" hidden="false" customHeight="true" outlineLevel="0" collapsed="false">
      <c r="B20" s="11" t="s">
        <v>181</v>
      </c>
      <c r="C20" s="11" t="s">
        <v>182</v>
      </c>
      <c r="D20" s="12" t="n">
        <f aca="false">COUNTIFS(Master!$B$2:$B$571,$B20,Master!$C$2:$C$571,$C20)</f>
        <v>5</v>
      </c>
      <c r="E20" s="12" t="n">
        <f aca="false">COUNTIFS(Master!$B$2:$B$571,$B20,Master!$C$2:$C$571,$C20,Master!$F$2:$F$571,"Core")</f>
        <v>2</v>
      </c>
      <c r="F20" s="12" t="n">
        <f aca="false">COUNTIFS(Master!$B$2:$B$571,$B20,Master!$C$2:$C$571,$C20,Master!$I$2:$I$571,"Solved")+COUNTIFS(Master!$B$2:$B$571,$B20,Master!$C$2:$C$571,$C20,Master!$I$2:$I$571,"Mastered")</f>
        <v>0</v>
      </c>
      <c r="G20" s="27" t="str">
        <f aca="false">IFERROR(AVERAGEIFS(Master!$J$2:$J$571,Master!$B$2:$B$571,$B20,Master!$C$2:$C$571,$C20,Master!$J$2:$J$571,"&gt;0"),"")</f>
        <v/>
      </c>
      <c r="H20" s="22" t="str">
        <f aca="false">IF($F20=0,"Untouched",IF($G20="","No rating",IF($G20&lt;=3,"Weak","Solid")))</f>
        <v>Untouched</v>
      </c>
    </row>
    <row r="21" customFormat="false" ht="15" hidden="false" customHeight="true" outlineLevel="0" collapsed="false">
      <c r="B21" s="11" t="s">
        <v>181</v>
      </c>
      <c r="C21" s="11" t="s">
        <v>188</v>
      </c>
      <c r="D21" s="12" t="n">
        <f aca="false">COUNTIFS(Master!$B$2:$B$571,$B21,Master!$C$2:$C$571,$C21)</f>
        <v>5</v>
      </c>
      <c r="E21" s="12" t="n">
        <f aca="false">COUNTIFS(Master!$B$2:$B$571,$B21,Master!$C$2:$C$571,$C21,Master!$F$2:$F$571,"Core")</f>
        <v>2</v>
      </c>
      <c r="F21" s="12" t="n">
        <f aca="false">COUNTIFS(Master!$B$2:$B$571,$B21,Master!$C$2:$C$571,$C21,Master!$I$2:$I$571,"Solved")+COUNTIFS(Master!$B$2:$B$571,$B21,Master!$C$2:$C$571,$C21,Master!$I$2:$I$571,"Mastered")</f>
        <v>0</v>
      </c>
      <c r="G21" s="27" t="str">
        <f aca="false">IFERROR(AVERAGEIFS(Master!$J$2:$J$571,Master!$B$2:$B$571,$B21,Master!$C$2:$C$571,$C21,Master!$J$2:$J$571,"&gt;0"),"")</f>
        <v/>
      </c>
      <c r="H21" s="22" t="str">
        <f aca="false">IF($F21=0,"Untouched",IF($G21="","No rating",IF($G21&lt;=3,"Weak","Solid")))</f>
        <v>Untouched</v>
      </c>
    </row>
    <row r="22" customFormat="false" ht="15" hidden="false" customHeight="true" outlineLevel="0" collapsed="false">
      <c r="B22" s="11" t="s">
        <v>181</v>
      </c>
      <c r="C22" s="11" t="s">
        <v>194</v>
      </c>
      <c r="D22" s="12" t="n">
        <f aca="false">COUNTIFS(Master!$B$2:$B$571,$B22,Master!$C$2:$C$571,$C22)</f>
        <v>2</v>
      </c>
      <c r="E22" s="12" t="n">
        <f aca="false">COUNTIFS(Master!$B$2:$B$571,$B22,Master!$C$2:$C$571,$C22,Master!$F$2:$F$571,"Core")</f>
        <v>2</v>
      </c>
      <c r="F22" s="12" t="n">
        <f aca="false">COUNTIFS(Master!$B$2:$B$571,$B22,Master!$C$2:$C$571,$C22,Master!$I$2:$I$571,"Solved")+COUNTIFS(Master!$B$2:$B$571,$B22,Master!$C$2:$C$571,$C22,Master!$I$2:$I$571,"Mastered")</f>
        <v>0</v>
      </c>
      <c r="G22" s="27" t="str">
        <f aca="false">IFERROR(AVERAGEIFS(Master!$J$2:$J$571,Master!$B$2:$B$571,$B22,Master!$C$2:$C$571,$C22,Master!$J$2:$J$571,"&gt;0"),"")</f>
        <v/>
      </c>
      <c r="H22" s="22" t="str">
        <f aca="false">IF($F22=0,"Untouched",IF($G22="","No rating",IF($G22&lt;=3,"Weak","Solid")))</f>
        <v>Untouched</v>
      </c>
    </row>
    <row r="23" customFormat="false" ht="15" hidden="false" customHeight="true" outlineLevel="0" collapsed="false">
      <c r="B23" s="11" t="s">
        <v>181</v>
      </c>
      <c r="C23" s="11" t="s">
        <v>197</v>
      </c>
      <c r="D23" s="12" t="n">
        <f aca="false">COUNTIFS(Master!$B$2:$B$571,$B23,Master!$C$2:$C$571,$C23)</f>
        <v>6</v>
      </c>
      <c r="E23" s="12" t="n">
        <f aca="false">COUNTIFS(Master!$B$2:$B$571,$B23,Master!$C$2:$C$571,$C23,Master!$F$2:$F$571,"Core")</f>
        <v>2</v>
      </c>
      <c r="F23" s="12" t="n">
        <f aca="false">COUNTIFS(Master!$B$2:$B$571,$B23,Master!$C$2:$C$571,$C23,Master!$I$2:$I$571,"Solved")+COUNTIFS(Master!$B$2:$B$571,$B23,Master!$C$2:$C$571,$C23,Master!$I$2:$I$571,"Mastered")</f>
        <v>0</v>
      </c>
      <c r="G23" s="27" t="str">
        <f aca="false">IFERROR(AVERAGEIFS(Master!$J$2:$J$571,Master!$B$2:$B$571,$B23,Master!$C$2:$C$571,$C23,Master!$J$2:$J$571,"&gt;0"),"")</f>
        <v/>
      </c>
      <c r="H23" s="22" t="str">
        <f aca="false">IF($F23=0,"Untouched",IF($G23="","No rating",IF($G23&lt;=3,"Weak","Solid")))</f>
        <v>Untouched</v>
      </c>
    </row>
    <row r="24" customFormat="false" ht="15" hidden="false" customHeight="true" outlineLevel="0" collapsed="false">
      <c r="B24" s="11" t="s">
        <v>181</v>
      </c>
      <c r="C24" s="11" t="s">
        <v>204</v>
      </c>
      <c r="D24" s="12" t="n">
        <f aca="false">COUNTIFS(Master!$B$2:$B$571,$B24,Master!$C$2:$C$571,$C24)</f>
        <v>1</v>
      </c>
      <c r="E24" s="12" t="n">
        <f aca="false">COUNTIFS(Master!$B$2:$B$571,$B24,Master!$C$2:$C$571,$C24,Master!$F$2:$F$571,"Core")</f>
        <v>1</v>
      </c>
      <c r="F24" s="12" t="n">
        <f aca="false">COUNTIFS(Master!$B$2:$B$571,$B24,Master!$C$2:$C$571,$C24,Master!$I$2:$I$571,"Solved")+COUNTIFS(Master!$B$2:$B$571,$B24,Master!$C$2:$C$571,$C24,Master!$I$2:$I$571,"Mastered")</f>
        <v>0</v>
      </c>
      <c r="G24" s="27" t="str">
        <f aca="false">IFERROR(AVERAGEIFS(Master!$J$2:$J$571,Master!$B$2:$B$571,$B24,Master!$C$2:$C$571,$C24,Master!$J$2:$J$571,"&gt;0"),"")</f>
        <v/>
      </c>
      <c r="H24" s="22" t="str">
        <f aca="false">IF($F24=0,"Untouched",IF($G24="","No rating",IF($G24&lt;=3,"Weak","Solid")))</f>
        <v>Untouched</v>
      </c>
    </row>
    <row r="25" customFormat="false" ht="15" hidden="false" customHeight="true" outlineLevel="0" collapsed="false">
      <c r="B25" s="11" t="s">
        <v>181</v>
      </c>
      <c r="C25" s="11" t="s">
        <v>206</v>
      </c>
      <c r="D25" s="12" t="n">
        <f aca="false">COUNTIFS(Master!$B$2:$B$571,$B25,Master!$C$2:$C$571,$C25)</f>
        <v>1</v>
      </c>
      <c r="E25" s="12" t="n">
        <f aca="false">COUNTIFS(Master!$B$2:$B$571,$B25,Master!$C$2:$C$571,$C25,Master!$F$2:$F$571,"Core")</f>
        <v>1</v>
      </c>
      <c r="F25" s="12" t="n">
        <f aca="false">COUNTIFS(Master!$B$2:$B$571,$B25,Master!$C$2:$C$571,$C25,Master!$I$2:$I$571,"Solved")+COUNTIFS(Master!$B$2:$B$571,$B25,Master!$C$2:$C$571,$C25,Master!$I$2:$I$571,"Mastered")</f>
        <v>0</v>
      </c>
      <c r="G25" s="27" t="str">
        <f aca="false">IFERROR(AVERAGEIFS(Master!$J$2:$J$571,Master!$B$2:$B$571,$B25,Master!$C$2:$C$571,$C25,Master!$J$2:$J$571,"&gt;0"),"")</f>
        <v/>
      </c>
      <c r="H25" s="22" t="str">
        <f aca="false">IF($F25=0,"Untouched",IF($G25="","No rating",IF($G25&lt;=3,"Weak","Solid")))</f>
        <v>Untouched</v>
      </c>
    </row>
    <row r="26" customFormat="false" ht="15" hidden="false" customHeight="true" outlineLevel="0" collapsed="false">
      <c r="B26" s="11" t="s">
        <v>208</v>
      </c>
      <c r="C26" s="11" t="s">
        <v>209</v>
      </c>
      <c r="D26" s="12" t="n">
        <f aca="false">COUNTIFS(Master!$B$2:$B$571,$B26,Master!$C$2:$C$571,$C26)</f>
        <v>6</v>
      </c>
      <c r="E26" s="12" t="n">
        <f aca="false">COUNTIFS(Master!$B$2:$B$571,$B26,Master!$C$2:$C$571,$C26,Master!$F$2:$F$571,"Core")</f>
        <v>2</v>
      </c>
      <c r="F26" s="12" t="n">
        <f aca="false">COUNTIFS(Master!$B$2:$B$571,$B26,Master!$C$2:$C$571,$C26,Master!$I$2:$I$571,"Solved")+COUNTIFS(Master!$B$2:$B$571,$B26,Master!$C$2:$C$571,$C26,Master!$I$2:$I$571,"Mastered")</f>
        <v>0</v>
      </c>
      <c r="G26" s="27" t="str">
        <f aca="false">IFERROR(AVERAGEIFS(Master!$J$2:$J$571,Master!$B$2:$B$571,$B26,Master!$C$2:$C$571,$C26,Master!$J$2:$J$571,"&gt;0"),"")</f>
        <v/>
      </c>
      <c r="H26" s="22" t="str">
        <f aca="false">IF($F26=0,"Untouched",IF($G26="","No rating",IF($G26&lt;=3,"Weak","Solid")))</f>
        <v>Untouched</v>
      </c>
    </row>
    <row r="27" customFormat="false" ht="15" hidden="false" customHeight="true" outlineLevel="0" collapsed="false">
      <c r="B27" s="11" t="s">
        <v>208</v>
      </c>
      <c r="C27" s="11" t="s">
        <v>216</v>
      </c>
      <c r="D27" s="12" t="n">
        <f aca="false">COUNTIFS(Master!$B$2:$B$571,$B27,Master!$C$2:$C$571,$C27)</f>
        <v>4</v>
      </c>
      <c r="E27" s="12" t="n">
        <f aca="false">COUNTIFS(Master!$B$2:$B$571,$B27,Master!$C$2:$C$571,$C27,Master!$F$2:$F$571,"Core")</f>
        <v>2</v>
      </c>
      <c r="F27" s="12" t="n">
        <f aca="false">COUNTIFS(Master!$B$2:$B$571,$B27,Master!$C$2:$C$571,$C27,Master!$I$2:$I$571,"Solved")+COUNTIFS(Master!$B$2:$B$571,$B27,Master!$C$2:$C$571,$C27,Master!$I$2:$I$571,"Mastered")</f>
        <v>0</v>
      </c>
      <c r="G27" s="27" t="str">
        <f aca="false">IFERROR(AVERAGEIFS(Master!$J$2:$J$571,Master!$B$2:$B$571,$B27,Master!$C$2:$C$571,$C27,Master!$J$2:$J$571,"&gt;0"),"")</f>
        <v/>
      </c>
      <c r="H27" s="22" t="str">
        <f aca="false">IF($F27=0,"Untouched",IF($G27="","No rating",IF($G27&lt;=3,"Weak","Solid")))</f>
        <v>Untouched</v>
      </c>
    </row>
    <row r="28" customFormat="false" ht="15" hidden="false" customHeight="true" outlineLevel="0" collapsed="false">
      <c r="B28" s="11" t="s">
        <v>208</v>
      </c>
      <c r="C28" s="11" t="s">
        <v>221</v>
      </c>
      <c r="D28" s="12" t="n">
        <f aca="false">COUNTIFS(Master!$B$2:$B$571,$B28,Master!$C$2:$C$571,$C28)</f>
        <v>1</v>
      </c>
      <c r="E28" s="12" t="n">
        <f aca="false">COUNTIFS(Master!$B$2:$B$571,$B28,Master!$C$2:$C$571,$C28,Master!$F$2:$F$571,"Core")</f>
        <v>1</v>
      </c>
      <c r="F28" s="12" t="n">
        <f aca="false">COUNTIFS(Master!$B$2:$B$571,$B28,Master!$C$2:$C$571,$C28,Master!$I$2:$I$571,"Solved")+COUNTIFS(Master!$B$2:$B$571,$B28,Master!$C$2:$C$571,$C28,Master!$I$2:$I$571,"Mastered")</f>
        <v>0</v>
      </c>
      <c r="G28" s="27" t="str">
        <f aca="false">IFERROR(AVERAGEIFS(Master!$J$2:$J$571,Master!$B$2:$B$571,$B28,Master!$C$2:$C$571,$C28,Master!$J$2:$J$571,"&gt;0"),"")</f>
        <v/>
      </c>
      <c r="H28" s="22" t="str">
        <f aca="false">IF($F28=0,"Untouched",IF($G28="","No rating",IF($G28&lt;=3,"Weak","Solid")))</f>
        <v>Untouched</v>
      </c>
    </row>
    <row r="29" customFormat="false" ht="15" hidden="false" customHeight="true" outlineLevel="0" collapsed="false">
      <c r="B29" s="11" t="s">
        <v>208</v>
      </c>
      <c r="C29" s="11" t="s">
        <v>223</v>
      </c>
      <c r="D29" s="12" t="n">
        <f aca="false">COUNTIFS(Master!$B$2:$B$571,$B29,Master!$C$2:$C$571,$C29)</f>
        <v>3</v>
      </c>
      <c r="E29" s="12" t="n">
        <f aca="false">COUNTIFS(Master!$B$2:$B$571,$B29,Master!$C$2:$C$571,$C29,Master!$F$2:$F$571,"Core")</f>
        <v>2</v>
      </c>
      <c r="F29" s="12" t="n">
        <f aca="false">COUNTIFS(Master!$B$2:$B$571,$B29,Master!$C$2:$C$571,$C29,Master!$I$2:$I$571,"Solved")+COUNTIFS(Master!$B$2:$B$571,$B29,Master!$C$2:$C$571,$C29,Master!$I$2:$I$571,"Mastered")</f>
        <v>0</v>
      </c>
      <c r="G29" s="27" t="str">
        <f aca="false">IFERROR(AVERAGEIFS(Master!$J$2:$J$571,Master!$B$2:$B$571,$B29,Master!$C$2:$C$571,$C29,Master!$J$2:$J$571,"&gt;0"),"")</f>
        <v/>
      </c>
      <c r="H29" s="22" t="str">
        <f aca="false">IF($F29=0,"Untouched",IF($G29="","No rating",IF($G29&lt;=3,"Weak","Solid")))</f>
        <v>Untouched</v>
      </c>
    </row>
    <row r="30" customFormat="false" ht="15" hidden="false" customHeight="true" outlineLevel="0" collapsed="false">
      <c r="B30" s="11" t="s">
        <v>227</v>
      </c>
      <c r="C30" s="11" t="s">
        <v>228</v>
      </c>
      <c r="D30" s="12" t="n">
        <f aca="false">COUNTIFS(Master!$B$2:$B$571,$B30,Master!$C$2:$C$571,$C30)</f>
        <v>2</v>
      </c>
      <c r="E30" s="12" t="n">
        <f aca="false">COUNTIFS(Master!$B$2:$B$571,$B30,Master!$C$2:$C$571,$C30,Master!$F$2:$F$571,"Core")</f>
        <v>2</v>
      </c>
      <c r="F30" s="12" t="n">
        <f aca="false">COUNTIFS(Master!$B$2:$B$571,$B30,Master!$C$2:$C$571,$C30,Master!$I$2:$I$571,"Solved")+COUNTIFS(Master!$B$2:$B$571,$B30,Master!$C$2:$C$571,$C30,Master!$I$2:$I$571,"Mastered")</f>
        <v>0</v>
      </c>
      <c r="G30" s="27" t="str">
        <f aca="false">IFERROR(AVERAGEIFS(Master!$J$2:$J$571,Master!$B$2:$B$571,$B30,Master!$C$2:$C$571,$C30,Master!$J$2:$J$571,"&gt;0"),"")</f>
        <v/>
      </c>
      <c r="H30" s="22" t="str">
        <f aca="false">IF($F30=0,"Untouched",IF($G30="","No rating",IF($G30&lt;=3,"Weak","Solid")))</f>
        <v>Untouched</v>
      </c>
    </row>
    <row r="31" customFormat="false" ht="15" hidden="false" customHeight="true" outlineLevel="0" collapsed="false">
      <c r="B31" s="11" t="s">
        <v>227</v>
      </c>
      <c r="C31" s="11" t="s">
        <v>231</v>
      </c>
      <c r="D31" s="12" t="n">
        <f aca="false">COUNTIFS(Master!$B$2:$B$571,$B31,Master!$C$2:$C$571,$C31)</f>
        <v>4</v>
      </c>
      <c r="E31" s="12" t="n">
        <f aca="false">COUNTIFS(Master!$B$2:$B$571,$B31,Master!$C$2:$C$571,$C31,Master!$F$2:$F$571,"Core")</f>
        <v>2</v>
      </c>
      <c r="F31" s="12" t="n">
        <f aca="false">COUNTIFS(Master!$B$2:$B$571,$B31,Master!$C$2:$C$571,$C31,Master!$I$2:$I$571,"Solved")+COUNTIFS(Master!$B$2:$B$571,$B31,Master!$C$2:$C$571,$C31,Master!$I$2:$I$571,"Mastered")</f>
        <v>0</v>
      </c>
      <c r="G31" s="27" t="str">
        <f aca="false">IFERROR(AVERAGEIFS(Master!$J$2:$J$571,Master!$B$2:$B$571,$B31,Master!$C$2:$C$571,$C31,Master!$J$2:$J$571,"&gt;0"),"")</f>
        <v/>
      </c>
      <c r="H31" s="22" t="str">
        <f aca="false">IF($F31=0,"Untouched",IF($G31="","No rating",IF($G31&lt;=3,"Weak","Solid")))</f>
        <v>Untouched</v>
      </c>
    </row>
    <row r="32" customFormat="false" ht="15" hidden="false" customHeight="true" outlineLevel="0" collapsed="false">
      <c r="B32" s="11" t="s">
        <v>227</v>
      </c>
      <c r="C32" s="11" t="s">
        <v>236</v>
      </c>
      <c r="D32" s="12" t="n">
        <f aca="false">COUNTIFS(Master!$B$2:$B$571,$B32,Master!$C$2:$C$571,$C32)</f>
        <v>15</v>
      </c>
      <c r="E32" s="12" t="n">
        <f aca="false">COUNTIFS(Master!$B$2:$B$571,$B32,Master!$C$2:$C$571,$C32,Master!$F$2:$F$571,"Core")</f>
        <v>2</v>
      </c>
      <c r="F32" s="12" t="n">
        <f aca="false">COUNTIFS(Master!$B$2:$B$571,$B32,Master!$C$2:$C$571,$C32,Master!$I$2:$I$571,"Solved")+COUNTIFS(Master!$B$2:$B$571,$B32,Master!$C$2:$C$571,$C32,Master!$I$2:$I$571,"Mastered")</f>
        <v>0</v>
      </c>
      <c r="G32" s="27" t="str">
        <f aca="false">IFERROR(AVERAGEIFS(Master!$J$2:$J$571,Master!$B$2:$B$571,$B32,Master!$C$2:$C$571,$C32,Master!$J$2:$J$571,"&gt;0"),"")</f>
        <v/>
      </c>
      <c r="H32" s="22" t="str">
        <f aca="false">IF($F32=0,"Untouched",IF($G32="","No rating",IF($G32&lt;=3,"Weak","Solid")))</f>
        <v>Untouched</v>
      </c>
    </row>
    <row r="33" customFormat="false" ht="15" hidden="false" customHeight="true" outlineLevel="0" collapsed="false">
      <c r="B33" s="11" t="s">
        <v>227</v>
      </c>
      <c r="C33" s="11" t="s">
        <v>239</v>
      </c>
      <c r="D33" s="12" t="n">
        <f aca="false">COUNTIFS(Master!$B$2:$B$571,$B33,Master!$C$2:$C$571,$C33)</f>
        <v>1</v>
      </c>
      <c r="E33" s="12" t="n">
        <f aca="false">COUNTIFS(Master!$B$2:$B$571,$B33,Master!$C$2:$C$571,$C33,Master!$F$2:$F$571,"Core")</f>
        <v>1</v>
      </c>
      <c r="F33" s="12" t="n">
        <f aca="false">COUNTIFS(Master!$B$2:$B$571,$B33,Master!$C$2:$C$571,$C33,Master!$I$2:$I$571,"Solved")+COUNTIFS(Master!$B$2:$B$571,$B33,Master!$C$2:$C$571,$C33,Master!$I$2:$I$571,"Mastered")</f>
        <v>0</v>
      </c>
      <c r="G33" s="27" t="str">
        <f aca="false">IFERROR(AVERAGEIFS(Master!$J$2:$J$571,Master!$B$2:$B$571,$B33,Master!$C$2:$C$571,$C33,Master!$J$2:$J$571,"&gt;0"),"")</f>
        <v/>
      </c>
      <c r="H33" s="22" t="str">
        <f aca="false">IF($F33=0,"Untouched",IF($G33="","No rating",IF($G33&lt;=3,"Weak","Solid")))</f>
        <v>Untouched</v>
      </c>
    </row>
    <row r="34" customFormat="false" ht="15" hidden="false" customHeight="true" outlineLevel="0" collapsed="false">
      <c r="B34" s="11" t="s">
        <v>227</v>
      </c>
      <c r="C34" s="11" t="s">
        <v>241</v>
      </c>
      <c r="D34" s="12" t="n">
        <f aca="false">COUNTIFS(Master!$B$2:$B$571,$B34,Master!$C$2:$C$571,$C34)</f>
        <v>5</v>
      </c>
      <c r="E34" s="12" t="n">
        <f aca="false">COUNTIFS(Master!$B$2:$B$571,$B34,Master!$C$2:$C$571,$C34,Master!$F$2:$F$571,"Core")</f>
        <v>2</v>
      </c>
      <c r="F34" s="12" t="n">
        <f aca="false">COUNTIFS(Master!$B$2:$B$571,$B34,Master!$C$2:$C$571,$C34,Master!$I$2:$I$571,"Solved")+COUNTIFS(Master!$B$2:$B$571,$B34,Master!$C$2:$C$571,$C34,Master!$I$2:$I$571,"Mastered")</f>
        <v>0</v>
      </c>
      <c r="G34" s="27" t="str">
        <f aca="false">IFERROR(AVERAGEIFS(Master!$J$2:$J$571,Master!$B$2:$B$571,$B34,Master!$C$2:$C$571,$C34,Master!$J$2:$J$571,"&gt;0"),"")</f>
        <v/>
      </c>
      <c r="H34" s="22" t="str">
        <f aca="false">IF($F34=0,"Untouched",IF($G34="","No rating",IF($G34&lt;=3,"Weak","Solid")))</f>
        <v>Untouched</v>
      </c>
    </row>
    <row r="35" customFormat="false" ht="15" hidden="false" customHeight="true" outlineLevel="0" collapsed="false">
      <c r="B35" s="11" t="s">
        <v>227</v>
      </c>
      <c r="C35" s="11" t="s">
        <v>247</v>
      </c>
      <c r="D35" s="12" t="n">
        <f aca="false">COUNTIFS(Master!$B$2:$B$571,$B35,Master!$C$2:$C$571,$C35)</f>
        <v>2</v>
      </c>
      <c r="E35" s="12" t="n">
        <f aca="false">COUNTIFS(Master!$B$2:$B$571,$B35,Master!$C$2:$C$571,$C35,Master!$F$2:$F$571,"Core")</f>
        <v>2</v>
      </c>
      <c r="F35" s="12" t="n">
        <f aca="false">COUNTIFS(Master!$B$2:$B$571,$B35,Master!$C$2:$C$571,$C35,Master!$I$2:$I$571,"Solved")+COUNTIFS(Master!$B$2:$B$571,$B35,Master!$C$2:$C$571,$C35,Master!$I$2:$I$571,"Mastered")</f>
        <v>0</v>
      </c>
      <c r="G35" s="27" t="str">
        <f aca="false">IFERROR(AVERAGEIFS(Master!$J$2:$J$571,Master!$B$2:$B$571,$B35,Master!$C$2:$C$571,$C35,Master!$J$2:$J$571,"&gt;0"),"")</f>
        <v/>
      </c>
      <c r="H35" s="22" t="str">
        <f aca="false">IF($F35=0,"Untouched",IF($G35="","No rating",IF($G35&lt;=3,"Weak","Solid")))</f>
        <v>Untouched</v>
      </c>
    </row>
    <row r="36" customFormat="false" ht="15" hidden="false" customHeight="true" outlineLevel="0" collapsed="false">
      <c r="B36" s="11" t="s">
        <v>227</v>
      </c>
      <c r="C36" s="11" t="s">
        <v>250</v>
      </c>
      <c r="D36" s="12" t="n">
        <f aca="false">COUNTIFS(Master!$B$2:$B$571,$B36,Master!$C$2:$C$571,$C36)</f>
        <v>1</v>
      </c>
      <c r="E36" s="12" t="n">
        <f aca="false">COUNTIFS(Master!$B$2:$B$571,$B36,Master!$C$2:$C$571,$C36,Master!$F$2:$F$571,"Core")</f>
        <v>1</v>
      </c>
      <c r="F36" s="12" t="n">
        <f aca="false">COUNTIFS(Master!$B$2:$B$571,$B36,Master!$C$2:$C$571,$C36,Master!$I$2:$I$571,"Solved")+COUNTIFS(Master!$B$2:$B$571,$B36,Master!$C$2:$C$571,$C36,Master!$I$2:$I$571,"Mastered")</f>
        <v>0</v>
      </c>
      <c r="G36" s="27" t="str">
        <f aca="false">IFERROR(AVERAGEIFS(Master!$J$2:$J$571,Master!$B$2:$B$571,$B36,Master!$C$2:$C$571,$C36,Master!$J$2:$J$571,"&gt;0"),"")</f>
        <v/>
      </c>
      <c r="H36" s="22" t="str">
        <f aca="false">IF($F36=0,"Untouched",IF($G36="","No rating",IF($G36&lt;=3,"Weak","Solid")))</f>
        <v>Untouched</v>
      </c>
    </row>
    <row r="37" customFormat="false" ht="15" hidden="false" customHeight="true" outlineLevel="0" collapsed="false">
      <c r="B37" s="11" t="s">
        <v>227</v>
      </c>
      <c r="C37" s="11" t="s">
        <v>252</v>
      </c>
      <c r="D37" s="12" t="n">
        <f aca="false">COUNTIFS(Master!$B$2:$B$571,$B37,Master!$C$2:$C$571,$C37)</f>
        <v>1</v>
      </c>
      <c r="E37" s="12" t="n">
        <f aca="false">COUNTIFS(Master!$B$2:$B$571,$B37,Master!$C$2:$C$571,$C37,Master!$F$2:$F$571,"Core")</f>
        <v>1</v>
      </c>
      <c r="F37" s="12" t="n">
        <f aca="false">COUNTIFS(Master!$B$2:$B$571,$B37,Master!$C$2:$C$571,$C37,Master!$I$2:$I$571,"Solved")+COUNTIFS(Master!$B$2:$B$571,$B37,Master!$C$2:$C$571,$C37,Master!$I$2:$I$571,"Mastered")</f>
        <v>0</v>
      </c>
      <c r="G37" s="27" t="str">
        <f aca="false">IFERROR(AVERAGEIFS(Master!$J$2:$J$571,Master!$B$2:$B$571,$B37,Master!$C$2:$C$571,$C37,Master!$J$2:$J$571,"&gt;0"),"")</f>
        <v/>
      </c>
      <c r="H37" s="22" t="str">
        <f aca="false">IF($F37=0,"Untouched",IF($G37="","No rating",IF($G37&lt;=3,"Weak","Solid")))</f>
        <v>Untouched</v>
      </c>
    </row>
    <row r="38" customFormat="false" ht="15" hidden="false" customHeight="true" outlineLevel="0" collapsed="false">
      <c r="B38" s="11" t="s">
        <v>227</v>
      </c>
      <c r="C38" s="11" t="s">
        <v>254</v>
      </c>
      <c r="D38" s="12" t="n">
        <f aca="false">COUNTIFS(Master!$B$2:$B$571,$B38,Master!$C$2:$C$571,$C38)</f>
        <v>5</v>
      </c>
      <c r="E38" s="12" t="n">
        <f aca="false">COUNTIFS(Master!$B$2:$B$571,$B38,Master!$C$2:$C$571,$C38,Master!$F$2:$F$571,"Core")</f>
        <v>2</v>
      </c>
      <c r="F38" s="12" t="n">
        <f aca="false">COUNTIFS(Master!$B$2:$B$571,$B38,Master!$C$2:$C$571,$C38,Master!$I$2:$I$571,"Solved")+COUNTIFS(Master!$B$2:$B$571,$B38,Master!$C$2:$C$571,$C38,Master!$I$2:$I$571,"Mastered")</f>
        <v>0</v>
      </c>
      <c r="G38" s="27" t="str">
        <f aca="false">IFERROR(AVERAGEIFS(Master!$J$2:$J$571,Master!$B$2:$B$571,$B38,Master!$C$2:$C$571,$C38,Master!$J$2:$J$571,"&gt;0"),"")</f>
        <v/>
      </c>
      <c r="H38" s="22" t="str">
        <f aca="false">IF($F38=0,"Untouched",IF($G38="","No rating",IF($G38&lt;=3,"Weak","Solid")))</f>
        <v>Untouched</v>
      </c>
    </row>
    <row r="39" customFormat="false" ht="15" hidden="false" customHeight="true" outlineLevel="0" collapsed="false">
      <c r="B39" s="11" t="s">
        <v>227</v>
      </c>
      <c r="C39" s="11" t="s">
        <v>260</v>
      </c>
      <c r="D39" s="12" t="n">
        <f aca="false">COUNTIFS(Master!$B$2:$B$571,$B39,Master!$C$2:$C$571,$C39)</f>
        <v>2</v>
      </c>
      <c r="E39" s="12" t="n">
        <f aca="false">COUNTIFS(Master!$B$2:$B$571,$B39,Master!$C$2:$C$571,$C39,Master!$F$2:$F$571,"Core")</f>
        <v>2</v>
      </c>
      <c r="F39" s="12" t="n">
        <f aca="false">COUNTIFS(Master!$B$2:$B$571,$B39,Master!$C$2:$C$571,$C39,Master!$I$2:$I$571,"Solved")+COUNTIFS(Master!$B$2:$B$571,$B39,Master!$C$2:$C$571,$C39,Master!$I$2:$I$571,"Mastered")</f>
        <v>0</v>
      </c>
      <c r="G39" s="27" t="str">
        <f aca="false">IFERROR(AVERAGEIFS(Master!$J$2:$J$571,Master!$B$2:$B$571,$B39,Master!$C$2:$C$571,$C39,Master!$J$2:$J$571,"&gt;0"),"")</f>
        <v/>
      </c>
      <c r="H39" s="22" t="str">
        <f aca="false">IF($F39=0,"Untouched",IF($G39="","No rating",IF($G39&lt;=3,"Weak","Solid")))</f>
        <v>Untouched</v>
      </c>
    </row>
    <row r="40" customFormat="false" ht="15" hidden="false" customHeight="true" outlineLevel="0" collapsed="false">
      <c r="B40" s="11" t="s">
        <v>276</v>
      </c>
      <c r="C40" s="11" t="s">
        <v>117</v>
      </c>
      <c r="D40" s="12" t="n">
        <f aca="false">COUNTIFS(Master!$B$2:$B$571,$B40,Master!$C$2:$C$571,$C40)</f>
        <v>4</v>
      </c>
      <c r="E40" s="12" t="n">
        <f aca="false">COUNTIFS(Master!$B$2:$B$571,$B40,Master!$C$2:$C$571,$C40,Master!$F$2:$F$571,"Core")</f>
        <v>2</v>
      </c>
      <c r="F40" s="12" t="n">
        <f aca="false">COUNTIFS(Master!$B$2:$B$571,$B40,Master!$C$2:$C$571,$C40,Master!$I$2:$I$571,"Solved")+COUNTIFS(Master!$B$2:$B$571,$B40,Master!$C$2:$C$571,$C40,Master!$I$2:$I$571,"Mastered")</f>
        <v>0</v>
      </c>
      <c r="G40" s="27" t="str">
        <f aca="false">IFERROR(AVERAGEIFS(Master!$J$2:$J$571,Master!$B$2:$B$571,$B40,Master!$C$2:$C$571,$C40,Master!$J$2:$J$571,"&gt;0"),"")</f>
        <v/>
      </c>
      <c r="H40" s="22" t="str">
        <f aca="false">IF($F40=0,"Untouched",IF($G40="","No rating",IF($G40&lt;=3,"Weak","Solid")))</f>
        <v>Untouched</v>
      </c>
    </row>
    <row r="41" customFormat="false" ht="15" hidden="false" customHeight="true" outlineLevel="0" collapsed="false">
      <c r="B41" s="11" t="s">
        <v>276</v>
      </c>
      <c r="C41" s="11" t="s">
        <v>281</v>
      </c>
      <c r="D41" s="12" t="n">
        <f aca="false">COUNTIFS(Master!$B$2:$B$571,$B41,Master!$C$2:$C$571,$C41)</f>
        <v>2</v>
      </c>
      <c r="E41" s="12" t="n">
        <f aca="false">COUNTIFS(Master!$B$2:$B$571,$B41,Master!$C$2:$C$571,$C41,Master!$F$2:$F$571,"Core")</f>
        <v>2</v>
      </c>
      <c r="F41" s="12" t="n">
        <f aca="false">COUNTIFS(Master!$B$2:$B$571,$B41,Master!$C$2:$C$571,$C41,Master!$I$2:$I$571,"Solved")+COUNTIFS(Master!$B$2:$B$571,$B41,Master!$C$2:$C$571,$C41,Master!$I$2:$I$571,"Mastered")</f>
        <v>0</v>
      </c>
      <c r="G41" s="27" t="str">
        <f aca="false">IFERROR(AVERAGEIFS(Master!$J$2:$J$571,Master!$B$2:$B$571,$B41,Master!$C$2:$C$571,$C41,Master!$J$2:$J$571,"&gt;0"),"")</f>
        <v/>
      </c>
      <c r="H41" s="22" t="str">
        <f aca="false">IF($F41=0,"Untouched",IF($G41="","No rating",IF($G41&lt;=3,"Weak","Solid")))</f>
        <v>Untouched</v>
      </c>
    </row>
    <row r="42" customFormat="false" ht="15" hidden="false" customHeight="true" outlineLevel="0" collapsed="false">
      <c r="B42" s="11" t="s">
        <v>276</v>
      </c>
      <c r="C42" s="11" t="s">
        <v>284</v>
      </c>
      <c r="D42" s="12" t="n">
        <f aca="false">COUNTIFS(Master!$B$2:$B$571,$B42,Master!$C$2:$C$571,$C42)</f>
        <v>7</v>
      </c>
      <c r="E42" s="12" t="n">
        <f aca="false">COUNTIFS(Master!$B$2:$B$571,$B42,Master!$C$2:$C$571,$C42,Master!$F$2:$F$571,"Core")</f>
        <v>2</v>
      </c>
      <c r="F42" s="12" t="n">
        <f aca="false">COUNTIFS(Master!$B$2:$B$571,$B42,Master!$C$2:$C$571,$C42,Master!$I$2:$I$571,"Solved")+COUNTIFS(Master!$B$2:$B$571,$B42,Master!$C$2:$C$571,$C42,Master!$I$2:$I$571,"Mastered")</f>
        <v>0</v>
      </c>
      <c r="G42" s="27" t="str">
        <f aca="false">IFERROR(AVERAGEIFS(Master!$J$2:$J$571,Master!$B$2:$B$571,$B42,Master!$C$2:$C$571,$C42,Master!$J$2:$J$571,"&gt;0"),"")</f>
        <v/>
      </c>
      <c r="H42" s="22" t="str">
        <f aca="false">IF($F42=0,"Untouched",IF($G42="","No rating",IF($G42&lt;=3,"Weak","Solid")))</f>
        <v>Untouched</v>
      </c>
    </row>
    <row r="43" customFormat="false" ht="15" hidden="false" customHeight="true" outlineLevel="0" collapsed="false">
      <c r="B43" s="11" t="s">
        <v>276</v>
      </c>
      <c r="C43" s="11" t="s">
        <v>292</v>
      </c>
      <c r="D43" s="12" t="n">
        <f aca="false">COUNTIFS(Master!$B$2:$B$571,$B43,Master!$C$2:$C$571,$C43)</f>
        <v>3</v>
      </c>
      <c r="E43" s="12" t="n">
        <f aca="false">COUNTIFS(Master!$B$2:$B$571,$B43,Master!$C$2:$C$571,$C43,Master!$F$2:$F$571,"Core")</f>
        <v>2</v>
      </c>
      <c r="F43" s="12" t="n">
        <f aca="false">COUNTIFS(Master!$B$2:$B$571,$B43,Master!$C$2:$C$571,$C43,Master!$I$2:$I$571,"Solved")+COUNTIFS(Master!$B$2:$B$571,$B43,Master!$C$2:$C$571,$C43,Master!$I$2:$I$571,"Mastered")</f>
        <v>0</v>
      </c>
      <c r="G43" s="27" t="str">
        <f aca="false">IFERROR(AVERAGEIFS(Master!$J$2:$J$571,Master!$B$2:$B$571,$B43,Master!$C$2:$C$571,$C43,Master!$J$2:$J$571,"&gt;0"),"")</f>
        <v/>
      </c>
      <c r="H43" s="22" t="str">
        <f aca="false">IF($F43=0,"Untouched",IF($G43="","No rating",IF($G43&lt;=3,"Weak","Solid")))</f>
        <v>Untouched</v>
      </c>
    </row>
    <row r="44" customFormat="false" ht="15" hidden="false" customHeight="true" outlineLevel="0" collapsed="false">
      <c r="B44" s="11" t="s">
        <v>276</v>
      </c>
      <c r="C44" s="11" t="s">
        <v>296</v>
      </c>
      <c r="D44" s="12" t="n">
        <f aca="false">COUNTIFS(Master!$B$2:$B$571,$B44,Master!$C$2:$C$571,$C44)</f>
        <v>2</v>
      </c>
      <c r="E44" s="12" t="n">
        <f aca="false">COUNTIFS(Master!$B$2:$B$571,$B44,Master!$C$2:$C$571,$C44,Master!$F$2:$F$571,"Core")</f>
        <v>2</v>
      </c>
      <c r="F44" s="12" t="n">
        <f aca="false">COUNTIFS(Master!$B$2:$B$571,$B44,Master!$C$2:$C$571,$C44,Master!$I$2:$I$571,"Solved")+COUNTIFS(Master!$B$2:$B$571,$B44,Master!$C$2:$C$571,$C44,Master!$I$2:$I$571,"Mastered")</f>
        <v>0</v>
      </c>
      <c r="G44" s="27" t="str">
        <f aca="false">IFERROR(AVERAGEIFS(Master!$J$2:$J$571,Master!$B$2:$B$571,$B44,Master!$C$2:$C$571,$C44,Master!$J$2:$J$571,"&gt;0"),"")</f>
        <v/>
      </c>
      <c r="H44" s="22" t="str">
        <f aca="false">IF($F44=0,"Untouched",IF($G44="","No rating",IF($G44&lt;=3,"Weak","Solid")))</f>
        <v>Untouched</v>
      </c>
    </row>
    <row r="45" customFormat="false" ht="15" hidden="false" customHeight="true" outlineLevel="0" collapsed="false">
      <c r="B45" s="11" t="s">
        <v>276</v>
      </c>
      <c r="C45" s="11" t="s">
        <v>299</v>
      </c>
      <c r="D45" s="12" t="n">
        <f aca="false">COUNTIFS(Master!$B$2:$B$571,$B45,Master!$C$2:$C$571,$C45)</f>
        <v>6</v>
      </c>
      <c r="E45" s="12" t="n">
        <f aca="false">COUNTIFS(Master!$B$2:$B$571,$B45,Master!$C$2:$C$571,$C45,Master!$F$2:$F$571,"Core")</f>
        <v>2</v>
      </c>
      <c r="F45" s="12" t="n">
        <f aca="false">COUNTIFS(Master!$B$2:$B$571,$B45,Master!$C$2:$C$571,$C45,Master!$I$2:$I$571,"Solved")+COUNTIFS(Master!$B$2:$B$571,$B45,Master!$C$2:$C$571,$C45,Master!$I$2:$I$571,"Mastered")</f>
        <v>0</v>
      </c>
      <c r="G45" s="27" t="str">
        <f aca="false">IFERROR(AVERAGEIFS(Master!$J$2:$J$571,Master!$B$2:$B$571,$B45,Master!$C$2:$C$571,$C45,Master!$J$2:$J$571,"&gt;0"),"")</f>
        <v/>
      </c>
      <c r="H45" s="22" t="str">
        <f aca="false">IF($F45=0,"Untouched",IF($G45="","No rating",IF($G45&lt;=3,"Weak","Solid")))</f>
        <v>Untouched</v>
      </c>
    </row>
    <row r="46" customFormat="false" ht="15" hidden="false" customHeight="true" outlineLevel="0" collapsed="false">
      <c r="B46" s="11" t="s">
        <v>276</v>
      </c>
      <c r="C46" s="11" t="s">
        <v>306</v>
      </c>
      <c r="D46" s="12" t="n">
        <f aca="false">COUNTIFS(Master!$B$2:$B$571,$B46,Master!$C$2:$C$571,$C46)</f>
        <v>3</v>
      </c>
      <c r="E46" s="12" t="n">
        <f aca="false">COUNTIFS(Master!$B$2:$B$571,$B46,Master!$C$2:$C$571,$C46,Master!$F$2:$F$571,"Core")</f>
        <v>2</v>
      </c>
      <c r="F46" s="12" t="n">
        <f aca="false">COUNTIFS(Master!$B$2:$B$571,$B46,Master!$C$2:$C$571,$C46,Master!$I$2:$I$571,"Solved")+COUNTIFS(Master!$B$2:$B$571,$B46,Master!$C$2:$C$571,$C46,Master!$I$2:$I$571,"Mastered")</f>
        <v>0</v>
      </c>
      <c r="G46" s="27" t="str">
        <f aca="false">IFERROR(AVERAGEIFS(Master!$J$2:$J$571,Master!$B$2:$B$571,$B46,Master!$C$2:$C$571,$C46,Master!$J$2:$J$571,"&gt;0"),"")</f>
        <v/>
      </c>
      <c r="H46" s="22" t="str">
        <f aca="false">IF($F46=0,"Untouched",IF($G46="","No rating",IF($G46&lt;=3,"Weak","Solid")))</f>
        <v>Untouched</v>
      </c>
    </row>
    <row r="47" customFormat="false" ht="15" hidden="false" customHeight="true" outlineLevel="0" collapsed="false">
      <c r="B47" s="11" t="s">
        <v>310</v>
      </c>
      <c r="C47" s="11" t="s">
        <v>311</v>
      </c>
      <c r="D47" s="12" t="n">
        <f aca="false">COUNTIFS(Master!$B$2:$B$571,$B47,Master!$C$2:$C$571,$C47)</f>
        <v>4</v>
      </c>
      <c r="E47" s="12" t="n">
        <f aca="false">COUNTIFS(Master!$B$2:$B$571,$B47,Master!$C$2:$C$571,$C47,Master!$F$2:$F$571,"Core")</f>
        <v>2</v>
      </c>
      <c r="F47" s="12" t="n">
        <f aca="false">COUNTIFS(Master!$B$2:$B$571,$B47,Master!$C$2:$C$571,$C47,Master!$I$2:$I$571,"Solved")+COUNTIFS(Master!$B$2:$B$571,$B47,Master!$C$2:$C$571,$C47,Master!$I$2:$I$571,"Mastered")</f>
        <v>0</v>
      </c>
      <c r="G47" s="27" t="str">
        <f aca="false">IFERROR(AVERAGEIFS(Master!$J$2:$J$571,Master!$B$2:$B$571,$B47,Master!$C$2:$C$571,$C47,Master!$J$2:$J$571,"&gt;0"),"")</f>
        <v/>
      </c>
      <c r="H47" s="22" t="str">
        <f aca="false">IF($F47=0,"Untouched",IF($G47="","No rating",IF($G47&lt;=3,"Weak","Solid")))</f>
        <v>Untouched</v>
      </c>
    </row>
    <row r="48" customFormat="false" ht="15" hidden="false" customHeight="true" outlineLevel="0" collapsed="false">
      <c r="B48" s="11" t="s">
        <v>310</v>
      </c>
      <c r="C48" s="11" t="s">
        <v>316</v>
      </c>
      <c r="D48" s="12" t="n">
        <f aca="false">COUNTIFS(Master!$B$2:$B$571,$B48,Master!$C$2:$C$571,$C48)</f>
        <v>6</v>
      </c>
      <c r="E48" s="12" t="n">
        <f aca="false">COUNTIFS(Master!$B$2:$B$571,$B48,Master!$C$2:$C$571,$C48,Master!$F$2:$F$571,"Core")</f>
        <v>2</v>
      </c>
      <c r="F48" s="12" t="n">
        <f aca="false">COUNTIFS(Master!$B$2:$B$571,$B48,Master!$C$2:$C$571,$C48,Master!$I$2:$I$571,"Solved")+COUNTIFS(Master!$B$2:$B$571,$B48,Master!$C$2:$C$571,$C48,Master!$I$2:$I$571,"Mastered")</f>
        <v>0</v>
      </c>
      <c r="G48" s="27" t="str">
        <f aca="false">IFERROR(AVERAGEIFS(Master!$J$2:$J$571,Master!$B$2:$B$571,$B48,Master!$C$2:$C$571,$C48,Master!$J$2:$J$571,"&gt;0"),"")</f>
        <v/>
      </c>
      <c r="H48" s="22" t="str">
        <f aca="false">IF($F48=0,"Untouched",IF($G48="","No rating",IF($G48&lt;=3,"Weak","Solid")))</f>
        <v>Untouched</v>
      </c>
    </row>
    <row r="49" customFormat="false" ht="15" hidden="false" customHeight="true" outlineLevel="0" collapsed="false">
      <c r="B49" s="11" t="s">
        <v>310</v>
      </c>
      <c r="C49" s="11" t="s">
        <v>323</v>
      </c>
      <c r="D49" s="12" t="n">
        <f aca="false">COUNTIFS(Master!$B$2:$B$571,$B49,Master!$C$2:$C$571,$C49)</f>
        <v>1</v>
      </c>
      <c r="E49" s="12" t="n">
        <f aca="false">COUNTIFS(Master!$B$2:$B$571,$B49,Master!$C$2:$C$571,$C49,Master!$F$2:$F$571,"Core")</f>
        <v>1</v>
      </c>
      <c r="F49" s="12" t="n">
        <f aca="false">COUNTIFS(Master!$B$2:$B$571,$B49,Master!$C$2:$C$571,$C49,Master!$I$2:$I$571,"Solved")+COUNTIFS(Master!$B$2:$B$571,$B49,Master!$C$2:$C$571,$C49,Master!$I$2:$I$571,"Mastered")</f>
        <v>0</v>
      </c>
      <c r="G49" s="27" t="str">
        <f aca="false">IFERROR(AVERAGEIFS(Master!$J$2:$J$571,Master!$B$2:$B$571,$B49,Master!$C$2:$C$571,$C49,Master!$J$2:$J$571,"&gt;0"),"")</f>
        <v/>
      </c>
      <c r="H49" s="22" t="str">
        <f aca="false">IF($F49=0,"Untouched",IF($G49="","No rating",IF($G49&lt;=3,"Weak","Solid")))</f>
        <v>Untouched</v>
      </c>
    </row>
    <row r="50" customFormat="false" ht="15" hidden="false" customHeight="true" outlineLevel="0" collapsed="false">
      <c r="B50" s="11" t="s">
        <v>310</v>
      </c>
      <c r="C50" s="11" t="s">
        <v>325</v>
      </c>
      <c r="D50" s="12" t="n">
        <f aca="false">COUNTIFS(Master!$B$2:$B$571,$B50,Master!$C$2:$C$571,$C50)</f>
        <v>1</v>
      </c>
      <c r="E50" s="12" t="n">
        <f aca="false">COUNTIFS(Master!$B$2:$B$571,$B50,Master!$C$2:$C$571,$C50,Master!$F$2:$F$571,"Core")</f>
        <v>1</v>
      </c>
      <c r="F50" s="12" t="n">
        <f aca="false">COUNTIFS(Master!$B$2:$B$571,$B50,Master!$C$2:$C$571,$C50,Master!$I$2:$I$571,"Solved")+COUNTIFS(Master!$B$2:$B$571,$B50,Master!$C$2:$C$571,$C50,Master!$I$2:$I$571,"Mastered")</f>
        <v>0</v>
      </c>
      <c r="G50" s="27" t="str">
        <f aca="false">IFERROR(AVERAGEIFS(Master!$J$2:$J$571,Master!$B$2:$B$571,$B50,Master!$C$2:$C$571,$C50,Master!$J$2:$J$571,"&gt;0"),"")</f>
        <v/>
      </c>
      <c r="H50" s="22" t="str">
        <f aca="false">IF($F50=0,"Untouched",IF($G50="","No rating",IF($G50&lt;=3,"Weak","Solid")))</f>
        <v>Untouched</v>
      </c>
    </row>
    <row r="51" customFormat="false" ht="15" hidden="false" customHeight="true" outlineLevel="0" collapsed="false">
      <c r="B51" s="11" t="s">
        <v>310</v>
      </c>
      <c r="C51" s="11" t="s">
        <v>327</v>
      </c>
      <c r="D51" s="12" t="n">
        <f aca="false">COUNTIFS(Master!$B$2:$B$571,$B51,Master!$C$2:$C$571,$C51)</f>
        <v>1</v>
      </c>
      <c r="E51" s="12" t="n">
        <f aca="false">COUNTIFS(Master!$B$2:$B$571,$B51,Master!$C$2:$C$571,$C51,Master!$F$2:$F$571,"Core")</f>
        <v>1</v>
      </c>
      <c r="F51" s="12" t="n">
        <f aca="false">COUNTIFS(Master!$B$2:$B$571,$B51,Master!$C$2:$C$571,$C51,Master!$I$2:$I$571,"Solved")+COUNTIFS(Master!$B$2:$B$571,$B51,Master!$C$2:$C$571,$C51,Master!$I$2:$I$571,"Mastered")</f>
        <v>0</v>
      </c>
      <c r="G51" s="27" t="str">
        <f aca="false">IFERROR(AVERAGEIFS(Master!$J$2:$J$571,Master!$B$2:$B$571,$B51,Master!$C$2:$C$571,$C51,Master!$J$2:$J$571,"&gt;0"),"")</f>
        <v/>
      </c>
      <c r="H51" s="22" t="str">
        <f aca="false">IF($F51=0,"Untouched",IF($G51="","No rating",IF($G51&lt;=3,"Weak","Solid")))</f>
        <v>Untouched</v>
      </c>
    </row>
    <row r="52" customFormat="false" ht="15" hidden="false" customHeight="true" outlineLevel="0" collapsed="false">
      <c r="B52" s="11" t="s">
        <v>310</v>
      </c>
      <c r="C52" s="11" t="s">
        <v>329</v>
      </c>
      <c r="D52" s="12" t="n">
        <f aca="false">COUNTIFS(Master!$B$2:$B$571,$B52,Master!$C$2:$C$571,$C52)</f>
        <v>1</v>
      </c>
      <c r="E52" s="12" t="n">
        <f aca="false">COUNTIFS(Master!$B$2:$B$571,$B52,Master!$C$2:$C$571,$C52,Master!$F$2:$F$571,"Core")</f>
        <v>1</v>
      </c>
      <c r="F52" s="12" t="n">
        <f aca="false">COUNTIFS(Master!$B$2:$B$571,$B52,Master!$C$2:$C$571,$C52,Master!$I$2:$I$571,"Solved")+COUNTIFS(Master!$B$2:$B$571,$B52,Master!$C$2:$C$571,$C52,Master!$I$2:$I$571,"Mastered")</f>
        <v>0</v>
      </c>
      <c r="G52" s="27" t="str">
        <f aca="false">IFERROR(AVERAGEIFS(Master!$J$2:$J$571,Master!$B$2:$B$571,$B52,Master!$C$2:$C$571,$C52,Master!$J$2:$J$571,"&gt;0"),"")</f>
        <v/>
      </c>
      <c r="H52" s="22" t="str">
        <f aca="false">IF($F52=0,"Untouched",IF($G52="","No rating",IF($G52&lt;=3,"Weak","Solid")))</f>
        <v>Untouched</v>
      </c>
    </row>
    <row r="53" customFormat="false" ht="15" hidden="false" customHeight="true" outlineLevel="0" collapsed="false">
      <c r="B53" s="11" t="s">
        <v>310</v>
      </c>
      <c r="C53" s="11" t="s">
        <v>331</v>
      </c>
      <c r="D53" s="12" t="n">
        <f aca="false">COUNTIFS(Master!$B$2:$B$571,$B53,Master!$C$2:$C$571,$C53)</f>
        <v>2</v>
      </c>
      <c r="E53" s="12" t="n">
        <f aca="false">COUNTIFS(Master!$B$2:$B$571,$B53,Master!$C$2:$C$571,$C53,Master!$F$2:$F$571,"Core")</f>
        <v>2</v>
      </c>
      <c r="F53" s="12" t="n">
        <f aca="false">COUNTIFS(Master!$B$2:$B$571,$B53,Master!$C$2:$C$571,$C53,Master!$I$2:$I$571,"Solved")+COUNTIFS(Master!$B$2:$B$571,$B53,Master!$C$2:$C$571,$C53,Master!$I$2:$I$571,"Mastered")</f>
        <v>0</v>
      </c>
      <c r="G53" s="27" t="str">
        <f aca="false">IFERROR(AVERAGEIFS(Master!$J$2:$J$571,Master!$B$2:$B$571,$B53,Master!$C$2:$C$571,$C53,Master!$J$2:$J$571,"&gt;0"),"")</f>
        <v/>
      </c>
      <c r="H53" s="22" t="str">
        <f aca="false">IF($F53=0,"Untouched",IF($G53="","No rating",IF($G53&lt;=3,"Weak","Solid")))</f>
        <v>Untouched</v>
      </c>
    </row>
    <row r="54" customFormat="false" ht="15" hidden="false" customHeight="true" outlineLevel="0" collapsed="false">
      <c r="B54" s="11" t="s">
        <v>334</v>
      </c>
      <c r="C54" s="11" t="s">
        <v>335</v>
      </c>
      <c r="D54" s="12" t="n">
        <f aca="false">COUNTIFS(Master!$B$2:$B$571,$B54,Master!$C$2:$C$571,$C54)</f>
        <v>4</v>
      </c>
      <c r="E54" s="12" t="n">
        <f aca="false">COUNTIFS(Master!$B$2:$B$571,$B54,Master!$C$2:$C$571,$C54,Master!$F$2:$F$571,"Core")</f>
        <v>2</v>
      </c>
      <c r="F54" s="12" t="n">
        <f aca="false">COUNTIFS(Master!$B$2:$B$571,$B54,Master!$C$2:$C$571,$C54,Master!$I$2:$I$571,"Solved")+COUNTIFS(Master!$B$2:$B$571,$B54,Master!$C$2:$C$571,$C54,Master!$I$2:$I$571,"Mastered")</f>
        <v>0</v>
      </c>
      <c r="G54" s="27" t="str">
        <f aca="false">IFERROR(AVERAGEIFS(Master!$J$2:$J$571,Master!$B$2:$B$571,$B54,Master!$C$2:$C$571,$C54,Master!$J$2:$J$571,"&gt;0"),"")</f>
        <v/>
      </c>
      <c r="H54" s="22" t="str">
        <f aca="false">IF($F54=0,"Untouched",IF($G54="","No rating",IF($G54&lt;=3,"Weak","Solid")))</f>
        <v>Untouched</v>
      </c>
    </row>
    <row r="55" customFormat="false" ht="15" hidden="false" customHeight="true" outlineLevel="0" collapsed="false">
      <c r="B55" s="11" t="s">
        <v>334</v>
      </c>
      <c r="C55" s="11" t="s">
        <v>340</v>
      </c>
      <c r="D55" s="12" t="n">
        <f aca="false">COUNTIFS(Master!$B$2:$B$571,$B55,Master!$C$2:$C$571,$C55)</f>
        <v>4</v>
      </c>
      <c r="E55" s="12" t="n">
        <f aca="false">COUNTIFS(Master!$B$2:$B$571,$B55,Master!$C$2:$C$571,$C55,Master!$F$2:$F$571,"Core")</f>
        <v>2</v>
      </c>
      <c r="F55" s="12" t="n">
        <f aca="false">COUNTIFS(Master!$B$2:$B$571,$B55,Master!$C$2:$C$571,$C55,Master!$I$2:$I$571,"Solved")+COUNTIFS(Master!$B$2:$B$571,$B55,Master!$C$2:$C$571,$C55,Master!$I$2:$I$571,"Mastered")</f>
        <v>0</v>
      </c>
      <c r="G55" s="27" t="str">
        <f aca="false">IFERROR(AVERAGEIFS(Master!$J$2:$J$571,Master!$B$2:$B$571,$B55,Master!$C$2:$C$571,$C55,Master!$J$2:$J$571,"&gt;0"),"")</f>
        <v/>
      </c>
      <c r="H55" s="22" t="str">
        <f aca="false">IF($F55=0,"Untouched",IF($G55="","No rating",IF($G55&lt;=3,"Weak","Solid")))</f>
        <v>Untouched</v>
      </c>
    </row>
    <row r="56" customFormat="false" ht="15" hidden="false" customHeight="true" outlineLevel="0" collapsed="false">
      <c r="B56" s="11" t="s">
        <v>334</v>
      </c>
      <c r="C56" s="11" t="s">
        <v>345</v>
      </c>
      <c r="D56" s="12" t="n">
        <f aca="false">COUNTIFS(Master!$B$2:$B$571,$B56,Master!$C$2:$C$571,$C56)</f>
        <v>1</v>
      </c>
      <c r="E56" s="12" t="n">
        <f aca="false">COUNTIFS(Master!$B$2:$B$571,$B56,Master!$C$2:$C$571,$C56,Master!$F$2:$F$571,"Core")</f>
        <v>1</v>
      </c>
      <c r="F56" s="12" t="n">
        <f aca="false">COUNTIFS(Master!$B$2:$B$571,$B56,Master!$C$2:$C$571,$C56,Master!$I$2:$I$571,"Solved")+COUNTIFS(Master!$B$2:$B$571,$B56,Master!$C$2:$C$571,$C56,Master!$I$2:$I$571,"Mastered")</f>
        <v>0</v>
      </c>
      <c r="G56" s="27" t="str">
        <f aca="false">IFERROR(AVERAGEIFS(Master!$J$2:$J$571,Master!$B$2:$B$571,$B56,Master!$C$2:$C$571,$C56,Master!$J$2:$J$571,"&gt;0"),"")</f>
        <v/>
      </c>
      <c r="H56" s="22" t="str">
        <f aca="false">IF($F56=0,"Untouched",IF($G56="","No rating",IF($G56&lt;=3,"Weak","Solid")))</f>
        <v>Untouched</v>
      </c>
    </row>
    <row r="57" customFormat="false" ht="15" hidden="false" customHeight="true" outlineLevel="0" collapsed="false">
      <c r="B57" s="11" t="s">
        <v>334</v>
      </c>
      <c r="C57" s="11" t="s">
        <v>347</v>
      </c>
      <c r="D57" s="12" t="n">
        <f aca="false">COUNTIFS(Master!$B$2:$B$571,$B57,Master!$C$2:$C$571,$C57)</f>
        <v>2</v>
      </c>
      <c r="E57" s="12" t="n">
        <f aca="false">COUNTIFS(Master!$B$2:$B$571,$B57,Master!$C$2:$C$571,$C57,Master!$F$2:$F$571,"Core")</f>
        <v>2</v>
      </c>
      <c r="F57" s="12" t="n">
        <f aca="false">COUNTIFS(Master!$B$2:$B$571,$B57,Master!$C$2:$C$571,$C57,Master!$I$2:$I$571,"Solved")+COUNTIFS(Master!$B$2:$B$571,$B57,Master!$C$2:$C$571,$C57,Master!$I$2:$I$571,"Mastered")</f>
        <v>0</v>
      </c>
      <c r="G57" s="27" t="str">
        <f aca="false">IFERROR(AVERAGEIFS(Master!$J$2:$J$571,Master!$B$2:$B$571,$B57,Master!$C$2:$C$571,$C57,Master!$J$2:$J$571,"&gt;0"),"")</f>
        <v/>
      </c>
      <c r="H57" s="22" t="str">
        <f aca="false">IF($F57=0,"Untouched",IF($G57="","No rating",IF($G57&lt;=3,"Weak","Solid")))</f>
        <v>Untouched</v>
      </c>
    </row>
    <row r="58" customFormat="false" ht="15" hidden="false" customHeight="true" outlineLevel="0" collapsed="false">
      <c r="B58" s="11" t="s">
        <v>350</v>
      </c>
      <c r="C58" s="11" t="s">
        <v>351</v>
      </c>
      <c r="D58" s="12" t="n">
        <f aca="false">COUNTIFS(Master!$B$2:$B$571,$B58,Master!$C$2:$C$571,$C58)</f>
        <v>5</v>
      </c>
      <c r="E58" s="12" t="n">
        <f aca="false">COUNTIFS(Master!$B$2:$B$571,$B58,Master!$C$2:$C$571,$C58,Master!$F$2:$F$571,"Core")</f>
        <v>2</v>
      </c>
      <c r="F58" s="12" t="n">
        <f aca="false">COUNTIFS(Master!$B$2:$B$571,$B58,Master!$C$2:$C$571,$C58,Master!$I$2:$I$571,"Solved")+COUNTIFS(Master!$B$2:$B$571,$B58,Master!$C$2:$C$571,$C58,Master!$I$2:$I$571,"Mastered")</f>
        <v>0</v>
      </c>
      <c r="G58" s="27" t="str">
        <f aca="false">IFERROR(AVERAGEIFS(Master!$J$2:$J$571,Master!$B$2:$B$571,$B58,Master!$C$2:$C$571,$C58,Master!$J$2:$J$571,"&gt;0"),"")</f>
        <v/>
      </c>
      <c r="H58" s="22" t="str">
        <f aca="false">IF($F58=0,"Untouched",IF($G58="","No rating",IF($G58&lt;=3,"Weak","Solid")))</f>
        <v>Untouched</v>
      </c>
    </row>
    <row r="59" customFormat="false" ht="15" hidden="false" customHeight="true" outlineLevel="0" collapsed="false">
      <c r="B59" s="11" t="s">
        <v>350</v>
      </c>
      <c r="C59" s="11" t="s">
        <v>357</v>
      </c>
      <c r="D59" s="12" t="n">
        <f aca="false">COUNTIFS(Master!$B$2:$B$571,$B59,Master!$C$2:$C$571,$C59)</f>
        <v>6</v>
      </c>
      <c r="E59" s="12" t="n">
        <f aca="false">COUNTIFS(Master!$B$2:$B$571,$B59,Master!$C$2:$C$571,$C59,Master!$F$2:$F$571,"Core")</f>
        <v>2</v>
      </c>
      <c r="F59" s="12" t="n">
        <f aca="false">COUNTIFS(Master!$B$2:$B$571,$B59,Master!$C$2:$C$571,$C59,Master!$I$2:$I$571,"Solved")+COUNTIFS(Master!$B$2:$B$571,$B59,Master!$C$2:$C$571,$C59,Master!$I$2:$I$571,"Mastered")</f>
        <v>0</v>
      </c>
      <c r="G59" s="27" t="str">
        <f aca="false">IFERROR(AVERAGEIFS(Master!$J$2:$J$571,Master!$B$2:$B$571,$B59,Master!$C$2:$C$571,$C59,Master!$J$2:$J$571,"&gt;0"),"")</f>
        <v/>
      </c>
      <c r="H59" s="22" t="str">
        <f aca="false">IF($F59=0,"Untouched",IF($G59="","No rating",IF($G59&lt;=3,"Weak","Solid")))</f>
        <v>Untouched</v>
      </c>
    </row>
    <row r="60" customFormat="false" ht="15" hidden="false" customHeight="true" outlineLevel="0" collapsed="false">
      <c r="B60" s="11" t="s">
        <v>350</v>
      </c>
      <c r="C60" s="11" t="s">
        <v>364</v>
      </c>
      <c r="D60" s="12" t="n">
        <f aca="false">COUNTIFS(Master!$B$2:$B$571,$B60,Master!$C$2:$C$571,$C60)</f>
        <v>5</v>
      </c>
      <c r="E60" s="12" t="n">
        <f aca="false">COUNTIFS(Master!$B$2:$B$571,$B60,Master!$C$2:$C$571,$C60,Master!$F$2:$F$571,"Core")</f>
        <v>2</v>
      </c>
      <c r="F60" s="12" t="n">
        <f aca="false">COUNTIFS(Master!$B$2:$B$571,$B60,Master!$C$2:$C$571,$C60,Master!$I$2:$I$571,"Solved")+COUNTIFS(Master!$B$2:$B$571,$B60,Master!$C$2:$C$571,$C60,Master!$I$2:$I$571,"Mastered")</f>
        <v>0</v>
      </c>
      <c r="G60" s="27" t="str">
        <f aca="false">IFERROR(AVERAGEIFS(Master!$J$2:$J$571,Master!$B$2:$B$571,$B60,Master!$C$2:$C$571,$C60,Master!$J$2:$J$571,"&gt;0"),"")</f>
        <v/>
      </c>
      <c r="H60" s="22" t="str">
        <f aca="false">IF($F60=0,"Untouched",IF($G60="","No rating",IF($G60&lt;=3,"Weak","Solid")))</f>
        <v>Untouched</v>
      </c>
    </row>
    <row r="61" customFormat="false" ht="15" hidden="false" customHeight="true" outlineLevel="0" collapsed="false">
      <c r="B61" s="11" t="s">
        <v>350</v>
      </c>
      <c r="C61" s="11" t="s">
        <v>370</v>
      </c>
      <c r="D61" s="12" t="n">
        <f aca="false">COUNTIFS(Master!$B$2:$B$571,$B61,Master!$C$2:$C$571,$C61)</f>
        <v>3</v>
      </c>
      <c r="E61" s="12" t="n">
        <f aca="false">COUNTIFS(Master!$B$2:$B$571,$B61,Master!$C$2:$C$571,$C61,Master!$F$2:$F$571,"Core")</f>
        <v>2</v>
      </c>
      <c r="F61" s="12" t="n">
        <f aca="false">COUNTIFS(Master!$B$2:$B$571,$B61,Master!$C$2:$C$571,$C61,Master!$I$2:$I$571,"Solved")+COUNTIFS(Master!$B$2:$B$571,$B61,Master!$C$2:$C$571,$C61,Master!$I$2:$I$571,"Mastered")</f>
        <v>0</v>
      </c>
      <c r="G61" s="27" t="str">
        <f aca="false">IFERROR(AVERAGEIFS(Master!$J$2:$J$571,Master!$B$2:$B$571,$B61,Master!$C$2:$C$571,$C61,Master!$J$2:$J$571,"&gt;0"),"")</f>
        <v/>
      </c>
      <c r="H61" s="22" t="str">
        <f aca="false">IF($F61=0,"Untouched",IF($G61="","No rating",IF($G61&lt;=3,"Weak","Solid")))</f>
        <v>Untouched</v>
      </c>
    </row>
    <row r="62" customFormat="false" ht="15" hidden="false" customHeight="true" outlineLevel="0" collapsed="false">
      <c r="B62" s="11" t="s">
        <v>350</v>
      </c>
      <c r="C62" s="11" t="s">
        <v>374</v>
      </c>
      <c r="D62" s="12" t="n">
        <f aca="false">COUNTIFS(Master!$B$2:$B$571,$B62,Master!$C$2:$C$571,$C62)</f>
        <v>2</v>
      </c>
      <c r="E62" s="12" t="n">
        <f aca="false">COUNTIFS(Master!$B$2:$B$571,$B62,Master!$C$2:$C$571,$C62,Master!$F$2:$F$571,"Core")</f>
        <v>2</v>
      </c>
      <c r="F62" s="12" t="n">
        <f aca="false">COUNTIFS(Master!$B$2:$B$571,$B62,Master!$C$2:$C$571,$C62,Master!$I$2:$I$571,"Solved")+COUNTIFS(Master!$B$2:$B$571,$B62,Master!$C$2:$C$571,$C62,Master!$I$2:$I$571,"Mastered")</f>
        <v>0</v>
      </c>
      <c r="G62" s="27" t="str">
        <f aca="false">IFERROR(AVERAGEIFS(Master!$J$2:$J$571,Master!$B$2:$B$571,$B62,Master!$C$2:$C$571,$C62,Master!$J$2:$J$571,"&gt;0"),"")</f>
        <v/>
      </c>
      <c r="H62" s="22" t="str">
        <f aca="false">IF($F62=0,"Untouched",IF($G62="","No rating",IF($G62&lt;=3,"Weak","Solid")))</f>
        <v>Untouched</v>
      </c>
    </row>
    <row r="63" customFormat="false" ht="15" hidden="false" customHeight="true" outlineLevel="0" collapsed="false">
      <c r="B63" s="11" t="s">
        <v>350</v>
      </c>
      <c r="C63" s="11" t="s">
        <v>144</v>
      </c>
      <c r="D63" s="12" t="n">
        <f aca="false">COUNTIFS(Master!$B$2:$B$571,$B63,Master!$C$2:$C$571,$C63)</f>
        <v>4</v>
      </c>
      <c r="E63" s="12" t="n">
        <f aca="false">COUNTIFS(Master!$B$2:$B$571,$B63,Master!$C$2:$C$571,$C63,Master!$F$2:$F$571,"Core")</f>
        <v>2</v>
      </c>
      <c r="F63" s="12" t="n">
        <f aca="false">COUNTIFS(Master!$B$2:$B$571,$B63,Master!$C$2:$C$571,$C63,Master!$I$2:$I$571,"Solved")+COUNTIFS(Master!$B$2:$B$571,$B63,Master!$C$2:$C$571,$C63,Master!$I$2:$I$571,"Mastered")</f>
        <v>0</v>
      </c>
      <c r="G63" s="27" t="str">
        <f aca="false">IFERROR(AVERAGEIFS(Master!$J$2:$J$571,Master!$B$2:$B$571,$B63,Master!$C$2:$C$571,$C63,Master!$J$2:$J$571,"&gt;0"),"")</f>
        <v/>
      </c>
      <c r="H63" s="22" t="str">
        <f aca="false">IF($F63=0,"Untouched",IF($G63="","No rating",IF($G63&lt;=3,"Weak","Solid")))</f>
        <v>Untouched</v>
      </c>
    </row>
    <row r="64" customFormat="false" ht="15" hidden="false" customHeight="true" outlineLevel="0" collapsed="false">
      <c r="B64" s="11" t="s">
        <v>350</v>
      </c>
      <c r="C64" s="11" t="s">
        <v>381</v>
      </c>
      <c r="D64" s="12" t="n">
        <f aca="false">COUNTIFS(Master!$B$2:$B$571,$B64,Master!$C$2:$C$571,$C64)</f>
        <v>4</v>
      </c>
      <c r="E64" s="12" t="n">
        <f aca="false">COUNTIFS(Master!$B$2:$B$571,$B64,Master!$C$2:$C$571,$C64,Master!$F$2:$F$571,"Core")</f>
        <v>2</v>
      </c>
      <c r="F64" s="12" t="n">
        <f aca="false">COUNTIFS(Master!$B$2:$B$571,$B64,Master!$C$2:$C$571,$C64,Master!$I$2:$I$571,"Solved")+COUNTIFS(Master!$B$2:$B$571,$B64,Master!$C$2:$C$571,$C64,Master!$I$2:$I$571,"Mastered")</f>
        <v>0</v>
      </c>
      <c r="G64" s="27" t="str">
        <f aca="false">IFERROR(AVERAGEIFS(Master!$J$2:$J$571,Master!$B$2:$B$571,$B64,Master!$C$2:$C$571,$C64,Master!$J$2:$J$571,"&gt;0"),"")</f>
        <v/>
      </c>
      <c r="H64" s="22" t="str">
        <f aca="false">IF($F64=0,"Untouched",IF($G64="","No rating",IF($G64&lt;=3,"Weak","Solid")))</f>
        <v>Untouched</v>
      </c>
    </row>
    <row r="65" customFormat="false" ht="15" hidden="false" customHeight="true" outlineLevel="0" collapsed="false">
      <c r="B65" s="11" t="s">
        <v>350</v>
      </c>
      <c r="C65" s="11" t="s">
        <v>386</v>
      </c>
      <c r="D65" s="12" t="n">
        <f aca="false">COUNTIFS(Master!$B$2:$B$571,$B65,Master!$C$2:$C$571,$C65)</f>
        <v>1</v>
      </c>
      <c r="E65" s="12" t="n">
        <f aca="false">COUNTIFS(Master!$B$2:$B$571,$B65,Master!$C$2:$C$571,$C65,Master!$F$2:$F$571,"Core")</f>
        <v>1</v>
      </c>
      <c r="F65" s="12" t="n">
        <f aca="false">COUNTIFS(Master!$B$2:$B$571,$B65,Master!$C$2:$C$571,$C65,Master!$I$2:$I$571,"Solved")+COUNTIFS(Master!$B$2:$B$571,$B65,Master!$C$2:$C$571,$C65,Master!$I$2:$I$571,"Mastered")</f>
        <v>0</v>
      </c>
      <c r="G65" s="27" t="str">
        <f aca="false">IFERROR(AVERAGEIFS(Master!$J$2:$J$571,Master!$B$2:$B$571,$B65,Master!$C$2:$C$571,$C65,Master!$J$2:$J$571,"&gt;0"),"")</f>
        <v/>
      </c>
      <c r="H65" s="22" t="str">
        <f aca="false">IF($F65=0,"Untouched",IF($G65="","No rating",IF($G65&lt;=3,"Weak","Solid")))</f>
        <v>Untouched</v>
      </c>
    </row>
    <row r="66" customFormat="false" ht="15" hidden="false" customHeight="true" outlineLevel="0" collapsed="false">
      <c r="B66" s="11" t="s">
        <v>388</v>
      </c>
      <c r="C66" s="11" t="s">
        <v>389</v>
      </c>
      <c r="D66" s="12" t="n">
        <f aca="false">COUNTIFS(Master!$B$2:$B$571,$B66,Master!$C$2:$C$571,$C66)</f>
        <v>3</v>
      </c>
      <c r="E66" s="12" t="n">
        <f aca="false">COUNTIFS(Master!$B$2:$B$571,$B66,Master!$C$2:$C$571,$C66,Master!$F$2:$F$571,"Core")</f>
        <v>2</v>
      </c>
      <c r="F66" s="12" t="n">
        <f aca="false">COUNTIFS(Master!$B$2:$B$571,$B66,Master!$C$2:$C$571,$C66,Master!$I$2:$I$571,"Solved")+COUNTIFS(Master!$B$2:$B$571,$B66,Master!$C$2:$C$571,$C66,Master!$I$2:$I$571,"Mastered")</f>
        <v>0</v>
      </c>
      <c r="G66" s="27" t="str">
        <f aca="false">IFERROR(AVERAGEIFS(Master!$J$2:$J$571,Master!$B$2:$B$571,$B66,Master!$C$2:$C$571,$C66,Master!$J$2:$J$571,"&gt;0"),"")</f>
        <v/>
      </c>
      <c r="H66" s="22" t="str">
        <f aca="false">IF($F66=0,"Untouched",IF($G66="","No rating",IF($G66&lt;=3,"Weak","Solid")))</f>
        <v>Untouched</v>
      </c>
    </row>
    <row r="67" customFormat="false" ht="15" hidden="false" customHeight="true" outlineLevel="0" collapsed="false">
      <c r="B67" s="11" t="s">
        <v>388</v>
      </c>
      <c r="C67" s="11" t="s">
        <v>386</v>
      </c>
      <c r="D67" s="12" t="n">
        <f aca="false">COUNTIFS(Master!$B$2:$B$571,$B67,Master!$C$2:$C$571,$C67)</f>
        <v>5</v>
      </c>
      <c r="E67" s="12" t="n">
        <f aca="false">COUNTIFS(Master!$B$2:$B$571,$B67,Master!$C$2:$C$571,$C67,Master!$F$2:$F$571,"Core")</f>
        <v>2</v>
      </c>
      <c r="F67" s="12" t="n">
        <f aca="false">COUNTIFS(Master!$B$2:$B$571,$B67,Master!$C$2:$C$571,$C67,Master!$I$2:$I$571,"Solved")+COUNTIFS(Master!$B$2:$B$571,$B67,Master!$C$2:$C$571,$C67,Master!$I$2:$I$571,"Mastered")</f>
        <v>0</v>
      </c>
      <c r="G67" s="27" t="str">
        <f aca="false">IFERROR(AVERAGEIFS(Master!$J$2:$J$571,Master!$B$2:$B$571,$B67,Master!$C$2:$C$571,$C67,Master!$J$2:$J$571,"&gt;0"),"")</f>
        <v/>
      </c>
      <c r="H67" s="22" t="str">
        <f aca="false">IF($F67=0,"Untouched",IF($G67="","No rating",IF($G67&lt;=3,"Weak","Solid")))</f>
        <v>Untouched</v>
      </c>
    </row>
    <row r="68" customFormat="false" ht="15" hidden="false" customHeight="true" outlineLevel="0" collapsed="false">
      <c r="B68" s="11" t="s">
        <v>388</v>
      </c>
      <c r="C68" s="11" t="s">
        <v>398</v>
      </c>
      <c r="D68" s="12" t="n">
        <f aca="false">COUNTIFS(Master!$B$2:$B$571,$B68,Master!$C$2:$C$571,$C68)</f>
        <v>4</v>
      </c>
      <c r="E68" s="12" t="n">
        <f aca="false">COUNTIFS(Master!$B$2:$B$571,$B68,Master!$C$2:$C$571,$C68,Master!$F$2:$F$571,"Core")</f>
        <v>2</v>
      </c>
      <c r="F68" s="12" t="n">
        <f aca="false">COUNTIFS(Master!$B$2:$B$571,$B68,Master!$C$2:$C$571,$C68,Master!$I$2:$I$571,"Solved")+COUNTIFS(Master!$B$2:$B$571,$B68,Master!$C$2:$C$571,$C68,Master!$I$2:$I$571,"Mastered")</f>
        <v>0</v>
      </c>
      <c r="G68" s="27" t="str">
        <f aca="false">IFERROR(AVERAGEIFS(Master!$J$2:$J$571,Master!$B$2:$B$571,$B68,Master!$C$2:$C$571,$C68,Master!$J$2:$J$571,"&gt;0"),"")</f>
        <v/>
      </c>
      <c r="H68" s="22" t="str">
        <f aca="false">IF($F68=0,"Untouched",IF($G68="","No rating",IF($G68&lt;=3,"Weak","Solid")))</f>
        <v>Untouched</v>
      </c>
    </row>
    <row r="69" customFormat="false" ht="15" hidden="false" customHeight="true" outlineLevel="0" collapsed="false">
      <c r="B69" s="11" t="s">
        <v>388</v>
      </c>
      <c r="C69" s="11" t="s">
        <v>306</v>
      </c>
      <c r="D69" s="12" t="n">
        <f aca="false">COUNTIFS(Master!$B$2:$B$571,$B69,Master!$C$2:$C$571,$C69)</f>
        <v>6</v>
      </c>
      <c r="E69" s="12" t="n">
        <f aca="false">COUNTIFS(Master!$B$2:$B$571,$B69,Master!$C$2:$C$571,$C69,Master!$F$2:$F$571,"Core")</f>
        <v>2</v>
      </c>
      <c r="F69" s="12" t="n">
        <f aca="false">COUNTIFS(Master!$B$2:$B$571,$B69,Master!$C$2:$C$571,$C69,Master!$I$2:$I$571,"Solved")+COUNTIFS(Master!$B$2:$B$571,$B69,Master!$C$2:$C$571,$C69,Master!$I$2:$I$571,"Mastered")</f>
        <v>0</v>
      </c>
      <c r="G69" s="27" t="str">
        <f aca="false">IFERROR(AVERAGEIFS(Master!$J$2:$J$571,Master!$B$2:$B$571,$B69,Master!$C$2:$C$571,$C69,Master!$J$2:$J$571,"&gt;0"),"")</f>
        <v/>
      </c>
      <c r="H69" s="22" t="str">
        <f aca="false">IF($F69=0,"Untouched",IF($G69="","No rating",IF($G69&lt;=3,"Weak","Solid")))</f>
        <v>Untouched</v>
      </c>
    </row>
    <row r="70" customFormat="false" ht="15" hidden="false" customHeight="true" outlineLevel="0" collapsed="false">
      <c r="B70" s="11" t="s">
        <v>388</v>
      </c>
      <c r="C70" s="11" t="s">
        <v>409</v>
      </c>
      <c r="D70" s="12" t="n">
        <f aca="false">COUNTIFS(Master!$B$2:$B$571,$B70,Master!$C$2:$C$571,$C70)</f>
        <v>11</v>
      </c>
      <c r="E70" s="12" t="n">
        <f aca="false">COUNTIFS(Master!$B$2:$B$571,$B70,Master!$C$2:$C$571,$C70,Master!$F$2:$F$571,"Core")</f>
        <v>2</v>
      </c>
      <c r="F70" s="12" t="n">
        <f aca="false">COUNTIFS(Master!$B$2:$B$571,$B70,Master!$C$2:$C$571,$C70,Master!$I$2:$I$571,"Solved")+COUNTIFS(Master!$B$2:$B$571,$B70,Master!$C$2:$C$571,$C70,Master!$I$2:$I$571,"Mastered")</f>
        <v>0</v>
      </c>
      <c r="G70" s="27" t="str">
        <f aca="false">IFERROR(AVERAGEIFS(Master!$J$2:$J$571,Master!$B$2:$B$571,$B70,Master!$C$2:$C$571,$C70,Master!$J$2:$J$571,"&gt;0"),"")</f>
        <v/>
      </c>
      <c r="H70" s="22" t="str">
        <f aca="false">IF($F70=0,"Untouched",IF($G70="","No rating",IF($G70&lt;=3,"Weak","Solid")))</f>
        <v>Untouched</v>
      </c>
    </row>
    <row r="71" customFormat="false" ht="15" hidden="false" customHeight="true" outlineLevel="0" collapsed="false">
      <c r="B71" s="11" t="s">
        <v>421</v>
      </c>
      <c r="C71" s="11" t="s">
        <v>422</v>
      </c>
      <c r="D71" s="12" t="n">
        <f aca="false">COUNTIFS(Master!$B$2:$B$571,$B71,Master!$C$2:$C$571,$C71)</f>
        <v>4</v>
      </c>
      <c r="E71" s="12" t="n">
        <f aca="false">COUNTIFS(Master!$B$2:$B$571,$B71,Master!$C$2:$C$571,$C71,Master!$F$2:$F$571,"Core")</f>
        <v>2</v>
      </c>
      <c r="F71" s="12" t="n">
        <f aca="false">COUNTIFS(Master!$B$2:$B$571,$B71,Master!$C$2:$C$571,$C71,Master!$I$2:$I$571,"Solved")+COUNTIFS(Master!$B$2:$B$571,$B71,Master!$C$2:$C$571,$C71,Master!$I$2:$I$571,"Mastered")</f>
        <v>0</v>
      </c>
      <c r="G71" s="27" t="str">
        <f aca="false">IFERROR(AVERAGEIFS(Master!$J$2:$J$571,Master!$B$2:$B$571,$B71,Master!$C$2:$C$571,$C71,Master!$J$2:$J$571,"&gt;0"),"")</f>
        <v/>
      </c>
      <c r="H71" s="22" t="str">
        <f aca="false">IF($F71=0,"Untouched",IF($G71="","No rating",IF($G71&lt;=3,"Weak","Solid")))</f>
        <v>Untouched</v>
      </c>
    </row>
    <row r="72" customFormat="false" ht="15" hidden="false" customHeight="true" outlineLevel="0" collapsed="false">
      <c r="B72" s="11" t="s">
        <v>421</v>
      </c>
      <c r="C72" s="11" t="s">
        <v>427</v>
      </c>
      <c r="D72" s="12" t="n">
        <f aca="false">COUNTIFS(Master!$B$2:$B$571,$B72,Master!$C$2:$C$571,$C72)</f>
        <v>5</v>
      </c>
      <c r="E72" s="12" t="n">
        <f aca="false">COUNTIFS(Master!$B$2:$B$571,$B72,Master!$C$2:$C$571,$C72,Master!$F$2:$F$571,"Core")</f>
        <v>2</v>
      </c>
      <c r="F72" s="12" t="n">
        <f aca="false">COUNTIFS(Master!$B$2:$B$571,$B72,Master!$C$2:$C$571,$C72,Master!$I$2:$I$571,"Solved")+COUNTIFS(Master!$B$2:$B$571,$B72,Master!$C$2:$C$571,$C72,Master!$I$2:$I$571,"Mastered")</f>
        <v>0</v>
      </c>
      <c r="G72" s="27" t="str">
        <f aca="false">IFERROR(AVERAGEIFS(Master!$J$2:$J$571,Master!$B$2:$B$571,$B72,Master!$C$2:$C$571,$C72,Master!$J$2:$J$571,"&gt;0"),"")</f>
        <v/>
      </c>
      <c r="H72" s="22" t="str">
        <f aca="false">IF($F72=0,"Untouched",IF($G72="","No rating",IF($G72&lt;=3,"Weak","Solid")))</f>
        <v>Untouched</v>
      </c>
    </row>
    <row r="73" customFormat="false" ht="15" hidden="false" customHeight="true" outlineLevel="0" collapsed="false">
      <c r="B73" s="11" t="s">
        <v>421</v>
      </c>
      <c r="C73" s="11" t="s">
        <v>433</v>
      </c>
      <c r="D73" s="12" t="n">
        <f aca="false">COUNTIFS(Master!$B$2:$B$571,$B73,Master!$C$2:$C$571,$C73)</f>
        <v>2</v>
      </c>
      <c r="E73" s="12" t="n">
        <f aca="false">COUNTIFS(Master!$B$2:$B$571,$B73,Master!$C$2:$C$571,$C73,Master!$F$2:$F$571,"Core")</f>
        <v>2</v>
      </c>
      <c r="F73" s="12" t="n">
        <f aca="false">COUNTIFS(Master!$B$2:$B$571,$B73,Master!$C$2:$C$571,$C73,Master!$I$2:$I$571,"Solved")+COUNTIFS(Master!$B$2:$B$571,$B73,Master!$C$2:$C$571,$C73,Master!$I$2:$I$571,"Mastered")</f>
        <v>0</v>
      </c>
      <c r="G73" s="27" t="str">
        <f aca="false">IFERROR(AVERAGEIFS(Master!$J$2:$J$571,Master!$B$2:$B$571,$B73,Master!$C$2:$C$571,$C73,Master!$J$2:$J$571,"&gt;0"),"")</f>
        <v/>
      </c>
      <c r="H73" s="22" t="str">
        <f aca="false">IF($F73=0,"Untouched",IF($G73="","No rating",IF($G73&lt;=3,"Weak","Solid")))</f>
        <v>Untouched</v>
      </c>
    </row>
    <row r="74" customFormat="false" ht="15" hidden="false" customHeight="true" outlineLevel="0" collapsed="false">
      <c r="B74" s="11" t="s">
        <v>421</v>
      </c>
      <c r="C74" s="11" t="s">
        <v>436</v>
      </c>
      <c r="D74" s="12" t="n">
        <f aca="false">COUNTIFS(Master!$B$2:$B$571,$B74,Master!$C$2:$C$571,$C74)</f>
        <v>10</v>
      </c>
      <c r="E74" s="12" t="n">
        <f aca="false">COUNTIFS(Master!$B$2:$B$571,$B74,Master!$C$2:$C$571,$C74,Master!$F$2:$F$571,"Core")</f>
        <v>2</v>
      </c>
      <c r="F74" s="12" t="n">
        <f aca="false">COUNTIFS(Master!$B$2:$B$571,$B74,Master!$C$2:$C$571,$C74,Master!$I$2:$I$571,"Solved")+COUNTIFS(Master!$B$2:$B$571,$B74,Master!$C$2:$C$571,$C74,Master!$I$2:$I$571,"Mastered")</f>
        <v>0</v>
      </c>
      <c r="G74" s="27" t="str">
        <f aca="false">IFERROR(AVERAGEIFS(Master!$J$2:$J$571,Master!$B$2:$B$571,$B74,Master!$C$2:$C$571,$C74,Master!$J$2:$J$571,"&gt;0"),"")</f>
        <v/>
      </c>
      <c r="H74" s="22" t="str">
        <f aca="false">IF($F74=0,"Untouched",IF($G74="","No rating",IF($G74&lt;=3,"Weak","Solid")))</f>
        <v>Untouched</v>
      </c>
    </row>
    <row r="75" customFormat="false" ht="15" hidden="false" customHeight="true" outlineLevel="0" collapsed="false">
      <c r="B75" s="11" t="s">
        <v>421</v>
      </c>
      <c r="C75" s="11" t="s">
        <v>447</v>
      </c>
      <c r="D75" s="12" t="n">
        <f aca="false">COUNTIFS(Master!$B$2:$B$571,$B75,Master!$C$2:$C$571,$C75)</f>
        <v>2</v>
      </c>
      <c r="E75" s="12" t="n">
        <f aca="false">COUNTIFS(Master!$B$2:$B$571,$B75,Master!$C$2:$C$571,$C75,Master!$F$2:$F$571,"Core")</f>
        <v>2</v>
      </c>
      <c r="F75" s="12" t="n">
        <f aca="false">COUNTIFS(Master!$B$2:$B$571,$B75,Master!$C$2:$C$571,$C75,Master!$I$2:$I$571,"Solved")+COUNTIFS(Master!$B$2:$B$571,$B75,Master!$C$2:$C$571,$C75,Master!$I$2:$I$571,"Mastered")</f>
        <v>0</v>
      </c>
      <c r="G75" s="27" t="str">
        <f aca="false">IFERROR(AVERAGEIFS(Master!$J$2:$J$571,Master!$B$2:$B$571,$B75,Master!$C$2:$C$571,$C75,Master!$J$2:$J$571,"&gt;0"),"")</f>
        <v/>
      </c>
      <c r="H75" s="22" t="str">
        <f aca="false">IF($F75=0,"Untouched",IF($G75="","No rating",IF($G75&lt;=3,"Weak","Solid")))</f>
        <v>Untouched</v>
      </c>
    </row>
    <row r="76" customFormat="false" ht="15" hidden="false" customHeight="true" outlineLevel="0" collapsed="false">
      <c r="B76" s="11" t="s">
        <v>421</v>
      </c>
      <c r="C76" s="11" t="s">
        <v>386</v>
      </c>
      <c r="D76" s="12" t="n">
        <f aca="false">COUNTIFS(Master!$B$2:$B$571,$B76,Master!$C$2:$C$571,$C76)</f>
        <v>2</v>
      </c>
      <c r="E76" s="12" t="n">
        <f aca="false">COUNTIFS(Master!$B$2:$B$571,$B76,Master!$C$2:$C$571,$C76,Master!$F$2:$F$571,"Core")</f>
        <v>2</v>
      </c>
      <c r="F76" s="12" t="n">
        <f aca="false">COUNTIFS(Master!$B$2:$B$571,$B76,Master!$C$2:$C$571,$C76,Master!$I$2:$I$571,"Solved")+COUNTIFS(Master!$B$2:$B$571,$B76,Master!$C$2:$C$571,$C76,Master!$I$2:$I$571,"Mastered")</f>
        <v>0</v>
      </c>
      <c r="G76" s="27" t="str">
        <f aca="false">IFERROR(AVERAGEIFS(Master!$J$2:$J$571,Master!$B$2:$B$571,$B76,Master!$C$2:$C$571,$C76,Master!$J$2:$J$571,"&gt;0"),"")</f>
        <v/>
      </c>
      <c r="H76" s="22" t="str">
        <f aca="false">IF($F76=0,"Untouched",IF($G76="","No rating",IF($G76&lt;=3,"Weak","Solid")))</f>
        <v>Untouched</v>
      </c>
    </row>
    <row r="77" customFormat="false" ht="15" hidden="false" customHeight="true" outlineLevel="0" collapsed="false">
      <c r="B77" s="11" t="s">
        <v>452</v>
      </c>
      <c r="C77" s="11" t="s">
        <v>453</v>
      </c>
      <c r="D77" s="12" t="n">
        <f aca="false">COUNTIFS(Master!$B$2:$B$571,$B77,Master!$C$2:$C$571,$C77)</f>
        <v>1</v>
      </c>
      <c r="E77" s="12" t="n">
        <f aca="false">COUNTIFS(Master!$B$2:$B$571,$B77,Master!$C$2:$C$571,$C77,Master!$F$2:$F$571,"Core")</f>
        <v>1</v>
      </c>
      <c r="F77" s="12" t="n">
        <f aca="false">COUNTIFS(Master!$B$2:$B$571,$B77,Master!$C$2:$C$571,$C77,Master!$I$2:$I$571,"Solved")+COUNTIFS(Master!$B$2:$B$571,$B77,Master!$C$2:$C$571,$C77,Master!$I$2:$I$571,"Mastered")</f>
        <v>0</v>
      </c>
      <c r="G77" s="27" t="str">
        <f aca="false">IFERROR(AVERAGEIFS(Master!$J$2:$J$571,Master!$B$2:$B$571,$B77,Master!$C$2:$C$571,$C77,Master!$J$2:$J$571,"&gt;0"),"")</f>
        <v/>
      </c>
      <c r="H77" s="22" t="str">
        <f aca="false">IF($F77=0,"Untouched",IF($G77="","No rating",IF($G77&lt;=3,"Weak","Solid")))</f>
        <v>Untouched</v>
      </c>
    </row>
    <row r="78" customFormat="false" ht="15" hidden="false" customHeight="true" outlineLevel="0" collapsed="false">
      <c r="B78" s="11" t="s">
        <v>452</v>
      </c>
      <c r="C78" s="11" t="s">
        <v>306</v>
      </c>
      <c r="D78" s="12" t="n">
        <f aca="false">COUNTIFS(Master!$B$2:$B$571,$B78,Master!$C$2:$C$571,$C78)</f>
        <v>1</v>
      </c>
      <c r="E78" s="12" t="n">
        <f aca="false">COUNTIFS(Master!$B$2:$B$571,$B78,Master!$C$2:$C$571,$C78,Master!$F$2:$F$571,"Core")</f>
        <v>1</v>
      </c>
      <c r="F78" s="12" t="n">
        <f aca="false">COUNTIFS(Master!$B$2:$B$571,$B78,Master!$C$2:$C$571,$C78,Master!$I$2:$I$571,"Solved")+COUNTIFS(Master!$B$2:$B$571,$B78,Master!$C$2:$C$571,$C78,Master!$I$2:$I$571,"Mastered")</f>
        <v>0</v>
      </c>
      <c r="G78" s="27" t="str">
        <f aca="false">IFERROR(AVERAGEIFS(Master!$J$2:$J$571,Master!$B$2:$B$571,$B78,Master!$C$2:$C$571,$C78,Master!$J$2:$J$571,"&gt;0"),"")</f>
        <v/>
      </c>
      <c r="H78" s="22" t="str">
        <f aca="false">IF($F78=0,"Untouched",IF($G78="","No rating",IF($G78&lt;=3,"Weak","Solid")))</f>
        <v>Untouched</v>
      </c>
    </row>
    <row r="79" customFormat="false" ht="15" hidden="false" customHeight="true" outlineLevel="0" collapsed="false">
      <c r="B79" s="11" t="s">
        <v>452</v>
      </c>
      <c r="C79" s="11" t="s">
        <v>456</v>
      </c>
      <c r="D79" s="12" t="n">
        <f aca="false">COUNTIFS(Master!$B$2:$B$571,$B79,Master!$C$2:$C$571,$C79)</f>
        <v>2</v>
      </c>
      <c r="E79" s="12" t="n">
        <f aca="false">COUNTIFS(Master!$B$2:$B$571,$B79,Master!$C$2:$C$571,$C79,Master!$F$2:$F$571,"Core")</f>
        <v>2</v>
      </c>
      <c r="F79" s="12" t="n">
        <f aca="false">COUNTIFS(Master!$B$2:$B$571,$B79,Master!$C$2:$C$571,$C79,Master!$I$2:$I$571,"Solved")+COUNTIFS(Master!$B$2:$B$571,$B79,Master!$C$2:$C$571,$C79,Master!$I$2:$I$571,"Mastered")</f>
        <v>0</v>
      </c>
      <c r="G79" s="27" t="str">
        <f aca="false">IFERROR(AVERAGEIFS(Master!$J$2:$J$571,Master!$B$2:$B$571,$B79,Master!$C$2:$C$571,$C79,Master!$J$2:$J$571,"&gt;0"),"")</f>
        <v/>
      </c>
      <c r="H79" s="22" t="str">
        <f aca="false">IF($F79=0,"Untouched",IF($G79="","No rating",IF($G79&lt;=3,"Weak","Solid")))</f>
        <v>Untouched</v>
      </c>
    </row>
    <row r="80" customFormat="false" ht="15" hidden="false" customHeight="true" outlineLevel="0" collapsed="false">
      <c r="B80" s="11" t="s">
        <v>452</v>
      </c>
      <c r="C80" s="11" t="s">
        <v>459</v>
      </c>
      <c r="D80" s="12" t="n">
        <f aca="false">COUNTIFS(Master!$B$2:$B$571,$B80,Master!$C$2:$C$571,$C80)</f>
        <v>1</v>
      </c>
      <c r="E80" s="12" t="n">
        <f aca="false">COUNTIFS(Master!$B$2:$B$571,$B80,Master!$C$2:$C$571,$C80,Master!$F$2:$F$571,"Core")</f>
        <v>1</v>
      </c>
      <c r="F80" s="12" t="n">
        <f aca="false">COUNTIFS(Master!$B$2:$B$571,$B80,Master!$C$2:$C$571,$C80,Master!$I$2:$I$571,"Solved")+COUNTIFS(Master!$B$2:$B$571,$B80,Master!$C$2:$C$571,$C80,Master!$I$2:$I$571,"Mastered")</f>
        <v>0</v>
      </c>
      <c r="G80" s="27" t="str">
        <f aca="false">IFERROR(AVERAGEIFS(Master!$J$2:$J$571,Master!$B$2:$B$571,$B80,Master!$C$2:$C$571,$C80,Master!$J$2:$J$571,"&gt;0"),"")</f>
        <v/>
      </c>
      <c r="H80" s="22" t="str">
        <f aca="false">IF($F80=0,"Untouched",IF($G80="","No rating",IF($G80&lt;=3,"Weak","Solid")))</f>
        <v>Untouched</v>
      </c>
    </row>
    <row r="81" customFormat="false" ht="15" hidden="false" customHeight="true" outlineLevel="0" collapsed="false">
      <c r="B81" s="11" t="s">
        <v>452</v>
      </c>
      <c r="C81" s="11" t="s">
        <v>461</v>
      </c>
      <c r="D81" s="12" t="n">
        <f aca="false">COUNTIFS(Master!$B$2:$B$571,$B81,Master!$C$2:$C$571,$C81)</f>
        <v>2</v>
      </c>
      <c r="E81" s="12" t="n">
        <f aca="false">COUNTIFS(Master!$B$2:$B$571,$B81,Master!$C$2:$C$571,$C81,Master!$F$2:$F$571,"Core")</f>
        <v>2</v>
      </c>
      <c r="F81" s="12" t="n">
        <f aca="false">COUNTIFS(Master!$B$2:$B$571,$B81,Master!$C$2:$C$571,$C81,Master!$I$2:$I$571,"Solved")+COUNTIFS(Master!$B$2:$B$571,$B81,Master!$C$2:$C$571,$C81,Master!$I$2:$I$571,"Mastered")</f>
        <v>0</v>
      </c>
      <c r="G81" s="27" t="str">
        <f aca="false">IFERROR(AVERAGEIFS(Master!$J$2:$J$571,Master!$B$2:$B$571,$B81,Master!$C$2:$C$571,$C81,Master!$J$2:$J$571,"&gt;0"),"")</f>
        <v/>
      </c>
      <c r="H81" s="22" t="str">
        <f aca="false">IF($F81=0,"Untouched",IF($G81="","No rating",IF($G81&lt;=3,"Weak","Solid")))</f>
        <v>Untouched</v>
      </c>
    </row>
    <row r="82" customFormat="false" ht="15" hidden="false" customHeight="true" outlineLevel="0" collapsed="false">
      <c r="B82" s="11" t="s">
        <v>452</v>
      </c>
      <c r="C82" s="11" t="s">
        <v>464</v>
      </c>
      <c r="D82" s="12" t="n">
        <f aca="false">COUNTIFS(Master!$B$2:$B$571,$B82,Master!$C$2:$C$571,$C82)</f>
        <v>1</v>
      </c>
      <c r="E82" s="12" t="n">
        <f aca="false">COUNTIFS(Master!$B$2:$B$571,$B82,Master!$C$2:$C$571,$C82,Master!$F$2:$F$571,"Core")</f>
        <v>1</v>
      </c>
      <c r="F82" s="12" t="n">
        <f aca="false">COUNTIFS(Master!$B$2:$B$571,$B82,Master!$C$2:$C$571,$C82,Master!$I$2:$I$571,"Solved")+COUNTIFS(Master!$B$2:$B$571,$B82,Master!$C$2:$C$571,$C82,Master!$I$2:$I$571,"Mastered")</f>
        <v>0</v>
      </c>
      <c r="G82" s="27" t="str">
        <f aca="false">IFERROR(AVERAGEIFS(Master!$J$2:$J$571,Master!$B$2:$B$571,$B82,Master!$C$2:$C$571,$C82,Master!$J$2:$J$571,"&gt;0"),"")</f>
        <v/>
      </c>
      <c r="H82" s="22" t="str">
        <f aca="false">IF($F82=0,"Untouched",IF($G82="","No rating",IF($G82&lt;=3,"Weak","Solid")))</f>
        <v>Untouched</v>
      </c>
    </row>
    <row r="83" customFormat="false" ht="15" hidden="false" customHeight="true" outlineLevel="0" collapsed="false">
      <c r="B83" s="11" t="s">
        <v>452</v>
      </c>
      <c r="C83" s="11" t="s">
        <v>466</v>
      </c>
      <c r="D83" s="12" t="n">
        <f aca="false">COUNTIFS(Master!$B$2:$B$571,$B83,Master!$C$2:$C$571,$C83)</f>
        <v>5</v>
      </c>
      <c r="E83" s="12" t="n">
        <f aca="false">COUNTIFS(Master!$B$2:$B$571,$B83,Master!$C$2:$C$571,$C83,Master!$F$2:$F$571,"Core")</f>
        <v>2</v>
      </c>
      <c r="F83" s="12" t="n">
        <f aca="false">COUNTIFS(Master!$B$2:$B$571,$B83,Master!$C$2:$C$571,$C83,Master!$I$2:$I$571,"Solved")+COUNTIFS(Master!$B$2:$B$571,$B83,Master!$C$2:$C$571,$C83,Master!$I$2:$I$571,"Mastered")</f>
        <v>0</v>
      </c>
      <c r="G83" s="27" t="str">
        <f aca="false">IFERROR(AVERAGEIFS(Master!$J$2:$J$571,Master!$B$2:$B$571,$B83,Master!$C$2:$C$571,$C83,Master!$J$2:$J$571,"&gt;0"),"")</f>
        <v/>
      </c>
      <c r="H83" s="22" t="str">
        <f aca="false">IF($F83=0,"Untouched",IF($G83="","No rating",IF($G83&lt;=3,"Weak","Solid")))</f>
        <v>Untouched</v>
      </c>
    </row>
    <row r="84" customFormat="false" ht="15" hidden="false" customHeight="true" outlineLevel="0" collapsed="false">
      <c r="B84" s="11" t="s">
        <v>452</v>
      </c>
      <c r="C84" s="11" t="s">
        <v>472</v>
      </c>
      <c r="D84" s="12" t="n">
        <f aca="false">COUNTIFS(Master!$B$2:$B$571,$B84,Master!$C$2:$C$571,$C84)</f>
        <v>3</v>
      </c>
      <c r="E84" s="12" t="n">
        <f aca="false">COUNTIFS(Master!$B$2:$B$571,$B84,Master!$C$2:$C$571,$C84,Master!$F$2:$F$571,"Core")</f>
        <v>2</v>
      </c>
      <c r="F84" s="12" t="n">
        <f aca="false">COUNTIFS(Master!$B$2:$B$571,$B84,Master!$C$2:$C$571,$C84,Master!$I$2:$I$571,"Solved")+COUNTIFS(Master!$B$2:$B$571,$B84,Master!$C$2:$C$571,$C84,Master!$I$2:$I$571,"Mastered")</f>
        <v>0</v>
      </c>
      <c r="G84" s="27" t="str">
        <f aca="false">IFERROR(AVERAGEIFS(Master!$J$2:$J$571,Master!$B$2:$B$571,$B84,Master!$C$2:$C$571,$C84,Master!$J$2:$J$571,"&gt;0"),"")</f>
        <v/>
      </c>
      <c r="H84" s="22" t="str">
        <f aca="false">IF($F84=0,"Untouched",IF($G84="","No rating",IF($G84&lt;=3,"Weak","Solid")))</f>
        <v>Untouched</v>
      </c>
    </row>
    <row r="85" customFormat="false" ht="15" hidden="false" customHeight="true" outlineLevel="0" collapsed="false">
      <c r="B85" s="11" t="s">
        <v>452</v>
      </c>
      <c r="C85" s="11" t="s">
        <v>476</v>
      </c>
      <c r="D85" s="12" t="n">
        <f aca="false">COUNTIFS(Master!$B$2:$B$571,$B85,Master!$C$2:$C$571,$C85)</f>
        <v>1</v>
      </c>
      <c r="E85" s="12" t="n">
        <f aca="false">COUNTIFS(Master!$B$2:$B$571,$B85,Master!$C$2:$C$571,$C85,Master!$F$2:$F$571,"Core")</f>
        <v>1</v>
      </c>
      <c r="F85" s="12" t="n">
        <f aca="false">COUNTIFS(Master!$B$2:$B$571,$B85,Master!$C$2:$C$571,$C85,Master!$I$2:$I$571,"Solved")+COUNTIFS(Master!$B$2:$B$571,$B85,Master!$C$2:$C$571,$C85,Master!$I$2:$I$571,"Mastered")</f>
        <v>0</v>
      </c>
      <c r="G85" s="27" t="str">
        <f aca="false">IFERROR(AVERAGEIFS(Master!$J$2:$J$571,Master!$B$2:$B$571,$B85,Master!$C$2:$C$571,$C85,Master!$J$2:$J$571,"&gt;0"),"")</f>
        <v/>
      </c>
      <c r="H85" s="22" t="str">
        <f aca="false">IF($F85=0,"Untouched",IF($G85="","No rating",IF($G85&lt;=3,"Weak","Solid")))</f>
        <v>Untouched</v>
      </c>
    </row>
    <row r="86" customFormat="false" ht="15" hidden="false" customHeight="true" outlineLevel="0" collapsed="false">
      <c r="B86" s="11" t="s">
        <v>452</v>
      </c>
      <c r="C86" s="11" t="s">
        <v>478</v>
      </c>
      <c r="D86" s="12" t="n">
        <f aca="false">COUNTIFS(Master!$B$2:$B$571,$B86,Master!$C$2:$C$571,$C86)</f>
        <v>1</v>
      </c>
      <c r="E86" s="12" t="n">
        <f aca="false">COUNTIFS(Master!$B$2:$B$571,$B86,Master!$C$2:$C$571,$C86,Master!$F$2:$F$571,"Core")</f>
        <v>1</v>
      </c>
      <c r="F86" s="12" t="n">
        <f aca="false">COUNTIFS(Master!$B$2:$B$571,$B86,Master!$C$2:$C$571,$C86,Master!$I$2:$I$571,"Solved")+COUNTIFS(Master!$B$2:$B$571,$B86,Master!$C$2:$C$571,$C86,Master!$I$2:$I$571,"Mastered")</f>
        <v>0</v>
      </c>
      <c r="G86" s="27" t="str">
        <f aca="false">IFERROR(AVERAGEIFS(Master!$J$2:$J$571,Master!$B$2:$B$571,$B86,Master!$C$2:$C$571,$C86,Master!$J$2:$J$571,"&gt;0"),"")</f>
        <v/>
      </c>
      <c r="H86" s="22" t="str">
        <f aca="false">IF($F86=0,"Untouched",IF($G86="","No rating",IF($G86&lt;=3,"Weak","Solid")))</f>
        <v>Untouched</v>
      </c>
    </row>
    <row r="87" customFormat="false" ht="15" hidden="false" customHeight="true" outlineLevel="0" collapsed="false">
      <c r="B87" s="11" t="s">
        <v>480</v>
      </c>
      <c r="C87" s="11" t="s">
        <v>481</v>
      </c>
      <c r="D87" s="12" t="n">
        <f aca="false">COUNTIFS(Master!$B$2:$B$571,$B87,Master!$C$2:$C$571,$C87)</f>
        <v>3</v>
      </c>
      <c r="E87" s="12" t="n">
        <f aca="false">COUNTIFS(Master!$B$2:$B$571,$B87,Master!$C$2:$C$571,$C87,Master!$F$2:$F$571,"Core")</f>
        <v>2</v>
      </c>
      <c r="F87" s="12" t="n">
        <f aca="false">COUNTIFS(Master!$B$2:$B$571,$B87,Master!$C$2:$C$571,$C87,Master!$I$2:$I$571,"Solved")+COUNTIFS(Master!$B$2:$B$571,$B87,Master!$C$2:$C$571,$C87,Master!$I$2:$I$571,"Mastered")</f>
        <v>0</v>
      </c>
      <c r="G87" s="27" t="str">
        <f aca="false">IFERROR(AVERAGEIFS(Master!$J$2:$J$571,Master!$B$2:$B$571,$B87,Master!$C$2:$C$571,$C87,Master!$J$2:$J$571,"&gt;0"),"")</f>
        <v/>
      </c>
      <c r="H87" s="22" t="str">
        <f aca="false">IF($F87=0,"Untouched",IF($G87="","No rating",IF($G87&lt;=3,"Weak","Solid")))</f>
        <v>Untouched</v>
      </c>
    </row>
    <row r="88" customFormat="false" ht="15" hidden="false" customHeight="true" outlineLevel="0" collapsed="false">
      <c r="B88" s="11" t="s">
        <v>480</v>
      </c>
      <c r="C88" s="11" t="s">
        <v>484</v>
      </c>
      <c r="D88" s="12" t="n">
        <f aca="false">COUNTIFS(Master!$B$2:$B$571,$B88,Master!$C$2:$C$571,$C88)</f>
        <v>3</v>
      </c>
      <c r="E88" s="12" t="n">
        <f aca="false">COUNTIFS(Master!$B$2:$B$571,$B88,Master!$C$2:$C$571,$C88,Master!$F$2:$F$571,"Core")</f>
        <v>2</v>
      </c>
      <c r="F88" s="12" t="n">
        <f aca="false">COUNTIFS(Master!$B$2:$B$571,$B88,Master!$C$2:$C$571,$C88,Master!$I$2:$I$571,"Solved")+COUNTIFS(Master!$B$2:$B$571,$B88,Master!$C$2:$C$571,$C88,Master!$I$2:$I$571,"Mastered")</f>
        <v>0</v>
      </c>
      <c r="G88" s="27" t="str">
        <f aca="false">IFERROR(AVERAGEIFS(Master!$J$2:$J$571,Master!$B$2:$B$571,$B88,Master!$C$2:$C$571,$C88,Master!$J$2:$J$571,"&gt;0"),"")</f>
        <v/>
      </c>
      <c r="H88" s="22" t="str">
        <f aca="false">IF($F88=0,"Untouched",IF($G88="","No rating",IF($G88&lt;=3,"Weak","Solid")))</f>
        <v>Untouched</v>
      </c>
    </row>
    <row r="89" customFormat="false" ht="15" hidden="false" customHeight="true" outlineLevel="0" collapsed="false">
      <c r="B89" s="11" t="s">
        <v>480</v>
      </c>
      <c r="C89" s="11" t="s">
        <v>487</v>
      </c>
      <c r="D89" s="12" t="n">
        <f aca="false">COUNTIFS(Master!$B$2:$B$571,$B89,Master!$C$2:$C$571,$C89)</f>
        <v>5</v>
      </c>
      <c r="E89" s="12" t="n">
        <f aca="false">COUNTIFS(Master!$B$2:$B$571,$B89,Master!$C$2:$C$571,$C89,Master!$F$2:$F$571,"Core")</f>
        <v>2</v>
      </c>
      <c r="F89" s="12" t="n">
        <f aca="false">COUNTIFS(Master!$B$2:$B$571,$B89,Master!$C$2:$C$571,$C89,Master!$I$2:$I$571,"Solved")+COUNTIFS(Master!$B$2:$B$571,$B89,Master!$C$2:$C$571,$C89,Master!$I$2:$I$571,"Mastered")</f>
        <v>0</v>
      </c>
      <c r="G89" s="27" t="str">
        <f aca="false">IFERROR(AVERAGEIFS(Master!$J$2:$J$571,Master!$B$2:$B$571,$B89,Master!$C$2:$C$571,$C89,Master!$J$2:$J$571,"&gt;0"),"")</f>
        <v/>
      </c>
      <c r="H89" s="22" t="str">
        <f aca="false">IF($F89=0,"Untouched",IF($G89="","No rating",IF($G89&lt;=3,"Weak","Solid")))</f>
        <v>Untouched</v>
      </c>
    </row>
    <row r="90" customFormat="false" ht="15" hidden="false" customHeight="true" outlineLevel="0" collapsed="false">
      <c r="B90" s="11" t="s">
        <v>480</v>
      </c>
      <c r="C90" s="11" t="s">
        <v>492</v>
      </c>
      <c r="D90" s="12" t="n">
        <f aca="false">COUNTIFS(Master!$B$2:$B$571,$B90,Master!$C$2:$C$571,$C90)</f>
        <v>2</v>
      </c>
      <c r="E90" s="12" t="n">
        <f aca="false">COUNTIFS(Master!$B$2:$B$571,$B90,Master!$C$2:$C$571,$C90,Master!$F$2:$F$571,"Core")</f>
        <v>2</v>
      </c>
      <c r="F90" s="12" t="n">
        <f aca="false">COUNTIFS(Master!$B$2:$B$571,$B90,Master!$C$2:$C$571,$C90,Master!$I$2:$I$571,"Solved")+COUNTIFS(Master!$B$2:$B$571,$B90,Master!$C$2:$C$571,$C90,Master!$I$2:$I$571,"Mastered")</f>
        <v>0</v>
      </c>
      <c r="G90" s="27" t="str">
        <f aca="false">IFERROR(AVERAGEIFS(Master!$J$2:$J$571,Master!$B$2:$B$571,$B90,Master!$C$2:$C$571,$C90,Master!$J$2:$J$571,"&gt;0"),"")</f>
        <v/>
      </c>
      <c r="H90" s="22" t="str">
        <f aca="false">IF($F90=0,"Untouched",IF($G90="","No rating",IF($G90&lt;=3,"Weak","Solid")))</f>
        <v>Untouched</v>
      </c>
    </row>
    <row r="91" customFormat="false" ht="15" hidden="false" customHeight="true" outlineLevel="0" collapsed="false">
      <c r="B91" s="11" t="s">
        <v>480</v>
      </c>
      <c r="C91" s="11" t="s">
        <v>495</v>
      </c>
      <c r="D91" s="12" t="n">
        <f aca="false">COUNTIFS(Master!$B$2:$B$571,$B91,Master!$C$2:$C$571,$C91)</f>
        <v>2</v>
      </c>
      <c r="E91" s="12" t="n">
        <f aca="false">COUNTIFS(Master!$B$2:$B$571,$B91,Master!$C$2:$C$571,$C91,Master!$F$2:$F$571,"Core")</f>
        <v>2</v>
      </c>
      <c r="F91" s="12" t="n">
        <f aca="false">COUNTIFS(Master!$B$2:$B$571,$B91,Master!$C$2:$C$571,$C91,Master!$I$2:$I$571,"Solved")+COUNTIFS(Master!$B$2:$B$571,$B91,Master!$C$2:$C$571,$C91,Master!$I$2:$I$571,"Mastered")</f>
        <v>0</v>
      </c>
      <c r="G91" s="27" t="str">
        <f aca="false">IFERROR(AVERAGEIFS(Master!$J$2:$J$571,Master!$B$2:$B$571,$B91,Master!$C$2:$C$571,$C91,Master!$J$2:$J$571,"&gt;0"),"")</f>
        <v/>
      </c>
      <c r="H91" s="22" t="str">
        <f aca="false">IF($F91=0,"Untouched",IF($G91="","No rating",IF($G91&lt;=3,"Weak","Solid")))</f>
        <v>Untouched</v>
      </c>
    </row>
    <row r="92" customFormat="false" ht="15" hidden="false" customHeight="true" outlineLevel="0" collapsed="false">
      <c r="B92" s="11" t="s">
        <v>480</v>
      </c>
      <c r="C92" s="11" t="s">
        <v>498</v>
      </c>
      <c r="D92" s="12" t="n">
        <f aca="false">COUNTIFS(Master!$B$2:$B$571,$B92,Master!$C$2:$C$571,$C92)</f>
        <v>5</v>
      </c>
      <c r="E92" s="12" t="n">
        <f aca="false">COUNTIFS(Master!$B$2:$B$571,$B92,Master!$C$2:$C$571,$C92,Master!$F$2:$F$571,"Core")</f>
        <v>2</v>
      </c>
      <c r="F92" s="12" t="n">
        <f aca="false">COUNTIFS(Master!$B$2:$B$571,$B92,Master!$C$2:$C$571,$C92,Master!$I$2:$I$571,"Solved")+COUNTIFS(Master!$B$2:$B$571,$B92,Master!$C$2:$C$571,$C92,Master!$I$2:$I$571,"Mastered")</f>
        <v>0</v>
      </c>
      <c r="G92" s="27" t="str">
        <f aca="false">IFERROR(AVERAGEIFS(Master!$J$2:$J$571,Master!$B$2:$B$571,$B92,Master!$C$2:$C$571,$C92,Master!$J$2:$J$571,"&gt;0"),"")</f>
        <v/>
      </c>
      <c r="H92" s="22" t="str">
        <f aca="false">IF($F92=0,"Untouched",IF($G92="","No rating",IF($G92&lt;=3,"Weak","Solid")))</f>
        <v>Untouched</v>
      </c>
    </row>
    <row r="93" customFormat="false" ht="15" hidden="false" customHeight="true" outlineLevel="0" collapsed="false">
      <c r="B93" s="11" t="s">
        <v>480</v>
      </c>
      <c r="C93" s="11" t="s">
        <v>504</v>
      </c>
      <c r="D93" s="12" t="n">
        <f aca="false">COUNTIFS(Master!$B$2:$B$571,$B93,Master!$C$2:$C$571,$C93)</f>
        <v>2</v>
      </c>
      <c r="E93" s="12" t="n">
        <f aca="false">COUNTIFS(Master!$B$2:$B$571,$B93,Master!$C$2:$C$571,$C93,Master!$F$2:$F$571,"Core")</f>
        <v>2</v>
      </c>
      <c r="F93" s="12" t="n">
        <f aca="false">COUNTIFS(Master!$B$2:$B$571,$B93,Master!$C$2:$C$571,$C93,Master!$I$2:$I$571,"Solved")+COUNTIFS(Master!$B$2:$B$571,$B93,Master!$C$2:$C$571,$C93,Master!$I$2:$I$571,"Mastered")</f>
        <v>0</v>
      </c>
      <c r="G93" s="27" t="str">
        <f aca="false">IFERROR(AVERAGEIFS(Master!$J$2:$J$571,Master!$B$2:$B$571,$B93,Master!$C$2:$C$571,$C93,Master!$J$2:$J$571,"&gt;0"),"")</f>
        <v/>
      </c>
      <c r="H93" s="22" t="str">
        <f aca="false">IF($F93=0,"Untouched",IF($G93="","No rating",IF($G93&lt;=3,"Weak","Solid")))</f>
        <v>Untouched</v>
      </c>
    </row>
    <row r="94" customFormat="false" ht="15" hidden="false" customHeight="true" outlineLevel="0" collapsed="false">
      <c r="B94" s="11" t="s">
        <v>480</v>
      </c>
      <c r="C94" s="11" t="s">
        <v>507</v>
      </c>
      <c r="D94" s="12" t="n">
        <f aca="false">COUNTIFS(Master!$B$2:$B$571,$B94,Master!$C$2:$C$571,$C94)</f>
        <v>1</v>
      </c>
      <c r="E94" s="12" t="n">
        <f aca="false">COUNTIFS(Master!$B$2:$B$571,$B94,Master!$C$2:$C$571,$C94,Master!$F$2:$F$571,"Core")</f>
        <v>1</v>
      </c>
      <c r="F94" s="12" t="n">
        <f aca="false">COUNTIFS(Master!$B$2:$B$571,$B94,Master!$C$2:$C$571,$C94,Master!$I$2:$I$571,"Solved")+COUNTIFS(Master!$B$2:$B$571,$B94,Master!$C$2:$C$571,$C94,Master!$I$2:$I$571,"Mastered")</f>
        <v>0</v>
      </c>
      <c r="G94" s="27" t="str">
        <f aca="false">IFERROR(AVERAGEIFS(Master!$J$2:$J$571,Master!$B$2:$B$571,$B94,Master!$C$2:$C$571,$C94,Master!$J$2:$J$571,"&gt;0"),"")</f>
        <v/>
      </c>
      <c r="H94" s="22" t="str">
        <f aca="false">IF($F94=0,"Untouched",IF($G94="","No rating",IF($G94&lt;=3,"Weak","Solid")))</f>
        <v>Untouched</v>
      </c>
    </row>
    <row r="95" customFormat="false" ht="15" hidden="false" customHeight="true" outlineLevel="0" collapsed="false">
      <c r="B95" s="11" t="s">
        <v>480</v>
      </c>
      <c r="C95" s="11" t="s">
        <v>398</v>
      </c>
      <c r="D95" s="12" t="n">
        <f aca="false">COUNTIFS(Master!$B$2:$B$571,$B95,Master!$C$2:$C$571,$C95)</f>
        <v>1</v>
      </c>
      <c r="E95" s="12" t="n">
        <f aca="false">COUNTIFS(Master!$B$2:$B$571,$B95,Master!$C$2:$C$571,$C95,Master!$F$2:$F$571,"Core")</f>
        <v>1</v>
      </c>
      <c r="F95" s="12" t="n">
        <f aca="false">COUNTIFS(Master!$B$2:$B$571,$B95,Master!$C$2:$C$571,$C95,Master!$I$2:$I$571,"Solved")+COUNTIFS(Master!$B$2:$B$571,$B95,Master!$C$2:$C$571,$C95,Master!$I$2:$I$571,"Mastered")</f>
        <v>0</v>
      </c>
      <c r="G95" s="27" t="str">
        <f aca="false">IFERROR(AVERAGEIFS(Master!$J$2:$J$571,Master!$B$2:$B$571,$B95,Master!$C$2:$C$571,$C95,Master!$J$2:$J$571,"&gt;0"),"")</f>
        <v/>
      </c>
      <c r="H95" s="22" t="str">
        <f aca="false">IF($F95=0,"Untouched",IF($G95="","No rating",IF($G95&lt;=3,"Weak","Solid")))</f>
        <v>Untouched</v>
      </c>
    </row>
    <row r="96" customFormat="false" ht="15" hidden="false" customHeight="true" outlineLevel="0" collapsed="false">
      <c r="B96" s="11" t="s">
        <v>480</v>
      </c>
      <c r="C96" s="11" t="s">
        <v>510</v>
      </c>
      <c r="D96" s="12" t="n">
        <f aca="false">COUNTIFS(Master!$B$2:$B$571,$B96,Master!$C$2:$C$571,$C96)</f>
        <v>1</v>
      </c>
      <c r="E96" s="12" t="n">
        <f aca="false">COUNTIFS(Master!$B$2:$B$571,$B96,Master!$C$2:$C$571,$C96,Master!$F$2:$F$571,"Core")</f>
        <v>1</v>
      </c>
      <c r="F96" s="12" t="n">
        <f aca="false">COUNTIFS(Master!$B$2:$B$571,$B96,Master!$C$2:$C$571,$C96,Master!$I$2:$I$571,"Solved")+COUNTIFS(Master!$B$2:$B$571,$B96,Master!$C$2:$C$571,$C96,Master!$I$2:$I$571,"Mastered")</f>
        <v>0</v>
      </c>
      <c r="G96" s="27" t="str">
        <f aca="false">IFERROR(AVERAGEIFS(Master!$J$2:$J$571,Master!$B$2:$B$571,$B96,Master!$C$2:$C$571,$C96,Master!$J$2:$J$571,"&gt;0"),"")</f>
        <v/>
      </c>
      <c r="H96" s="22" t="str">
        <f aca="false">IF($F96=0,"Untouched",IF($G96="","No rating",IF($G96&lt;=3,"Weak","Solid")))</f>
        <v>Untouched</v>
      </c>
    </row>
    <row r="97" customFormat="false" ht="15" hidden="false" customHeight="true" outlineLevel="0" collapsed="false">
      <c r="B97" s="11" t="s">
        <v>512</v>
      </c>
      <c r="C97" s="11" t="s">
        <v>335</v>
      </c>
      <c r="D97" s="12" t="n">
        <f aca="false">COUNTIFS(Master!$B$2:$B$571,$B97,Master!$C$2:$C$571,$C97)</f>
        <v>4</v>
      </c>
      <c r="E97" s="12" t="n">
        <f aca="false">COUNTIFS(Master!$B$2:$B$571,$B97,Master!$C$2:$C$571,$C97,Master!$F$2:$F$571,"Core")</f>
        <v>2</v>
      </c>
      <c r="F97" s="12" t="n">
        <f aca="false">COUNTIFS(Master!$B$2:$B$571,$B97,Master!$C$2:$C$571,$C97,Master!$I$2:$I$571,"Solved")+COUNTIFS(Master!$B$2:$B$571,$B97,Master!$C$2:$C$571,$C97,Master!$I$2:$I$571,"Mastered")</f>
        <v>0</v>
      </c>
      <c r="G97" s="27" t="str">
        <f aca="false">IFERROR(AVERAGEIFS(Master!$J$2:$J$571,Master!$B$2:$B$571,$B97,Master!$C$2:$C$571,$C97,Master!$J$2:$J$571,"&gt;0"),"")</f>
        <v/>
      </c>
      <c r="H97" s="22" t="str">
        <f aca="false">IF($F97=0,"Untouched",IF($G97="","No rating",IF($G97&lt;=3,"Weak","Solid")))</f>
        <v>Untouched</v>
      </c>
    </row>
    <row r="98" customFormat="false" ht="15" hidden="false" customHeight="true" outlineLevel="0" collapsed="false">
      <c r="B98" s="11" t="s">
        <v>512</v>
      </c>
      <c r="C98" s="11" t="s">
        <v>517</v>
      </c>
      <c r="D98" s="12" t="n">
        <f aca="false">COUNTIFS(Master!$B$2:$B$571,$B98,Master!$C$2:$C$571,$C98)</f>
        <v>5</v>
      </c>
      <c r="E98" s="12" t="n">
        <f aca="false">COUNTIFS(Master!$B$2:$B$571,$B98,Master!$C$2:$C$571,$C98,Master!$F$2:$F$571,"Core")</f>
        <v>2</v>
      </c>
      <c r="F98" s="12" t="n">
        <f aca="false">COUNTIFS(Master!$B$2:$B$571,$B98,Master!$C$2:$C$571,$C98,Master!$I$2:$I$571,"Solved")+COUNTIFS(Master!$B$2:$B$571,$B98,Master!$C$2:$C$571,$C98,Master!$I$2:$I$571,"Mastered")</f>
        <v>0</v>
      </c>
      <c r="G98" s="27" t="str">
        <f aca="false">IFERROR(AVERAGEIFS(Master!$J$2:$J$571,Master!$B$2:$B$571,$B98,Master!$C$2:$C$571,$C98,Master!$J$2:$J$571,"&gt;0"),"")</f>
        <v/>
      </c>
      <c r="H98" s="22" t="str">
        <f aca="false">IF($F98=0,"Untouched",IF($G98="","No rating",IF($G98&lt;=3,"Weak","Solid")))</f>
        <v>Untouched</v>
      </c>
    </row>
    <row r="99" customFormat="false" ht="15" hidden="false" customHeight="true" outlineLevel="0" collapsed="false">
      <c r="B99" s="11" t="s">
        <v>512</v>
      </c>
      <c r="C99" s="11" t="s">
        <v>523</v>
      </c>
      <c r="D99" s="12" t="n">
        <f aca="false">COUNTIFS(Master!$B$2:$B$571,$B99,Master!$C$2:$C$571,$C99)</f>
        <v>5</v>
      </c>
      <c r="E99" s="12" t="n">
        <f aca="false">COUNTIFS(Master!$B$2:$B$571,$B99,Master!$C$2:$C$571,$C99,Master!$F$2:$F$571,"Core")</f>
        <v>2</v>
      </c>
      <c r="F99" s="12" t="n">
        <f aca="false">COUNTIFS(Master!$B$2:$B$571,$B99,Master!$C$2:$C$571,$C99,Master!$I$2:$I$571,"Solved")+COUNTIFS(Master!$B$2:$B$571,$B99,Master!$C$2:$C$571,$C99,Master!$I$2:$I$571,"Mastered")</f>
        <v>0</v>
      </c>
      <c r="G99" s="27" t="str">
        <f aca="false">IFERROR(AVERAGEIFS(Master!$J$2:$J$571,Master!$B$2:$B$571,$B99,Master!$C$2:$C$571,$C99,Master!$J$2:$J$571,"&gt;0"),"")</f>
        <v/>
      </c>
      <c r="H99" s="22" t="str">
        <f aca="false">IF($F99=0,"Untouched",IF($G99="","No rating",IF($G99&lt;=3,"Weak","Solid")))</f>
        <v>Untouched</v>
      </c>
    </row>
    <row r="100" customFormat="false" ht="15" hidden="false" customHeight="true" outlineLevel="0" collapsed="false">
      <c r="B100" s="11" t="s">
        <v>512</v>
      </c>
      <c r="C100" s="11" t="s">
        <v>529</v>
      </c>
      <c r="D100" s="12" t="n">
        <f aca="false">COUNTIFS(Master!$B$2:$B$571,$B100,Master!$C$2:$C$571,$C100)</f>
        <v>4</v>
      </c>
      <c r="E100" s="12" t="n">
        <f aca="false">COUNTIFS(Master!$B$2:$B$571,$B100,Master!$C$2:$C$571,$C100,Master!$F$2:$F$571,"Core")</f>
        <v>2</v>
      </c>
      <c r="F100" s="12" t="n">
        <f aca="false">COUNTIFS(Master!$B$2:$B$571,$B100,Master!$C$2:$C$571,$C100,Master!$I$2:$I$571,"Solved")+COUNTIFS(Master!$B$2:$B$571,$B100,Master!$C$2:$C$571,$C100,Master!$I$2:$I$571,"Mastered")</f>
        <v>0</v>
      </c>
      <c r="G100" s="27" t="str">
        <f aca="false">IFERROR(AVERAGEIFS(Master!$J$2:$J$571,Master!$B$2:$B$571,$B100,Master!$C$2:$C$571,$C100,Master!$J$2:$J$571,"&gt;0"),"")</f>
        <v/>
      </c>
      <c r="H100" s="22" t="str">
        <f aca="false">IF($F100=0,"Untouched",IF($G100="","No rating",IF($G100&lt;=3,"Weak","Solid")))</f>
        <v>Untouched</v>
      </c>
    </row>
    <row r="101" customFormat="false" ht="15" hidden="false" customHeight="true" outlineLevel="0" collapsed="false">
      <c r="B101" s="11" t="s">
        <v>512</v>
      </c>
      <c r="C101" s="11" t="s">
        <v>534</v>
      </c>
      <c r="D101" s="12" t="n">
        <f aca="false">COUNTIFS(Master!$B$2:$B$571,$B101,Master!$C$2:$C$571,$C101)</f>
        <v>7</v>
      </c>
      <c r="E101" s="12" t="n">
        <f aca="false">COUNTIFS(Master!$B$2:$B$571,$B101,Master!$C$2:$C$571,$C101,Master!$F$2:$F$571,"Core")</f>
        <v>2</v>
      </c>
      <c r="F101" s="12" t="n">
        <f aca="false">COUNTIFS(Master!$B$2:$B$571,$B101,Master!$C$2:$C$571,$C101,Master!$I$2:$I$571,"Solved")+COUNTIFS(Master!$B$2:$B$571,$B101,Master!$C$2:$C$571,$C101,Master!$I$2:$I$571,"Mastered")</f>
        <v>0</v>
      </c>
      <c r="G101" s="27" t="str">
        <f aca="false">IFERROR(AVERAGEIFS(Master!$J$2:$J$571,Master!$B$2:$B$571,$B101,Master!$C$2:$C$571,$C101,Master!$J$2:$J$571,"&gt;0"),"")</f>
        <v/>
      </c>
      <c r="H101" s="22" t="str">
        <f aca="false">IF($F101=0,"Untouched",IF($G101="","No rating",IF($G101&lt;=3,"Weak","Solid")))</f>
        <v>Untouched</v>
      </c>
    </row>
    <row r="102" customFormat="false" ht="15" hidden="false" customHeight="true" outlineLevel="0" collapsed="false">
      <c r="B102" s="11" t="s">
        <v>512</v>
      </c>
      <c r="C102" s="11" t="s">
        <v>542</v>
      </c>
      <c r="D102" s="12" t="n">
        <f aca="false">COUNTIFS(Master!$B$2:$B$571,$B102,Master!$C$2:$C$571,$C102)</f>
        <v>6</v>
      </c>
      <c r="E102" s="12" t="n">
        <f aca="false">COUNTIFS(Master!$B$2:$B$571,$B102,Master!$C$2:$C$571,$C102,Master!$F$2:$F$571,"Core")</f>
        <v>2</v>
      </c>
      <c r="F102" s="12" t="n">
        <f aca="false">COUNTIFS(Master!$B$2:$B$571,$B102,Master!$C$2:$C$571,$C102,Master!$I$2:$I$571,"Solved")+COUNTIFS(Master!$B$2:$B$571,$B102,Master!$C$2:$C$571,$C102,Master!$I$2:$I$571,"Mastered")</f>
        <v>0</v>
      </c>
      <c r="G102" s="27" t="str">
        <f aca="false">IFERROR(AVERAGEIFS(Master!$J$2:$J$571,Master!$B$2:$B$571,$B102,Master!$C$2:$C$571,$C102,Master!$J$2:$J$571,"&gt;0"),"")</f>
        <v/>
      </c>
      <c r="H102" s="22" t="str">
        <f aca="false">IF($F102=0,"Untouched",IF($G102="","No rating",IF($G102&lt;=3,"Weak","Solid")))</f>
        <v>Untouched</v>
      </c>
    </row>
    <row r="103" customFormat="false" ht="15" hidden="false" customHeight="true" outlineLevel="0" collapsed="false">
      <c r="B103" s="11" t="s">
        <v>512</v>
      </c>
      <c r="C103" s="11" t="s">
        <v>549</v>
      </c>
      <c r="D103" s="12" t="n">
        <f aca="false">COUNTIFS(Master!$B$2:$B$571,$B103,Master!$C$2:$C$571,$C103)</f>
        <v>2</v>
      </c>
      <c r="E103" s="12" t="n">
        <f aca="false">COUNTIFS(Master!$B$2:$B$571,$B103,Master!$C$2:$C$571,$C103,Master!$F$2:$F$571,"Core")</f>
        <v>2</v>
      </c>
      <c r="F103" s="12" t="n">
        <f aca="false">COUNTIFS(Master!$B$2:$B$571,$B103,Master!$C$2:$C$571,$C103,Master!$I$2:$I$571,"Solved")+COUNTIFS(Master!$B$2:$B$571,$B103,Master!$C$2:$C$571,$C103,Master!$I$2:$I$571,"Mastered")</f>
        <v>0</v>
      </c>
      <c r="G103" s="27" t="str">
        <f aca="false">IFERROR(AVERAGEIFS(Master!$J$2:$J$571,Master!$B$2:$B$571,$B103,Master!$C$2:$C$571,$C103,Master!$J$2:$J$571,"&gt;0"),"")</f>
        <v/>
      </c>
      <c r="H103" s="22" t="str">
        <f aca="false">IF($F103=0,"Untouched",IF($G103="","No rating",IF($G103&lt;=3,"Weak","Solid")))</f>
        <v>Untouched</v>
      </c>
    </row>
    <row r="104" customFormat="false" ht="15" hidden="false" customHeight="true" outlineLevel="0" collapsed="false">
      <c r="B104" s="11" t="s">
        <v>512</v>
      </c>
      <c r="C104" s="11" t="s">
        <v>552</v>
      </c>
      <c r="D104" s="12" t="n">
        <f aca="false">COUNTIFS(Master!$B$2:$B$571,$B104,Master!$C$2:$C$571,$C104)</f>
        <v>3</v>
      </c>
      <c r="E104" s="12" t="n">
        <f aca="false">COUNTIFS(Master!$B$2:$B$571,$B104,Master!$C$2:$C$571,$C104,Master!$F$2:$F$571,"Core")</f>
        <v>2</v>
      </c>
      <c r="F104" s="12" t="n">
        <f aca="false">COUNTIFS(Master!$B$2:$B$571,$B104,Master!$C$2:$C$571,$C104,Master!$I$2:$I$571,"Solved")+COUNTIFS(Master!$B$2:$B$571,$B104,Master!$C$2:$C$571,$C104,Master!$I$2:$I$571,"Mastered")</f>
        <v>0</v>
      </c>
      <c r="G104" s="27" t="str">
        <f aca="false">IFERROR(AVERAGEIFS(Master!$J$2:$J$571,Master!$B$2:$B$571,$B104,Master!$C$2:$C$571,$C104,Master!$J$2:$J$571,"&gt;0"),"")</f>
        <v/>
      </c>
      <c r="H104" s="22" t="str">
        <f aca="false">IF($F104=0,"Untouched",IF($G104="","No rating",IF($G104&lt;=3,"Weak","Solid")))</f>
        <v>Untouched</v>
      </c>
    </row>
    <row r="105" customFormat="false" ht="15" hidden="false" customHeight="true" outlineLevel="0" collapsed="false">
      <c r="B105" s="11" t="s">
        <v>512</v>
      </c>
      <c r="C105" s="11" t="s">
        <v>347</v>
      </c>
      <c r="D105" s="12" t="n">
        <f aca="false">COUNTIFS(Master!$B$2:$B$571,$B105,Master!$C$2:$C$571,$C105)</f>
        <v>4</v>
      </c>
      <c r="E105" s="12" t="n">
        <f aca="false">COUNTIFS(Master!$B$2:$B$571,$B105,Master!$C$2:$C$571,$C105,Master!$F$2:$F$571,"Core")</f>
        <v>2</v>
      </c>
      <c r="F105" s="12" t="n">
        <f aca="false">COUNTIFS(Master!$B$2:$B$571,$B105,Master!$C$2:$C$571,$C105,Master!$I$2:$I$571,"Solved")+COUNTIFS(Master!$B$2:$B$571,$B105,Master!$C$2:$C$571,$C105,Master!$I$2:$I$571,"Mastered")</f>
        <v>0</v>
      </c>
      <c r="G105" s="27" t="str">
        <f aca="false">IFERROR(AVERAGEIFS(Master!$J$2:$J$571,Master!$B$2:$B$571,$B105,Master!$C$2:$C$571,$C105,Master!$J$2:$J$571,"&gt;0"),"")</f>
        <v/>
      </c>
      <c r="H105" s="22" t="str">
        <f aca="false">IF($F105=0,"Untouched",IF($G105="","No rating",IF($G105&lt;=3,"Weak","Solid")))</f>
        <v>Untouched</v>
      </c>
    </row>
    <row r="106" customFormat="false" ht="15" hidden="false" customHeight="true" outlineLevel="0" collapsed="false">
      <c r="B106" s="11" t="s">
        <v>512</v>
      </c>
      <c r="C106" s="11" t="s">
        <v>560</v>
      </c>
      <c r="D106" s="12" t="n">
        <f aca="false">COUNTIFS(Master!$B$2:$B$571,$B106,Master!$C$2:$C$571,$C106)</f>
        <v>1</v>
      </c>
      <c r="E106" s="12" t="n">
        <f aca="false">COUNTIFS(Master!$B$2:$B$571,$B106,Master!$C$2:$C$571,$C106,Master!$F$2:$F$571,"Core")</f>
        <v>1</v>
      </c>
      <c r="F106" s="12" t="n">
        <f aca="false">COUNTIFS(Master!$B$2:$B$571,$B106,Master!$C$2:$C$571,$C106,Master!$I$2:$I$571,"Solved")+COUNTIFS(Master!$B$2:$B$571,$B106,Master!$C$2:$C$571,$C106,Master!$I$2:$I$571,"Mastered")</f>
        <v>0</v>
      </c>
      <c r="G106" s="27" t="str">
        <f aca="false">IFERROR(AVERAGEIFS(Master!$J$2:$J$571,Master!$B$2:$B$571,$B106,Master!$C$2:$C$571,$C106,Master!$J$2:$J$571,"&gt;0"),"")</f>
        <v/>
      </c>
      <c r="H106" s="22" t="str">
        <f aca="false">IF($F106=0,"Untouched",IF($G106="","No rating",IF($G106&lt;=3,"Weak","Solid")))</f>
        <v>Untouched</v>
      </c>
    </row>
    <row r="107" customFormat="false" ht="15" hidden="false" customHeight="true" outlineLevel="0" collapsed="false">
      <c r="B107" s="11" t="s">
        <v>512</v>
      </c>
      <c r="C107" s="11" t="s">
        <v>562</v>
      </c>
      <c r="D107" s="12" t="n">
        <f aca="false">COUNTIFS(Master!$B$2:$B$571,$B107,Master!$C$2:$C$571,$C107)</f>
        <v>4</v>
      </c>
      <c r="E107" s="12" t="n">
        <f aca="false">COUNTIFS(Master!$B$2:$B$571,$B107,Master!$C$2:$C$571,$C107,Master!$F$2:$F$571,"Core")</f>
        <v>2</v>
      </c>
      <c r="F107" s="12" t="n">
        <f aca="false">COUNTIFS(Master!$B$2:$B$571,$B107,Master!$C$2:$C$571,$C107,Master!$I$2:$I$571,"Solved")+COUNTIFS(Master!$B$2:$B$571,$B107,Master!$C$2:$C$571,$C107,Master!$I$2:$I$571,"Mastered")</f>
        <v>0</v>
      </c>
      <c r="G107" s="27" t="str">
        <f aca="false">IFERROR(AVERAGEIFS(Master!$J$2:$J$571,Master!$B$2:$B$571,$B107,Master!$C$2:$C$571,$C107,Master!$J$2:$J$571,"&gt;0"),"")</f>
        <v/>
      </c>
      <c r="H107" s="22" t="str">
        <f aca="false">IF($F107=0,"Untouched",IF($G107="","No rating",IF($G107&lt;=3,"Weak","Solid")))</f>
        <v>Untouched</v>
      </c>
    </row>
    <row r="108" customFormat="false" ht="15" hidden="false" customHeight="true" outlineLevel="0" collapsed="false">
      <c r="B108" s="11" t="s">
        <v>512</v>
      </c>
      <c r="C108" s="11" t="s">
        <v>567</v>
      </c>
      <c r="D108" s="12" t="n">
        <f aca="false">COUNTIFS(Master!$B$2:$B$571,$B108,Master!$C$2:$C$571,$C108)</f>
        <v>7</v>
      </c>
      <c r="E108" s="12" t="n">
        <f aca="false">COUNTIFS(Master!$B$2:$B$571,$B108,Master!$C$2:$C$571,$C108,Master!$F$2:$F$571,"Core")</f>
        <v>2</v>
      </c>
      <c r="F108" s="12" t="n">
        <f aca="false">COUNTIFS(Master!$B$2:$B$571,$B108,Master!$C$2:$C$571,$C108,Master!$I$2:$I$571,"Solved")+COUNTIFS(Master!$B$2:$B$571,$B108,Master!$C$2:$C$571,$C108,Master!$I$2:$I$571,"Mastered")</f>
        <v>0</v>
      </c>
      <c r="G108" s="27" t="str">
        <f aca="false">IFERROR(AVERAGEIFS(Master!$J$2:$J$571,Master!$B$2:$B$571,$B108,Master!$C$2:$C$571,$C108,Master!$J$2:$J$571,"&gt;0"),"")</f>
        <v/>
      </c>
      <c r="H108" s="22" t="str">
        <f aca="false">IF($F108=0,"Untouched",IF($G108="","No rating",IF($G108&lt;=3,"Weak","Solid")))</f>
        <v>Untouched</v>
      </c>
    </row>
    <row r="109" customFormat="false" ht="15" hidden="false" customHeight="true" outlineLevel="0" collapsed="false">
      <c r="B109" s="11" t="s">
        <v>575</v>
      </c>
      <c r="C109" s="11" t="s">
        <v>386</v>
      </c>
      <c r="D109" s="12" t="n">
        <f aca="false">COUNTIFS(Master!$B$2:$B$571,$B109,Master!$C$2:$C$571,$C109)</f>
        <v>4</v>
      </c>
      <c r="E109" s="12" t="n">
        <f aca="false">COUNTIFS(Master!$B$2:$B$571,$B109,Master!$C$2:$C$571,$C109,Master!$F$2:$F$571,"Core")</f>
        <v>2</v>
      </c>
      <c r="F109" s="12" t="n">
        <f aca="false">COUNTIFS(Master!$B$2:$B$571,$B109,Master!$C$2:$C$571,$C109,Master!$I$2:$I$571,"Solved")+COUNTIFS(Master!$B$2:$B$571,$B109,Master!$C$2:$C$571,$C109,Master!$I$2:$I$571,"Mastered")</f>
        <v>0</v>
      </c>
      <c r="G109" s="27" t="str">
        <f aca="false">IFERROR(AVERAGEIFS(Master!$J$2:$J$571,Master!$B$2:$B$571,$B109,Master!$C$2:$C$571,$C109,Master!$J$2:$J$571,"&gt;0"),"")</f>
        <v/>
      </c>
      <c r="H109" s="22" t="str">
        <f aca="false">IF($F109=0,"Untouched",IF($G109="","No rating",IF($G109&lt;=3,"Weak","Solid")))</f>
        <v>Untouched</v>
      </c>
    </row>
    <row r="110" customFormat="false" ht="15" hidden="false" customHeight="true" outlineLevel="0" collapsed="false">
      <c r="B110" s="11" t="s">
        <v>575</v>
      </c>
      <c r="C110" s="11" t="s">
        <v>580</v>
      </c>
      <c r="D110" s="12" t="n">
        <f aca="false">COUNTIFS(Master!$B$2:$B$571,$B110,Master!$C$2:$C$571,$C110)</f>
        <v>3</v>
      </c>
      <c r="E110" s="12" t="n">
        <f aca="false">COUNTIFS(Master!$B$2:$B$571,$B110,Master!$C$2:$C$571,$C110,Master!$F$2:$F$571,"Core")</f>
        <v>2</v>
      </c>
      <c r="F110" s="12" t="n">
        <f aca="false">COUNTIFS(Master!$B$2:$B$571,$B110,Master!$C$2:$C$571,$C110,Master!$I$2:$I$571,"Solved")+COUNTIFS(Master!$B$2:$B$571,$B110,Master!$C$2:$C$571,$C110,Master!$I$2:$I$571,"Mastered")</f>
        <v>0</v>
      </c>
      <c r="G110" s="27" t="str">
        <f aca="false">IFERROR(AVERAGEIFS(Master!$J$2:$J$571,Master!$B$2:$B$571,$B110,Master!$C$2:$C$571,$C110,Master!$J$2:$J$571,"&gt;0"),"")</f>
        <v/>
      </c>
      <c r="H110" s="22" t="str">
        <f aca="false">IF($F110=0,"Untouched",IF($G110="","No rating",IF($G110&lt;=3,"Weak","Solid")))</f>
        <v>Untouched</v>
      </c>
    </row>
    <row r="111" customFormat="false" ht="15" hidden="false" customHeight="true" outlineLevel="0" collapsed="false">
      <c r="B111" s="11" t="s">
        <v>575</v>
      </c>
      <c r="C111" s="11" t="s">
        <v>584</v>
      </c>
      <c r="D111" s="12" t="n">
        <f aca="false">COUNTIFS(Master!$B$2:$B$571,$B111,Master!$C$2:$C$571,$C111)</f>
        <v>1</v>
      </c>
      <c r="E111" s="12" t="n">
        <f aca="false">COUNTIFS(Master!$B$2:$B$571,$B111,Master!$C$2:$C$571,$C111,Master!$F$2:$F$571,"Core")</f>
        <v>1</v>
      </c>
      <c r="F111" s="12" t="n">
        <f aca="false">COUNTIFS(Master!$B$2:$B$571,$B111,Master!$C$2:$C$571,$C111,Master!$I$2:$I$571,"Solved")+COUNTIFS(Master!$B$2:$B$571,$B111,Master!$C$2:$C$571,$C111,Master!$I$2:$I$571,"Mastered")</f>
        <v>0</v>
      </c>
      <c r="G111" s="27" t="str">
        <f aca="false">IFERROR(AVERAGEIFS(Master!$J$2:$J$571,Master!$B$2:$B$571,$B111,Master!$C$2:$C$571,$C111,Master!$J$2:$J$571,"&gt;0"),"")</f>
        <v/>
      </c>
      <c r="H111" s="22" t="str">
        <f aca="false">IF($F111=0,"Untouched",IF($G111="","No rating",IF($G111&lt;=3,"Weak","Solid")))</f>
        <v>Untouched</v>
      </c>
    </row>
    <row r="112" customFormat="false" ht="15" hidden="false" customHeight="true" outlineLevel="0" collapsed="false">
      <c r="B112" s="11" t="s">
        <v>575</v>
      </c>
      <c r="C112" s="11" t="s">
        <v>586</v>
      </c>
      <c r="D112" s="12" t="n">
        <f aca="false">COUNTIFS(Master!$B$2:$B$571,$B112,Master!$C$2:$C$571,$C112)</f>
        <v>1</v>
      </c>
      <c r="E112" s="12" t="n">
        <f aca="false">COUNTIFS(Master!$B$2:$B$571,$B112,Master!$C$2:$C$571,$C112,Master!$F$2:$F$571,"Core")</f>
        <v>1</v>
      </c>
      <c r="F112" s="12" t="n">
        <f aca="false">COUNTIFS(Master!$B$2:$B$571,$B112,Master!$C$2:$C$571,$C112,Master!$I$2:$I$571,"Solved")+COUNTIFS(Master!$B$2:$B$571,$B112,Master!$C$2:$C$571,$C112,Master!$I$2:$I$571,"Mastered")</f>
        <v>0</v>
      </c>
      <c r="G112" s="27" t="str">
        <f aca="false">IFERROR(AVERAGEIFS(Master!$J$2:$J$571,Master!$B$2:$B$571,$B112,Master!$C$2:$C$571,$C112,Master!$J$2:$J$571,"&gt;0"),"")</f>
        <v/>
      </c>
      <c r="H112" s="22" t="str">
        <f aca="false">IF($F112=0,"Untouched",IF($G112="","No rating",IF($G112&lt;=3,"Weak","Solid")))</f>
        <v>Untouched</v>
      </c>
    </row>
    <row r="113" customFormat="false" ht="15" hidden="false" customHeight="true" outlineLevel="0" collapsed="false">
      <c r="B113" s="11" t="s">
        <v>575</v>
      </c>
      <c r="C113" s="11" t="s">
        <v>510</v>
      </c>
      <c r="D113" s="12" t="n">
        <f aca="false">COUNTIFS(Master!$B$2:$B$571,$B113,Master!$C$2:$C$571,$C113)</f>
        <v>1</v>
      </c>
      <c r="E113" s="12" t="n">
        <f aca="false">COUNTIFS(Master!$B$2:$B$571,$B113,Master!$C$2:$C$571,$C113,Master!$F$2:$F$571,"Core")</f>
        <v>1</v>
      </c>
      <c r="F113" s="12" t="n">
        <f aca="false">COUNTIFS(Master!$B$2:$B$571,$B113,Master!$C$2:$C$571,$C113,Master!$I$2:$I$571,"Solved")+COUNTIFS(Master!$B$2:$B$571,$B113,Master!$C$2:$C$571,$C113,Master!$I$2:$I$571,"Mastered")</f>
        <v>0</v>
      </c>
      <c r="G113" s="27" t="str">
        <f aca="false">IFERROR(AVERAGEIFS(Master!$J$2:$J$571,Master!$B$2:$B$571,$B113,Master!$C$2:$C$571,$C113,Master!$J$2:$J$571,"&gt;0"),"")</f>
        <v/>
      </c>
      <c r="H113" s="22" t="str">
        <f aca="false">IF($F113=0,"Untouched",IF($G113="","No rating",IF($G113&lt;=3,"Weak","Solid")))</f>
        <v>Untouched</v>
      </c>
    </row>
    <row r="114" customFormat="false" ht="15" hidden="false" customHeight="true" outlineLevel="0" collapsed="false">
      <c r="B114" s="11" t="s">
        <v>589</v>
      </c>
      <c r="C114" s="11" t="s">
        <v>590</v>
      </c>
      <c r="D114" s="12" t="n">
        <f aca="false">COUNTIFS(Master!$B$2:$B$571,$B114,Master!$C$2:$C$571,$C114)</f>
        <v>1</v>
      </c>
      <c r="E114" s="12" t="n">
        <f aca="false">COUNTIFS(Master!$B$2:$B$571,$B114,Master!$C$2:$C$571,$C114,Master!$F$2:$F$571,"Core")</f>
        <v>1</v>
      </c>
      <c r="F114" s="12" t="n">
        <f aca="false">COUNTIFS(Master!$B$2:$B$571,$B114,Master!$C$2:$C$571,$C114,Master!$I$2:$I$571,"Solved")+COUNTIFS(Master!$B$2:$B$571,$B114,Master!$C$2:$C$571,$C114,Master!$I$2:$I$571,"Mastered")</f>
        <v>0</v>
      </c>
      <c r="G114" s="27" t="str">
        <f aca="false">IFERROR(AVERAGEIFS(Master!$J$2:$J$571,Master!$B$2:$B$571,$B114,Master!$C$2:$C$571,$C114,Master!$J$2:$J$571,"&gt;0"),"")</f>
        <v/>
      </c>
      <c r="H114" s="22" t="str">
        <f aca="false">IF($F114=0,"Untouched",IF($G114="","No rating",IF($G114&lt;=3,"Weak","Solid")))</f>
        <v>Untouched</v>
      </c>
    </row>
    <row r="115" customFormat="false" ht="15" hidden="false" customHeight="true" outlineLevel="0" collapsed="false">
      <c r="B115" s="11" t="s">
        <v>589</v>
      </c>
      <c r="C115" s="11" t="s">
        <v>335</v>
      </c>
      <c r="D115" s="12" t="n">
        <f aca="false">COUNTIFS(Master!$B$2:$B$571,$B115,Master!$C$2:$C$571,$C115)</f>
        <v>3</v>
      </c>
      <c r="E115" s="12" t="n">
        <f aca="false">COUNTIFS(Master!$B$2:$B$571,$B115,Master!$C$2:$C$571,$C115,Master!$F$2:$F$571,"Core")</f>
        <v>2</v>
      </c>
      <c r="F115" s="12" t="n">
        <f aca="false">COUNTIFS(Master!$B$2:$B$571,$B115,Master!$C$2:$C$571,$C115,Master!$I$2:$I$571,"Solved")+COUNTIFS(Master!$B$2:$B$571,$B115,Master!$C$2:$C$571,$C115,Master!$I$2:$I$571,"Mastered")</f>
        <v>0</v>
      </c>
      <c r="G115" s="27" t="str">
        <f aca="false">IFERROR(AVERAGEIFS(Master!$J$2:$J$571,Master!$B$2:$B$571,$B115,Master!$C$2:$C$571,$C115,Master!$J$2:$J$571,"&gt;0"),"")</f>
        <v/>
      </c>
      <c r="H115" s="22" t="str">
        <f aca="false">IF($F115=0,"Untouched",IF($G115="","No rating",IF($G115&lt;=3,"Weak","Solid")))</f>
        <v>Untouched</v>
      </c>
    </row>
    <row r="116" customFormat="false" ht="15" hidden="false" customHeight="true" outlineLevel="0" collapsed="false">
      <c r="B116" s="11" t="s">
        <v>589</v>
      </c>
      <c r="C116" s="11" t="s">
        <v>595</v>
      </c>
      <c r="D116" s="12" t="n">
        <f aca="false">COUNTIFS(Master!$B$2:$B$571,$B116,Master!$C$2:$C$571,$C116)</f>
        <v>7</v>
      </c>
      <c r="E116" s="12" t="n">
        <f aca="false">COUNTIFS(Master!$B$2:$B$571,$B116,Master!$C$2:$C$571,$C116,Master!$F$2:$F$571,"Core")</f>
        <v>2</v>
      </c>
      <c r="F116" s="12" t="n">
        <f aca="false">COUNTIFS(Master!$B$2:$B$571,$B116,Master!$C$2:$C$571,$C116,Master!$I$2:$I$571,"Solved")+COUNTIFS(Master!$B$2:$B$571,$B116,Master!$C$2:$C$571,$C116,Master!$I$2:$I$571,"Mastered")</f>
        <v>0</v>
      </c>
      <c r="G116" s="27" t="str">
        <f aca="false">IFERROR(AVERAGEIFS(Master!$J$2:$J$571,Master!$B$2:$B$571,$B116,Master!$C$2:$C$571,$C116,Master!$J$2:$J$571,"&gt;0"),"")</f>
        <v/>
      </c>
      <c r="H116" s="22" t="str">
        <f aca="false">IF($F116=0,"Untouched",IF($G116="","No rating",IF($G116&lt;=3,"Weak","Solid")))</f>
        <v>Untouched</v>
      </c>
    </row>
    <row r="117" customFormat="false" ht="15" hidden="false" customHeight="true" outlineLevel="0" collapsed="false">
      <c r="B117" s="11" t="s">
        <v>589</v>
      </c>
      <c r="C117" s="11" t="s">
        <v>603</v>
      </c>
      <c r="D117" s="12" t="n">
        <f aca="false">COUNTIFS(Master!$B$2:$B$571,$B117,Master!$C$2:$C$571,$C117)</f>
        <v>2</v>
      </c>
      <c r="E117" s="12" t="n">
        <f aca="false">COUNTIFS(Master!$B$2:$B$571,$B117,Master!$C$2:$C$571,$C117,Master!$F$2:$F$571,"Core")</f>
        <v>2</v>
      </c>
      <c r="F117" s="12" t="n">
        <f aca="false">COUNTIFS(Master!$B$2:$B$571,$B117,Master!$C$2:$C$571,$C117,Master!$I$2:$I$571,"Solved")+COUNTIFS(Master!$B$2:$B$571,$B117,Master!$C$2:$C$571,$C117,Master!$I$2:$I$571,"Mastered")</f>
        <v>0</v>
      </c>
      <c r="G117" s="27" t="str">
        <f aca="false">IFERROR(AVERAGEIFS(Master!$J$2:$J$571,Master!$B$2:$B$571,$B117,Master!$C$2:$C$571,$C117,Master!$J$2:$J$571,"&gt;0"),"")</f>
        <v/>
      </c>
      <c r="H117" s="22" t="str">
        <f aca="false">IF($F117=0,"Untouched",IF($G117="","No rating",IF($G117&lt;=3,"Weak","Solid")))</f>
        <v>Untouched</v>
      </c>
    </row>
    <row r="118" customFormat="false" ht="15" hidden="false" customHeight="true" outlineLevel="0" collapsed="false">
      <c r="B118" s="11" t="s">
        <v>589</v>
      </c>
      <c r="C118" s="11" t="s">
        <v>606</v>
      </c>
      <c r="D118" s="12" t="n">
        <f aca="false">COUNTIFS(Master!$B$2:$B$571,$B118,Master!$C$2:$C$571,$C118)</f>
        <v>5</v>
      </c>
      <c r="E118" s="12" t="n">
        <f aca="false">COUNTIFS(Master!$B$2:$B$571,$B118,Master!$C$2:$C$571,$C118,Master!$F$2:$F$571,"Core")</f>
        <v>2</v>
      </c>
      <c r="F118" s="12" t="n">
        <f aca="false">COUNTIFS(Master!$B$2:$B$571,$B118,Master!$C$2:$C$571,$C118,Master!$I$2:$I$571,"Solved")+COUNTIFS(Master!$B$2:$B$571,$B118,Master!$C$2:$C$571,$C118,Master!$I$2:$I$571,"Mastered")</f>
        <v>0</v>
      </c>
      <c r="G118" s="27" t="str">
        <f aca="false">IFERROR(AVERAGEIFS(Master!$J$2:$J$571,Master!$B$2:$B$571,$B118,Master!$C$2:$C$571,$C118,Master!$J$2:$J$571,"&gt;0"),"")</f>
        <v/>
      </c>
      <c r="H118" s="22" t="str">
        <f aca="false">IF($F118=0,"Untouched",IF($G118="","No rating",IF($G118&lt;=3,"Weak","Solid")))</f>
        <v>Untouched</v>
      </c>
    </row>
    <row r="119" customFormat="false" ht="15" hidden="false" customHeight="true" outlineLevel="0" collapsed="false">
      <c r="B119" s="11" t="s">
        <v>589</v>
      </c>
      <c r="C119" s="11" t="s">
        <v>612</v>
      </c>
      <c r="D119" s="12" t="n">
        <f aca="false">COUNTIFS(Master!$B$2:$B$571,$B119,Master!$C$2:$C$571,$C119)</f>
        <v>1</v>
      </c>
      <c r="E119" s="12" t="n">
        <f aca="false">COUNTIFS(Master!$B$2:$B$571,$B119,Master!$C$2:$C$571,$C119,Master!$F$2:$F$571,"Core")</f>
        <v>1</v>
      </c>
      <c r="F119" s="12" t="n">
        <f aca="false">COUNTIFS(Master!$B$2:$B$571,$B119,Master!$C$2:$C$571,$C119,Master!$I$2:$I$571,"Solved")+COUNTIFS(Master!$B$2:$B$571,$B119,Master!$C$2:$C$571,$C119,Master!$I$2:$I$571,"Mastered")</f>
        <v>0</v>
      </c>
      <c r="G119" s="27" t="str">
        <f aca="false">IFERROR(AVERAGEIFS(Master!$J$2:$J$571,Master!$B$2:$B$571,$B119,Master!$C$2:$C$571,$C119,Master!$J$2:$J$571,"&gt;0"),"")</f>
        <v/>
      </c>
      <c r="H119" s="22" t="str">
        <f aca="false">IF($F119=0,"Untouched",IF($G119="","No rating",IF($G119&lt;=3,"Weak","Solid")))</f>
        <v>Untouched</v>
      </c>
    </row>
    <row r="120" customFormat="false" ht="15" hidden="false" customHeight="true" outlineLevel="0" collapsed="false">
      <c r="B120" s="11" t="s">
        <v>589</v>
      </c>
      <c r="C120" s="11" t="s">
        <v>323</v>
      </c>
      <c r="D120" s="12" t="n">
        <f aca="false">COUNTIFS(Master!$B$2:$B$571,$B120,Master!$C$2:$C$571,$C120)</f>
        <v>3</v>
      </c>
      <c r="E120" s="12" t="n">
        <f aca="false">COUNTIFS(Master!$B$2:$B$571,$B120,Master!$C$2:$C$571,$C120,Master!$F$2:$F$571,"Core")</f>
        <v>2</v>
      </c>
      <c r="F120" s="12" t="n">
        <f aca="false">COUNTIFS(Master!$B$2:$B$571,$B120,Master!$C$2:$C$571,$C120,Master!$I$2:$I$571,"Solved")+COUNTIFS(Master!$B$2:$B$571,$B120,Master!$C$2:$C$571,$C120,Master!$I$2:$I$571,"Mastered")</f>
        <v>0</v>
      </c>
      <c r="G120" s="27" t="str">
        <f aca="false">IFERROR(AVERAGEIFS(Master!$J$2:$J$571,Master!$B$2:$B$571,$B120,Master!$C$2:$C$571,$C120,Master!$J$2:$J$571,"&gt;0"),"")</f>
        <v/>
      </c>
      <c r="H120" s="22" t="str">
        <f aca="false">IF($F120=0,"Untouched",IF($G120="","No rating",IF($G120&lt;=3,"Weak","Solid")))</f>
        <v>Untouched</v>
      </c>
    </row>
    <row r="121" customFormat="false" ht="15" hidden="false" customHeight="true" outlineLevel="0" collapsed="false">
      <c r="B121" s="11" t="s">
        <v>589</v>
      </c>
      <c r="C121" s="11" t="s">
        <v>617</v>
      </c>
      <c r="D121" s="12" t="n">
        <f aca="false">COUNTIFS(Master!$B$2:$B$571,$B121,Master!$C$2:$C$571,$C121)</f>
        <v>1</v>
      </c>
      <c r="E121" s="12" t="n">
        <f aca="false">COUNTIFS(Master!$B$2:$B$571,$B121,Master!$C$2:$C$571,$C121,Master!$F$2:$F$571,"Core")</f>
        <v>1</v>
      </c>
      <c r="F121" s="12" t="n">
        <f aca="false">COUNTIFS(Master!$B$2:$B$571,$B121,Master!$C$2:$C$571,$C121,Master!$I$2:$I$571,"Solved")+COUNTIFS(Master!$B$2:$B$571,$B121,Master!$C$2:$C$571,$C121,Master!$I$2:$I$571,"Mastered")</f>
        <v>0</v>
      </c>
      <c r="G121" s="27" t="str">
        <f aca="false">IFERROR(AVERAGEIFS(Master!$J$2:$J$571,Master!$B$2:$B$571,$B121,Master!$C$2:$C$571,$C121,Master!$J$2:$J$571,"&gt;0"),"")</f>
        <v/>
      </c>
      <c r="H121" s="22" t="str">
        <f aca="false">IF($F121=0,"Untouched",IF($G121="","No rating",IF($G121&lt;=3,"Weak","Solid")))</f>
        <v>Untouched</v>
      </c>
    </row>
    <row r="122" customFormat="false" ht="15" hidden="false" customHeight="true" outlineLevel="0" collapsed="false">
      <c r="B122" s="11" t="s">
        <v>589</v>
      </c>
      <c r="C122" s="11" t="s">
        <v>619</v>
      </c>
      <c r="D122" s="12" t="n">
        <f aca="false">COUNTIFS(Master!$B$2:$B$571,$B122,Master!$C$2:$C$571,$C122)</f>
        <v>6</v>
      </c>
      <c r="E122" s="12" t="n">
        <f aca="false">COUNTIFS(Master!$B$2:$B$571,$B122,Master!$C$2:$C$571,$C122,Master!$F$2:$F$571,"Core")</f>
        <v>2</v>
      </c>
      <c r="F122" s="12" t="n">
        <f aca="false">COUNTIFS(Master!$B$2:$B$571,$B122,Master!$C$2:$C$571,$C122,Master!$I$2:$I$571,"Solved")+COUNTIFS(Master!$B$2:$B$571,$B122,Master!$C$2:$C$571,$C122,Master!$I$2:$I$571,"Mastered")</f>
        <v>0</v>
      </c>
      <c r="G122" s="27" t="str">
        <f aca="false">IFERROR(AVERAGEIFS(Master!$J$2:$J$571,Master!$B$2:$B$571,$B122,Master!$C$2:$C$571,$C122,Master!$J$2:$J$571,"&gt;0"),"")</f>
        <v/>
      </c>
      <c r="H122" s="22" t="str">
        <f aca="false">IF($F122=0,"Untouched",IF($G122="","No rating",IF($G122&lt;=3,"Weak","Solid")))</f>
        <v>Untouched</v>
      </c>
    </row>
    <row r="123" customFormat="false" ht="15" hidden="false" customHeight="true" outlineLevel="0" collapsed="false">
      <c r="B123" s="11" t="s">
        <v>589</v>
      </c>
      <c r="C123" s="11" t="s">
        <v>626</v>
      </c>
      <c r="D123" s="12" t="n">
        <f aca="false">COUNTIFS(Master!$B$2:$B$571,$B123,Master!$C$2:$C$571,$C123)</f>
        <v>6</v>
      </c>
      <c r="E123" s="12" t="n">
        <f aca="false">COUNTIFS(Master!$B$2:$B$571,$B123,Master!$C$2:$C$571,$C123,Master!$F$2:$F$571,"Core")</f>
        <v>2</v>
      </c>
      <c r="F123" s="12" t="n">
        <f aca="false">COUNTIFS(Master!$B$2:$B$571,$B123,Master!$C$2:$C$571,$C123,Master!$I$2:$I$571,"Solved")+COUNTIFS(Master!$B$2:$B$571,$B123,Master!$C$2:$C$571,$C123,Master!$I$2:$I$571,"Mastered")</f>
        <v>0</v>
      </c>
      <c r="G123" s="27" t="str">
        <f aca="false">IFERROR(AVERAGEIFS(Master!$J$2:$J$571,Master!$B$2:$B$571,$B123,Master!$C$2:$C$571,$C123,Master!$J$2:$J$571,"&gt;0"),"")</f>
        <v/>
      </c>
      <c r="H123" s="22" t="str">
        <f aca="false">IF($F123=0,"Untouched",IF($G123="","No rating",IF($G123&lt;=3,"Weak","Solid")))</f>
        <v>Untouched</v>
      </c>
    </row>
    <row r="124" customFormat="false" ht="15" hidden="false" customHeight="true" outlineLevel="0" collapsed="false">
      <c r="B124" s="11" t="s">
        <v>589</v>
      </c>
      <c r="C124" s="11" t="s">
        <v>633</v>
      </c>
      <c r="D124" s="12" t="n">
        <f aca="false">COUNTIFS(Master!$B$2:$B$571,$B124,Master!$C$2:$C$571,$C124)</f>
        <v>2</v>
      </c>
      <c r="E124" s="12" t="n">
        <f aca="false">COUNTIFS(Master!$B$2:$B$571,$B124,Master!$C$2:$C$571,$C124,Master!$F$2:$F$571,"Core")</f>
        <v>2</v>
      </c>
      <c r="F124" s="12" t="n">
        <f aca="false">COUNTIFS(Master!$B$2:$B$571,$B124,Master!$C$2:$C$571,$C124,Master!$I$2:$I$571,"Solved")+COUNTIFS(Master!$B$2:$B$571,$B124,Master!$C$2:$C$571,$C124,Master!$I$2:$I$571,"Mastered")</f>
        <v>0</v>
      </c>
      <c r="G124" s="27" t="str">
        <f aca="false">IFERROR(AVERAGEIFS(Master!$J$2:$J$571,Master!$B$2:$B$571,$B124,Master!$C$2:$C$571,$C124,Master!$J$2:$J$571,"&gt;0"),"")</f>
        <v/>
      </c>
      <c r="H124" s="22" t="str">
        <f aca="false">IF($F124=0,"Untouched",IF($G124="","No rating",IF($G124&lt;=3,"Weak","Solid")))</f>
        <v>Untouched</v>
      </c>
    </row>
    <row r="125" customFormat="false" ht="15" hidden="false" customHeight="true" outlineLevel="0" collapsed="false">
      <c r="B125" s="11" t="s">
        <v>589</v>
      </c>
      <c r="C125" s="11" t="s">
        <v>636</v>
      </c>
      <c r="D125" s="12" t="n">
        <f aca="false">COUNTIFS(Master!$B$2:$B$571,$B125,Master!$C$2:$C$571,$C125)</f>
        <v>2</v>
      </c>
      <c r="E125" s="12" t="n">
        <f aca="false">COUNTIFS(Master!$B$2:$B$571,$B125,Master!$C$2:$C$571,$C125,Master!$F$2:$F$571,"Core")</f>
        <v>2</v>
      </c>
      <c r="F125" s="12" t="n">
        <f aca="false">COUNTIFS(Master!$B$2:$B$571,$B125,Master!$C$2:$C$571,$C125,Master!$I$2:$I$571,"Solved")+COUNTIFS(Master!$B$2:$B$571,$B125,Master!$C$2:$C$571,$C125,Master!$I$2:$I$571,"Mastered")</f>
        <v>0</v>
      </c>
      <c r="G125" s="27" t="str">
        <f aca="false">IFERROR(AVERAGEIFS(Master!$J$2:$J$571,Master!$B$2:$B$571,$B125,Master!$C$2:$C$571,$C125,Master!$J$2:$J$571,"&gt;0"),"")</f>
        <v/>
      </c>
      <c r="H125" s="22" t="str">
        <f aca="false">IF($F125=0,"Untouched",IF($G125="","No rating",IF($G125&lt;=3,"Weak","Solid")))</f>
        <v>Untouched</v>
      </c>
    </row>
    <row r="126" customFormat="false" ht="15" hidden="false" customHeight="true" outlineLevel="0" collapsed="false">
      <c r="B126" s="11" t="s">
        <v>589</v>
      </c>
      <c r="C126" s="11" t="s">
        <v>639</v>
      </c>
      <c r="D126" s="12" t="n">
        <f aca="false">COUNTIFS(Master!$B$2:$B$571,$B126,Master!$C$2:$C$571,$C126)</f>
        <v>3</v>
      </c>
      <c r="E126" s="12" t="n">
        <f aca="false">COUNTIFS(Master!$B$2:$B$571,$B126,Master!$C$2:$C$571,$C126,Master!$F$2:$F$571,"Core")</f>
        <v>2</v>
      </c>
      <c r="F126" s="12" t="n">
        <f aca="false">COUNTIFS(Master!$B$2:$B$571,$B126,Master!$C$2:$C$571,$C126,Master!$I$2:$I$571,"Solved")+COUNTIFS(Master!$B$2:$B$571,$B126,Master!$C$2:$C$571,$C126,Master!$I$2:$I$571,"Mastered")</f>
        <v>0</v>
      </c>
      <c r="G126" s="27" t="str">
        <f aca="false">IFERROR(AVERAGEIFS(Master!$J$2:$J$571,Master!$B$2:$B$571,$B126,Master!$C$2:$C$571,$C126,Master!$J$2:$J$571,"&gt;0"),"")</f>
        <v/>
      </c>
      <c r="H126" s="22" t="str">
        <f aca="false">IF($F126=0,"Untouched",IF($G126="","No rating",IF($G126&lt;=3,"Weak","Solid")))</f>
        <v>Untouched</v>
      </c>
    </row>
    <row r="127" customFormat="false" ht="15" hidden="false" customHeight="true" outlineLevel="0" collapsed="false">
      <c r="B127" s="11" t="s">
        <v>589</v>
      </c>
      <c r="C127" s="11" t="s">
        <v>643</v>
      </c>
      <c r="D127" s="12" t="n">
        <f aca="false">COUNTIFS(Master!$B$2:$B$571,$B127,Master!$C$2:$C$571,$C127)</f>
        <v>8</v>
      </c>
      <c r="E127" s="12" t="n">
        <f aca="false">COUNTIFS(Master!$B$2:$B$571,$B127,Master!$C$2:$C$571,$C127,Master!$F$2:$F$571,"Core")</f>
        <v>2</v>
      </c>
      <c r="F127" s="12" t="n">
        <f aca="false">COUNTIFS(Master!$B$2:$B$571,$B127,Master!$C$2:$C$571,$C127,Master!$I$2:$I$571,"Solved")+COUNTIFS(Master!$B$2:$B$571,$B127,Master!$C$2:$C$571,$C127,Master!$I$2:$I$571,"Mastered")</f>
        <v>0</v>
      </c>
      <c r="G127" s="27" t="str">
        <f aca="false">IFERROR(AVERAGEIFS(Master!$J$2:$J$571,Master!$B$2:$B$571,$B127,Master!$C$2:$C$571,$C127,Master!$J$2:$J$571,"&gt;0"),"")</f>
        <v/>
      </c>
      <c r="H127" s="22" t="str">
        <f aca="false">IF($F127=0,"Untouched",IF($G127="","No rating",IF($G127&lt;=3,"Weak","Solid")))</f>
        <v>Untouched</v>
      </c>
    </row>
    <row r="128" customFormat="false" ht="15" hidden="false" customHeight="true" outlineLevel="0" collapsed="false">
      <c r="B128" s="11" t="s">
        <v>589</v>
      </c>
      <c r="C128" s="11" t="s">
        <v>652</v>
      </c>
      <c r="D128" s="12" t="n">
        <f aca="false">COUNTIFS(Master!$B$2:$B$571,$B128,Master!$C$2:$C$571,$C128)</f>
        <v>2</v>
      </c>
      <c r="E128" s="12" t="n">
        <f aca="false">COUNTIFS(Master!$B$2:$B$571,$B128,Master!$C$2:$C$571,$C128,Master!$F$2:$F$571,"Core")</f>
        <v>2</v>
      </c>
      <c r="F128" s="12" t="n">
        <f aca="false">COUNTIFS(Master!$B$2:$B$571,$B128,Master!$C$2:$C$571,$C128,Master!$I$2:$I$571,"Solved")+COUNTIFS(Master!$B$2:$B$571,$B128,Master!$C$2:$C$571,$C128,Master!$I$2:$I$571,"Mastered")</f>
        <v>0</v>
      </c>
      <c r="G128" s="27" t="str">
        <f aca="false">IFERROR(AVERAGEIFS(Master!$J$2:$J$571,Master!$B$2:$B$571,$B128,Master!$C$2:$C$571,$C128,Master!$J$2:$J$571,"&gt;0"),"")</f>
        <v/>
      </c>
      <c r="H128" s="22" t="str">
        <f aca="false">IF($F128=0,"Untouched",IF($G128="","No rating",IF($G128&lt;=3,"Weak","Solid")))</f>
        <v>Untouched</v>
      </c>
    </row>
    <row r="129" customFormat="false" ht="15" hidden="false" customHeight="true" outlineLevel="0" collapsed="false">
      <c r="B129" s="11" t="s">
        <v>589</v>
      </c>
      <c r="C129" s="11" t="s">
        <v>655</v>
      </c>
      <c r="D129" s="12" t="n">
        <f aca="false">COUNTIFS(Master!$B$2:$B$571,$B129,Master!$C$2:$C$571,$C129)</f>
        <v>1</v>
      </c>
      <c r="E129" s="12" t="n">
        <f aca="false">COUNTIFS(Master!$B$2:$B$571,$B129,Master!$C$2:$C$571,$C129,Master!$F$2:$F$571,"Core")</f>
        <v>1</v>
      </c>
      <c r="F129" s="12" t="n">
        <f aca="false">COUNTIFS(Master!$B$2:$B$571,$B129,Master!$C$2:$C$571,$C129,Master!$I$2:$I$571,"Solved")+COUNTIFS(Master!$B$2:$B$571,$B129,Master!$C$2:$C$571,$C129,Master!$I$2:$I$571,"Mastered")</f>
        <v>0</v>
      </c>
      <c r="G129" s="27" t="str">
        <f aca="false">IFERROR(AVERAGEIFS(Master!$J$2:$J$571,Master!$B$2:$B$571,$B129,Master!$C$2:$C$571,$C129,Master!$J$2:$J$571,"&gt;0"),"")</f>
        <v/>
      </c>
      <c r="H129" s="22" t="str">
        <f aca="false">IF($F129=0,"Untouched",IF($G129="","No rating",IF($G129&lt;=3,"Weak","Solid")))</f>
        <v>Untouched</v>
      </c>
    </row>
    <row r="130" customFormat="false" ht="15" hidden="false" customHeight="true" outlineLevel="0" collapsed="false">
      <c r="B130" s="11" t="s">
        <v>589</v>
      </c>
      <c r="C130" s="11" t="s">
        <v>657</v>
      </c>
      <c r="D130" s="12" t="n">
        <f aca="false">COUNTIFS(Master!$B$2:$B$571,$B130,Master!$C$2:$C$571,$C130)</f>
        <v>1</v>
      </c>
      <c r="E130" s="12" t="n">
        <f aca="false">COUNTIFS(Master!$B$2:$B$571,$B130,Master!$C$2:$C$571,$C130,Master!$F$2:$F$571,"Core")</f>
        <v>1</v>
      </c>
      <c r="F130" s="12" t="n">
        <f aca="false">COUNTIFS(Master!$B$2:$B$571,$B130,Master!$C$2:$C$571,$C130,Master!$I$2:$I$571,"Solved")+COUNTIFS(Master!$B$2:$B$571,$B130,Master!$C$2:$C$571,$C130,Master!$I$2:$I$571,"Mastered")</f>
        <v>0</v>
      </c>
      <c r="G130" s="27" t="str">
        <f aca="false">IFERROR(AVERAGEIFS(Master!$J$2:$J$571,Master!$B$2:$B$571,$B130,Master!$C$2:$C$571,$C130,Master!$J$2:$J$571,"&gt;0"),"")</f>
        <v/>
      </c>
      <c r="H130" s="22" t="str">
        <f aca="false">IF($F130=0,"Untouched",IF($G130="","No rating",IF($G130&lt;=3,"Weak","Solid")))</f>
        <v>Untouched</v>
      </c>
    </row>
    <row r="131" customFormat="false" ht="15" hidden="false" customHeight="true" outlineLevel="0" collapsed="false">
      <c r="B131" s="11" t="s">
        <v>589</v>
      </c>
      <c r="C131" s="11" t="s">
        <v>659</v>
      </c>
      <c r="D131" s="12" t="n">
        <f aca="false">COUNTIFS(Master!$B$2:$B$571,$B131,Master!$C$2:$C$571,$C131)</f>
        <v>2</v>
      </c>
      <c r="E131" s="12" t="n">
        <f aca="false">COUNTIFS(Master!$B$2:$B$571,$B131,Master!$C$2:$C$571,$C131,Master!$F$2:$F$571,"Core")</f>
        <v>2</v>
      </c>
      <c r="F131" s="12" t="n">
        <f aca="false">COUNTIFS(Master!$B$2:$B$571,$B131,Master!$C$2:$C$571,$C131,Master!$I$2:$I$571,"Solved")+COUNTIFS(Master!$B$2:$B$571,$B131,Master!$C$2:$C$571,$C131,Master!$I$2:$I$571,"Mastered")</f>
        <v>0</v>
      </c>
      <c r="G131" s="27" t="str">
        <f aca="false">IFERROR(AVERAGEIFS(Master!$J$2:$J$571,Master!$B$2:$B$571,$B131,Master!$C$2:$C$571,$C131,Master!$J$2:$J$571,"&gt;0"),"")</f>
        <v/>
      </c>
      <c r="H131" s="22" t="str">
        <f aca="false">IF($F131=0,"Untouched",IF($G131="","No rating",IF($G131&lt;=3,"Weak","Solid")))</f>
        <v>Untouched</v>
      </c>
    </row>
    <row r="132" customFormat="false" ht="15" hidden="false" customHeight="true" outlineLevel="0" collapsed="false">
      <c r="B132" s="11" t="s">
        <v>662</v>
      </c>
      <c r="C132" s="11" t="s">
        <v>663</v>
      </c>
      <c r="D132" s="12" t="n">
        <f aca="false">COUNTIFS(Master!$B$2:$B$571,$B132,Master!$C$2:$C$571,$C132)</f>
        <v>9</v>
      </c>
      <c r="E132" s="12" t="n">
        <f aca="false">COUNTIFS(Master!$B$2:$B$571,$B132,Master!$C$2:$C$571,$C132,Master!$F$2:$F$571,"Core")</f>
        <v>2</v>
      </c>
      <c r="F132" s="12" t="n">
        <f aca="false">COUNTIFS(Master!$B$2:$B$571,$B132,Master!$C$2:$C$571,$C132,Master!$I$2:$I$571,"Solved")+COUNTIFS(Master!$B$2:$B$571,$B132,Master!$C$2:$C$571,$C132,Master!$I$2:$I$571,"Mastered")</f>
        <v>0</v>
      </c>
      <c r="G132" s="27" t="str">
        <f aca="false">IFERROR(AVERAGEIFS(Master!$J$2:$J$571,Master!$B$2:$B$571,$B132,Master!$C$2:$C$571,$C132,Master!$J$2:$J$571,"&gt;0"),"")</f>
        <v/>
      </c>
      <c r="H132" s="22" t="str">
        <f aca="false">IF($F132=0,"Untouched",IF($G132="","No rating",IF($G132&lt;=3,"Weak","Solid")))</f>
        <v>Untouched</v>
      </c>
    </row>
    <row r="133" customFormat="false" ht="15" hidden="false" customHeight="true" outlineLevel="0" collapsed="false">
      <c r="B133" s="11" t="s">
        <v>662</v>
      </c>
      <c r="C133" s="11" t="s">
        <v>673</v>
      </c>
      <c r="D133" s="12" t="n">
        <f aca="false">COUNTIFS(Master!$B$2:$B$571,$B133,Master!$C$2:$C$571,$C133)</f>
        <v>8</v>
      </c>
      <c r="E133" s="12" t="n">
        <f aca="false">COUNTIFS(Master!$B$2:$B$571,$B133,Master!$C$2:$C$571,$C133,Master!$F$2:$F$571,"Core")</f>
        <v>2</v>
      </c>
      <c r="F133" s="12" t="n">
        <f aca="false">COUNTIFS(Master!$B$2:$B$571,$B133,Master!$C$2:$C$571,$C133,Master!$I$2:$I$571,"Solved")+COUNTIFS(Master!$B$2:$B$571,$B133,Master!$C$2:$C$571,$C133,Master!$I$2:$I$571,"Mastered")</f>
        <v>0</v>
      </c>
      <c r="G133" s="27" t="str">
        <f aca="false">IFERROR(AVERAGEIFS(Master!$J$2:$J$571,Master!$B$2:$B$571,$B133,Master!$C$2:$C$571,$C133,Master!$J$2:$J$571,"&gt;0"),"")</f>
        <v/>
      </c>
      <c r="H133" s="22" t="str">
        <f aca="false">IF($F133=0,"Untouched",IF($G133="","No rating",IF($G133&lt;=3,"Weak","Solid")))</f>
        <v>Untouched</v>
      </c>
    </row>
    <row r="134" customFormat="false" ht="15" hidden="false" customHeight="true" outlineLevel="0" collapsed="false">
      <c r="B134" s="11" t="s">
        <v>662</v>
      </c>
      <c r="C134" s="11" t="s">
        <v>682</v>
      </c>
      <c r="D134" s="12" t="n">
        <f aca="false">COUNTIFS(Master!$B$2:$B$571,$B134,Master!$C$2:$C$571,$C134)</f>
        <v>7</v>
      </c>
      <c r="E134" s="12" t="n">
        <f aca="false">COUNTIFS(Master!$B$2:$B$571,$B134,Master!$C$2:$C$571,$C134,Master!$F$2:$F$571,"Core")</f>
        <v>2</v>
      </c>
      <c r="F134" s="12" t="n">
        <f aca="false">COUNTIFS(Master!$B$2:$B$571,$B134,Master!$C$2:$C$571,$C134,Master!$I$2:$I$571,"Solved")+COUNTIFS(Master!$B$2:$B$571,$B134,Master!$C$2:$C$571,$C134,Master!$I$2:$I$571,"Mastered")</f>
        <v>0</v>
      </c>
      <c r="G134" s="27" t="str">
        <f aca="false">IFERROR(AVERAGEIFS(Master!$J$2:$J$571,Master!$B$2:$B$571,$B134,Master!$C$2:$C$571,$C134,Master!$J$2:$J$571,"&gt;0"),"")</f>
        <v/>
      </c>
      <c r="H134" s="22" t="str">
        <f aca="false">IF($F134=0,"Untouched",IF($G134="","No rating",IF($G134&lt;=3,"Weak","Solid")))</f>
        <v>Untouched</v>
      </c>
    </row>
    <row r="135" customFormat="false" ht="15" hidden="false" customHeight="true" outlineLevel="0" collapsed="false">
      <c r="B135" s="11" t="s">
        <v>662</v>
      </c>
      <c r="C135" s="11" t="s">
        <v>690</v>
      </c>
      <c r="D135" s="12" t="n">
        <f aca="false">COUNTIFS(Master!$B$2:$B$571,$B135,Master!$C$2:$C$571,$C135)</f>
        <v>6</v>
      </c>
      <c r="E135" s="12" t="n">
        <f aca="false">COUNTIFS(Master!$B$2:$B$571,$B135,Master!$C$2:$C$571,$C135,Master!$F$2:$F$571,"Core")</f>
        <v>2</v>
      </c>
      <c r="F135" s="12" t="n">
        <f aca="false">COUNTIFS(Master!$B$2:$B$571,$B135,Master!$C$2:$C$571,$C135,Master!$I$2:$I$571,"Solved")+COUNTIFS(Master!$B$2:$B$571,$B135,Master!$C$2:$C$571,$C135,Master!$I$2:$I$571,"Mastered")</f>
        <v>0</v>
      </c>
      <c r="G135" s="27" t="str">
        <f aca="false">IFERROR(AVERAGEIFS(Master!$J$2:$J$571,Master!$B$2:$B$571,$B135,Master!$C$2:$C$571,$C135,Master!$J$2:$J$571,"&gt;0"),"")</f>
        <v/>
      </c>
      <c r="H135" s="22" t="str">
        <f aca="false">IF($F135=0,"Untouched",IF($G135="","No rating",IF($G135&lt;=3,"Weak","Solid")))</f>
        <v>Untouched</v>
      </c>
    </row>
    <row r="136" customFormat="false" ht="15" hidden="false" customHeight="true" outlineLevel="0" collapsed="false">
      <c r="B136" s="11" t="s">
        <v>662</v>
      </c>
      <c r="C136" s="11" t="s">
        <v>696</v>
      </c>
      <c r="D136" s="12" t="n">
        <f aca="false">COUNTIFS(Master!$B$2:$B$571,$B136,Master!$C$2:$C$571,$C136)</f>
        <v>7</v>
      </c>
      <c r="E136" s="12" t="n">
        <f aca="false">COUNTIFS(Master!$B$2:$B$571,$B136,Master!$C$2:$C$571,$C136,Master!$F$2:$F$571,"Core")</f>
        <v>2</v>
      </c>
      <c r="F136" s="12" t="n">
        <f aca="false">COUNTIFS(Master!$B$2:$B$571,$B136,Master!$C$2:$C$571,$C136,Master!$I$2:$I$571,"Solved")+COUNTIFS(Master!$B$2:$B$571,$B136,Master!$C$2:$C$571,$C136,Master!$I$2:$I$571,"Mastered")</f>
        <v>0</v>
      </c>
      <c r="G136" s="27" t="str">
        <f aca="false">IFERROR(AVERAGEIFS(Master!$J$2:$J$571,Master!$B$2:$B$571,$B136,Master!$C$2:$C$571,$C136,Master!$J$2:$J$571,"&gt;0"),"")</f>
        <v/>
      </c>
      <c r="H136" s="22" t="str">
        <f aca="false">IF($F136=0,"Untouched",IF($G136="","No rating",IF($G136&lt;=3,"Weak","Solid")))</f>
        <v>Untouched</v>
      </c>
    </row>
    <row r="137" customFormat="false" ht="15" hidden="false" customHeight="true" outlineLevel="0" collapsed="false">
      <c r="B137" s="11" t="s">
        <v>662</v>
      </c>
      <c r="C137" s="11" t="s">
        <v>704</v>
      </c>
      <c r="D137" s="12" t="n">
        <f aca="false">COUNTIFS(Master!$B$2:$B$571,$B137,Master!$C$2:$C$571,$C137)</f>
        <v>11</v>
      </c>
      <c r="E137" s="12" t="n">
        <f aca="false">COUNTIFS(Master!$B$2:$B$571,$B137,Master!$C$2:$C$571,$C137,Master!$F$2:$F$571,"Core")</f>
        <v>2</v>
      </c>
      <c r="F137" s="12" t="n">
        <f aca="false">COUNTIFS(Master!$B$2:$B$571,$B137,Master!$C$2:$C$571,$C137,Master!$I$2:$I$571,"Solved")+COUNTIFS(Master!$B$2:$B$571,$B137,Master!$C$2:$C$571,$C137,Master!$I$2:$I$571,"Mastered")</f>
        <v>0</v>
      </c>
      <c r="G137" s="27" t="str">
        <f aca="false">IFERROR(AVERAGEIFS(Master!$J$2:$J$571,Master!$B$2:$B$571,$B137,Master!$C$2:$C$571,$C137,Master!$J$2:$J$571,"&gt;0"),"")</f>
        <v/>
      </c>
      <c r="H137" s="22" t="str">
        <f aca="false">IF($F137=0,"Untouched",IF($G137="","No rating",IF($G137&lt;=3,"Weak","Solid")))</f>
        <v>Untouched</v>
      </c>
    </row>
    <row r="138" customFormat="false" ht="15" hidden="false" customHeight="true" outlineLevel="0" collapsed="false">
      <c r="B138" s="11" t="s">
        <v>662</v>
      </c>
      <c r="C138" s="11" t="s">
        <v>716</v>
      </c>
      <c r="D138" s="12" t="n">
        <f aca="false">COUNTIFS(Master!$B$2:$B$571,$B138,Master!$C$2:$C$571,$C138)</f>
        <v>5</v>
      </c>
      <c r="E138" s="12" t="n">
        <f aca="false">COUNTIFS(Master!$B$2:$B$571,$B138,Master!$C$2:$C$571,$C138,Master!$F$2:$F$571,"Core")</f>
        <v>2</v>
      </c>
      <c r="F138" s="12" t="n">
        <f aca="false">COUNTIFS(Master!$B$2:$B$571,$B138,Master!$C$2:$C$571,$C138,Master!$I$2:$I$571,"Solved")+COUNTIFS(Master!$B$2:$B$571,$B138,Master!$C$2:$C$571,$C138,Master!$I$2:$I$571,"Mastered")</f>
        <v>0</v>
      </c>
      <c r="G138" s="27" t="str">
        <f aca="false">IFERROR(AVERAGEIFS(Master!$J$2:$J$571,Master!$B$2:$B$571,$B138,Master!$C$2:$C$571,$C138,Master!$J$2:$J$571,"&gt;0"),"")</f>
        <v/>
      </c>
      <c r="H138" s="22" t="str">
        <f aca="false">IF($F138=0,"Untouched",IF($G138="","No rating",IF($G138&lt;=3,"Weak","Solid")))</f>
        <v>Untouched</v>
      </c>
    </row>
    <row r="139" customFormat="false" ht="15" hidden="false" customHeight="true" outlineLevel="0" collapsed="false">
      <c r="B139" s="11" t="s">
        <v>662</v>
      </c>
      <c r="C139" s="11" t="s">
        <v>722</v>
      </c>
      <c r="D139" s="12" t="n">
        <f aca="false">COUNTIFS(Master!$B$2:$B$571,$B139,Master!$C$2:$C$571,$C139)</f>
        <v>6</v>
      </c>
      <c r="E139" s="12" t="n">
        <f aca="false">COUNTIFS(Master!$B$2:$B$571,$B139,Master!$C$2:$C$571,$C139,Master!$F$2:$F$571,"Core")</f>
        <v>2</v>
      </c>
      <c r="F139" s="12" t="n">
        <f aca="false">COUNTIFS(Master!$B$2:$B$571,$B139,Master!$C$2:$C$571,$C139,Master!$I$2:$I$571,"Solved")+COUNTIFS(Master!$B$2:$B$571,$B139,Master!$C$2:$C$571,$C139,Master!$I$2:$I$571,"Mastered")</f>
        <v>0</v>
      </c>
      <c r="G139" s="27" t="str">
        <f aca="false">IFERROR(AVERAGEIFS(Master!$J$2:$J$571,Master!$B$2:$B$571,$B139,Master!$C$2:$C$571,$C139,Master!$J$2:$J$571,"&gt;0"),"")</f>
        <v/>
      </c>
      <c r="H139" s="22" t="str">
        <f aca="false">IF($F139=0,"Untouched",IF($G139="","No rating",IF($G139&lt;=3,"Weak","Solid")))</f>
        <v>Untouched</v>
      </c>
    </row>
    <row r="140" customFormat="false" ht="15" hidden="false" customHeight="true" outlineLevel="0" collapsed="false">
      <c r="B140" s="11" t="s">
        <v>662</v>
      </c>
      <c r="C140" s="11" t="s">
        <v>729</v>
      </c>
      <c r="D140" s="12" t="n">
        <f aca="false">COUNTIFS(Master!$B$2:$B$571,$B140,Master!$C$2:$C$571,$C140)</f>
        <v>2</v>
      </c>
      <c r="E140" s="12" t="n">
        <f aca="false">COUNTIFS(Master!$B$2:$B$571,$B140,Master!$C$2:$C$571,$C140,Master!$F$2:$F$571,"Core")</f>
        <v>2</v>
      </c>
      <c r="F140" s="12" t="n">
        <f aca="false">COUNTIFS(Master!$B$2:$B$571,$B140,Master!$C$2:$C$571,$C140,Master!$I$2:$I$571,"Solved")+COUNTIFS(Master!$B$2:$B$571,$B140,Master!$C$2:$C$571,$C140,Master!$I$2:$I$571,"Mastered")</f>
        <v>0</v>
      </c>
      <c r="G140" s="27" t="str">
        <f aca="false">IFERROR(AVERAGEIFS(Master!$J$2:$J$571,Master!$B$2:$B$571,$B140,Master!$C$2:$C$571,$C140,Master!$J$2:$J$571,"&gt;0"),"")</f>
        <v/>
      </c>
      <c r="H140" s="22" t="str">
        <f aca="false">IF($F140=0,"Untouched",IF($G140="","No rating",IF($G140&lt;=3,"Weak","Solid")))</f>
        <v>Untouched</v>
      </c>
    </row>
    <row r="141" customFormat="false" ht="15" hidden="false" customHeight="true" outlineLevel="0" collapsed="false">
      <c r="B141" s="11" t="s">
        <v>662</v>
      </c>
      <c r="C141" s="11" t="s">
        <v>732</v>
      </c>
      <c r="D141" s="12" t="n">
        <f aca="false">COUNTIFS(Master!$B$2:$B$571,$B141,Master!$C$2:$C$571,$C141)</f>
        <v>2</v>
      </c>
      <c r="E141" s="12" t="n">
        <f aca="false">COUNTIFS(Master!$B$2:$B$571,$B141,Master!$C$2:$C$571,$C141,Master!$F$2:$F$571,"Core")</f>
        <v>2</v>
      </c>
      <c r="F141" s="12" t="n">
        <f aca="false">COUNTIFS(Master!$B$2:$B$571,$B141,Master!$C$2:$C$571,$C141,Master!$I$2:$I$571,"Solved")+COUNTIFS(Master!$B$2:$B$571,$B141,Master!$C$2:$C$571,$C141,Master!$I$2:$I$571,"Mastered")</f>
        <v>0</v>
      </c>
      <c r="G141" s="27" t="str">
        <f aca="false">IFERROR(AVERAGEIFS(Master!$J$2:$J$571,Master!$B$2:$B$571,$B141,Master!$C$2:$C$571,$C141,Master!$J$2:$J$571,"&gt;0"),"")</f>
        <v/>
      </c>
      <c r="H141" s="22" t="str">
        <f aca="false">IF($F141=0,"Untouched",IF($G141="","No rating",IF($G141&lt;=3,"Weak","Solid")))</f>
        <v>Untouched</v>
      </c>
    </row>
    <row r="142" customFormat="false" ht="15" hidden="false" customHeight="true" outlineLevel="0" collapsed="false">
      <c r="B142" s="11" t="s">
        <v>662</v>
      </c>
      <c r="C142" s="11" t="s">
        <v>735</v>
      </c>
      <c r="D142" s="12" t="n">
        <f aca="false">COUNTIFS(Master!$B$2:$B$571,$B142,Master!$C$2:$C$571,$C142)</f>
        <v>2</v>
      </c>
      <c r="E142" s="12" t="n">
        <f aca="false">COUNTIFS(Master!$B$2:$B$571,$B142,Master!$C$2:$C$571,$C142,Master!$F$2:$F$571,"Core")</f>
        <v>2</v>
      </c>
      <c r="F142" s="12" t="n">
        <f aca="false">COUNTIFS(Master!$B$2:$B$571,$B142,Master!$C$2:$C$571,$C142,Master!$I$2:$I$571,"Solved")+COUNTIFS(Master!$B$2:$B$571,$B142,Master!$C$2:$C$571,$C142,Master!$I$2:$I$571,"Mastered")</f>
        <v>0</v>
      </c>
      <c r="G142" s="27" t="str">
        <f aca="false">IFERROR(AVERAGEIFS(Master!$J$2:$J$571,Master!$B$2:$B$571,$B142,Master!$C$2:$C$571,$C142,Master!$J$2:$J$571,"&gt;0"),"")</f>
        <v/>
      </c>
      <c r="H142" s="22" t="str">
        <f aca="false">IF($F142=0,"Untouched",IF($G142="","No rating",IF($G142&lt;=3,"Weak","Solid")))</f>
        <v>Untouched</v>
      </c>
    </row>
    <row r="143" customFormat="false" ht="15" hidden="false" customHeight="true" outlineLevel="0" collapsed="false">
      <c r="B143" s="11" t="s">
        <v>662</v>
      </c>
      <c r="C143" s="11" t="s">
        <v>738</v>
      </c>
      <c r="D143" s="12" t="n">
        <f aca="false">COUNTIFS(Master!$B$2:$B$571,$B143,Master!$C$2:$C$571,$C143)</f>
        <v>2</v>
      </c>
      <c r="E143" s="12" t="n">
        <f aca="false">COUNTIFS(Master!$B$2:$B$571,$B143,Master!$C$2:$C$571,$C143,Master!$F$2:$F$571,"Core")</f>
        <v>2</v>
      </c>
      <c r="F143" s="12" t="n">
        <f aca="false">COUNTIFS(Master!$B$2:$B$571,$B143,Master!$C$2:$C$571,$C143,Master!$I$2:$I$571,"Solved")+COUNTIFS(Master!$B$2:$B$571,$B143,Master!$C$2:$C$571,$C143,Master!$I$2:$I$571,"Mastered")</f>
        <v>0</v>
      </c>
      <c r="G143" s="27" t="str">
        <f aca="false">IFERROR(AVERAGEIFS(Master!$J$2:$J$571,Master!$B$2:$B$571,$B143,Master!$C$2:$C$571,$C143,Master!$J$2:$J$571,"&gt;0"),"")</f>
        <v/>
      </c>
      <c r="H143" s="22" t="str">
        <f aca="false">IF($F143=0,"Untouched",IF($G143="","No rating",IF($G143&lt;=3,"Weak","Solid")))</f>
        <v>Untouched</v>
      </c>
    </row>
    <row r="144" customFormat="false" ht="15" hidden="false" customHeight="true" outlineLevel="0" collapsed="false">
      <c r="B144" s="11" t="s">
        <v>662</v>
      </c>
      <c r="C144" s="11" t="s">
        <v>741</v>
      </c>
      <c r="D144" s="12" t="n">
        <f aca="false">COUNTIFS(Master!$B$2:$B$571,$B144,Master!$C$2:$C$571,$C144)</f>
        <v>2</v>
      </c>
      <c r="E144" s="12" t="n">
        <f aca="false">COUNTIFS(Master!$B$2:$B$571,$B144,Master!$C$2:$C$571,$C144,Master!$F$2:$F$571,"Core")</f>
        <v>2</v>
      </c>
      <c r="F144" s="12" t="n">
        <f aca="false">COUNTIFS(Master!$B$2:$B$571,$B144,Master!$C$2:$C$571,$C144,Master!$I$2:$I$571,"Solved")+COUNTIFS(Master!$B$2:$B$571,$B144,Master!$C$2:$C$571,$C144,Master!$I$2:$I$571,"Mastered")</f>
        <v>0</v>
      </c>
      <c r="G144" s="27" t="str">
        <f aca="false">IFERROR(AVERAGEIFS(Master!$J$2:$J$571,Master!$B$2:$B$571,$B144,Master!$C$2:$C$571,$C144,Master!$J$2:$J$571,"&gt;0"),"")</f>
        <v/>
      </c>
      <c r="H144" s="22" t="str">
        <f aca="false">IF($F144=0,"Untouched",IF($G144="","No rating",IF($G144&lt;=3,"Weak","Solid")))</f>
        <v>Untouched</v>
      </c>
    </row>
    <row r="145" customFormat="false" ht="15" hidden="false" customHeight="true" outlineLevel="0" collapsed="false">
      <c r="B145" s="11" t="s">
        <v>744</v>
      </c>
      <c r="C145" s="11" t="s">
        <v>117</v>
      </c>
      <c r="D145" s="12" t="n">
        <f aca="false">COUNTIFS(Master!$B$2:$B$571,$B145,Master!$C$2:$C$571,$C145)</f>
        <v>7</v>
      </c>
      <c r="E145" s="12" t="n">
        <f aca="false">COUNTIFS(Master!$B$2:$B$571,$B145,Master!$C$2:$C$571,$C145,Master!$F$2:$F$571,"Core")</f>
        <v>2</v>
      </c>
      <c r="F145" s="12" t="n">
        <f aca="false">COUNTIFS(Master!$B$2:$B$571,$B145,Master!$C$2:$C$571,$C145,Master!$I$2:$I$571,"Solved")+COUNTIFS(Master!$B$2:$B$571,$B145,Master!$C$2:$C$571,$C145,Master!$I$2:$I$571,"Mastered")</f>
        <v>0</v>
      </c>
      <c r="G145" s="27" t="str">
        <f aca="false">IFERROR(AVERAGEIFS(Master!$J$2:$J$571,Master!$B$2:$B$571,$B145,Master!$C$2:$C$571,$C145,Master!$J$2:$J$571,"&gt;0"),"")</f>
        <v/>
      </c>
      <c r="H145" s="22" t="str">
        <f aca="false">IF($F145=0,"Untouched",IF($G145="","No rating",IF($G145&lt;=3,"Weak","Solid")))</f>
        <v>Untouched</v>
      </c>
    </row>
    <row r="146" customFormat="false" ht="15" hidden="false" customHeight="true" outlineLevel="0" collapsed="false">
      <c r="B146" s="11" t="s">
        <v>744</v>
      </c>
      <c r="C146" s="11" t="s">
        <v>752</v>
      </c>
      <c r="D146" s="12" t="n">
        <f aca="false">COUNTIFS(Master!$B$2:$B$571,$B146,Master!$C$2:$C$571,$C146)</f>
        <v>7</v>
      </c>
      <c r="E146" s="12" t="n">
        <f aca="false">COUNTIFS(Master!$B$2:$B$571,$B146,Master!$C$2:$C$571,$C146,Master!$F$2:$F$571,"Core")</f>
        <v>2</v>
      </c>
      <c r="F146" s="12" t="n">
        <f aca="false">COUNTIFS(Master!$B$2:$B$571,$B146,Master!$C$2:$C$571,$C146,Master!$I$2:$I$571,"Solved")+COUNTIFS(Master!$B$2:$B$571,$B146,Master!$C$2:$C$571,$C146,Master!$I$2:$I$571,"Mastered")</f>
        <v>0</v>
      </c>
      <c r="G146" s="27" t="str">
        <f aca="false">IFERROR(AVERAGEIFS(Master!$J$2:$J$571,Master!$B$2:$B$571,$B146,Master!$C$2:$C$571,$C146,Master!$J$2:$J$571,"&gt;0"),"")</f>
        <v/>
      </c>
      <c r="H146" s="22" t="str">
        <f aca="false">IF($F146=0,"Untouched",IF($G146="","No rating",IF($G146&lt;=3,"Weak","Solid")))</f>
        <v>Untouched</v>
      </c>
    </row>
    <row r="147" customFormat="false" ht="15" hidden="false" customHeight="true" outlineLevel="0" collapsed="false">
      <c r="B147" s="11" t="s">
        <v>744</v>
      </c>
      <c r="C147" s="11" t="s">
        <v>760</v>
      </c>
      <c r="D147" s="12" t="n">
        <f aca="false">COUNTIFS(Master!$B$2:$B$571,$B147,Master!$C$2:$C$571,$C147)</f>
        <v>3</v>
      </c>
      <c r="E147" s="12" t="n">
        <f aca="false">COUNTIFS(Master!$B$2:$B$571,$B147,Master!$C$2:$C$571,$C147,Master!$F$2:$F$571,"Core")</f>
        <v>2</v>
      </c>
      <c r="F147" s="12" t="n">
        <f aca="false">COUNTIFS(Master!$B$2:$B$571,$B147,Master!$C$2:$C$571,$C147,Master!$I$2:$I$571,"Solved")+COUNTIFS(Master!$B$2:$B$571,$B147,Master!$C$2:$C$571,$C147,Master!$I$2:$I$571,"Mastered")</f>
        <v>0</v>
      </c>
      <c r="G147" s="27" t="str">
        <f aca="false">IFERROR(AVERAGEIFS(Master!$J$2:$J$571,Master!$B$2:$B$571,$B147,Master!$C$2:$C$571,$C147,Master!$J$2:$J$571,"&gt;0"),"")</f>
        <v/>
      </c>
      <c r="H147" s="22" t="str">
        <f aca="false">IF($F147=0,"Untouched",IF($G147="","No rating",IF($G147&lt;=3,"Weak","Solid")))</f>
        <v>Untouched</v>
      </c>
    </row>
    <row r="148" customFormat="false" ht="15" hidden="false" customHeight="true" outlineLevel="0" collapsed="false">
      <c r="B148" s="11" t="s">
        <v>744</v>
      </c>
      <c r="C148" s="11" t="s">
        <v>764</v>
      </c>
      <c r="D148" s="12" t="n">
        <f aca="false">COUNTIFS(Master!$B$2:$B$571,$B148,Master!$C$2:$C$571,$C148)</f>
        <v>2</v>
      </c>
      <c r="E148" s="12" t="n">
        <f aca="false">COUNTIFS(Master!$B$2:$B$571,$B148,Master!$C$2:$C$571,$C148,Master!$F$2:$F$571,"Core")</f>
        <v>2</v>
      </c>
      <c r="F148" s="12" t="n">
        <f aca="false">COUNTIFS(Master!$B$2:$B$571,$B148,Master!$C$2:$C$571,$C148,Master!$I$2:$I$571,"Solved")+COUNTIFS(Master!$B$2:$B$571,$B148,Master!$C$2:$C$571,$C148,Master!$I$2:$I$571,"Mastered")</f>
        <v>0</v>
      </c>
      <c r="G148" s="27" t="str">
        <f aca="false">IFERROR(AVERAGEIFS(Master!$J$2:$J$571,Master!$B$2:$B$571,$B148,Master!$C$2:$C$571,$C148,Master!$J$2:$J$571,"&gt;0"),"")</f>
        <v/>
      </c>
      <c r="H148" s="22" t="str">
        <f aca="false">IF($F148=0,"Untouched",IF($G148="","No rating",IF($G148&lt;=3,"Weak","Solid")))</f>
        <v>Untouched</v>
      </c>
    </row>
    <row r="149" customFormat="false" ht="15" hidden="false" customHeight="true" outlineLevel="0" collapsed="false">
      <c r="B149" s="11" t="s">
        <v>744</v>
      </c>
      <c r="C149" s="11" t="s">
        <v>510</v>
      </c>
      <c r="D149" s="12" t="n">
        <f aca="false">COUNTIFS(Master!$B$2:$B$571,$B149,Master!$C$2:$C$571,$C149)</f>
        <v>1</v>
      </c>
      <c r="E149" s="12" t="n">
        <f aca="false">COUNTIFS(Master!$B$2:$B$571,$B149,Master!$C$2:$C$571,$C149,Master!$F$2:$F$571,"Core")</f>
        <v>1</v>
      </c>
      <c r="F149" s="12" t="n">
        <f aca="false">COUNTIFS(Master!$B$2:$B$571,$B149,Master!$C$2:$C$571,$C149,Master!$I$2:$I$571,"Solved")+COUNTIFS(Master!$B$2:$B$571,$B149,Master!$C$2:$C$571,$C149,Master!$I$2:$I$571,"Mastered")</f>
        <v>0</v>
      </c>
      <c r="G149" s="27" t="str">
        <f aca="false">IFERROR(AVERAGEIFS(Master!$J$2:$J$571,Master!$B$2:$B$571,$B149,Master!$C$2:$C$571,$C149,Master!$J$2:$J$571,"&gt;0"),"")</f>
        <v/>
      </c>
      <c r="H149" s="22" t="str">
        <f aca="false">IF($F149=0,"Untouched",IF($G149="","No rating",IF($G149&lt;=3,"Weak","Solid")))</f>
        <v>Untouched</v>
      </c>
    </row>
    <row r="150" customFormat="false" ht="15" hidden="false" customHeight="true" outlineLevel="0" collapsed="false">
      <c r="B150" s="11" t="s">
        <v>768</v>
      </c>
      <c r="C150" s="11" t="s">
        <v>769</v>
      </c>
      <c r="D150" s="12" t="n">
        <f aca="false">COUNTIFS(Master!$B$2:$B$571,$B150,Master!$C$2:$C$571,$C150)</f>
        <v>3</v>
      </c>
      <c r="E150" s="12" t="n">
        <f aca="false">COUNTIFS(Master!$B$2:$B$571,$B150,Master!$C$2:$C$571,$C150,Master!$F$2:$F$571,"Core")</f>
        <v>2</v>
      </c>
      <c r="F150" s="12" t="n">
        <f aca="false">COUNTIFS(Master!$B$2:$B$571,$B150,Master!$C$2:$C$571,$C150,Master!$I$2:$I$571,"Solved")+COUNTIFS(Master!$B$2:$B$571,$B150,Master!$C$2:$C$571,$C150,Master!$I$2:$I$571,"Mastered")</f>
        <v>0</v>
      </c>
      <c r="G150" s="27" t="str">
        <f aca="false">IFERROR(AVERAGEIFS(Master!$J$2:$J$571,Master!$B$2:$B$571,$B150,Master!$C$2:$C$571,$C150,Master!$J$2:$J$571,"&gt;0"),"")</f>
        <v/>
      </c>
      <c r="H150" s="22" t="str">
        <f aca="false">IF($F150=0,"Untouched",IF($G150="","No rating",IF($G150&lt;=3,"Weak","Solid")))</f>
        <v>Untouched</v>
      </c>
    </row>
    <row r="151" customFormat="false" ht="15" hidden="false" customHeight="true" outlineLevel="0" collapsed="false">
      <c r="B151" s="11" t="s">
        <v>768</v>
      </c>
      <c r="C151" s="11" t="s">
        <v>773</v>
      </c>
      <c r="D151" s="12" t="n">
        <f aca="false">COUNTIFS(Master!$B$2:$B$571,$B151,Master!$C$2:$C$571,$C151)</f>
        <v>2</v>
      </c>
      <c r="E151" s="12" t="n">
        <f aca="false">COUNTIFS(Master!$B$2:$B$571,$B151,Master!$C$2:$C$571,$C151,Master!$F$2:$F$571,"Core")</f>
        <v>2</v>
      </c>
      <c r="F151" s="12" t="n">
        <f aca="false">COUNTIFS(Master!$B$2:$B$571,$B151,Master!$C$2:$C$571,$C151,Master!$I$2:$I$571,"Solved")+COUNTIFS(Master!$B$2:$B$571,$B151,Master!$C$2:$C$571,$C151,Master!$I$2:$I$571,"Mastered")</f>
        <v>0</v>
      </c>
      <c r="G151" s="27" t="str">
        <f aca="false">IFERROR(AVERAGEIFS(Master!$J$2:$J$571,Master!$B$2:$B$571,$B151,Master!$C$2:$C$571,$C151,Master!$J$2:$J$571,"&gt;0"),"")</f>
        <v/>
      </c>
      <c r="H151" s="22" t="str">
        <f aca="false">IF($F151=0,"Untouched",IF($G151="","No rating",IF($G151&lt;=3,"Weak","Solid")))</f>
        <v>Untouched</v>
      </c>
    </row>
    <row r="152" customFormat="false" ht="15" hidden="false" customHeight="true" outlineLevel="0" collapsed="false">
      <c r="B152" s="11" t="s">
        <v>768</v>
      </c>
      <c r="C152" s="11" t="s">
        <v>776</v>
      </c>
      <c r="D152" s="12" t="n">
        <f aca="false">COUNTIFS(Master!$B$2:$B$571,$B152,Master!$C$2:$C$571,$C152)</f>
        <v>2</v>
      </c>
      <c r="E152" s="12" t="n">
        <f aca="false">COUNTIFS(Master!$B$2:$B$571,$B152,Master!$C$2:$C$571,$C152,Master!$F$2:$F$571,"Core")</f>
        <v>2</v>
      </c>
      <c r="F152" s="12" t="n">
        <f aca="false">COUNTIFS(Master!$B$2:$B$571,$B152,Master!$C$2:$C$571,$C152,Master!$I$2:$I$571,"Solved")+COUNTIFS(Master!$B$2:$B$571,$B152,Master!$C$2:$C$571,$C152,Master!$I$2:$I$571,"Mastered")</f>
        <v>0</v>
      </c>
      <c r="G152" s="27" t="str">
        <f aca="false">IFERROR(AVERAGEIFS(Master!$J$2:$J$571,Master!$B$2:$B$571,$B152,Master!$C$2:$C$571,$C152,Master!$J$2:$J$571,"&gt;0"),"")</f>
        <v/>
      </c>
      <c r="H152" s="22" t="str">
        <f aca="false">IF($F152=0,"Untouched",IF($G152="","No rating",IF($G152&lt;=3,"Weak","Solid")))</f>
        <v>Untouched</v>
      </c>
    </row>
    <row r="153" customFormat="false" ht="15" hidden="false" customHeight="true" outlineLevel="0" collapsed="false">
      <c r="B153" s="11" t="s">
        <v>768</v>
      </c>
      <c r="C153" s="11" t="s">
        <v>779</v>
      </c>
      <c r="D153" s="12" t="n">
        <f aca="false">COUNTIFS(Master!$B$2:$B$571,$B153,Master!$C$2:$C$571,$C153)</f>
        <v>4</v>
      </c>
      <c r="E153" s="12" t="n">
        <f aca="false">COUNTIFS(Master!$B$2:$B$571,$B153,Master!$C$2:$C$571,$C153,Master!$F$2:$F$571,"Core")</f>
        <v>2</v>
      </c>
      <c r="F153" s="12" t="n">
        <f aca="false">COUNTIFS(Master!$B$2:$B$571,$B153,Master!$C$2:$C$571,$C153,Master!$I$2:$I$571,"Solved")+COUNTIFS(Master!$B$2:$B$571,$B153,Master!$C$2:$C$571,$C153,Master!$I$2:$I$571,"Mastered")</f>
        <v>0</v>
      </c>
      <c r="G153" s="27" t="str">
        <f aca="false">IFERROR(AVERAGEIFS(Master!$J$2:$J$571,Master!$B$2:$B$571,$B153,Master!$C$2:$C$571,$C153,Master!$J$2:$J$571,"&gt;0"),"")</f>
        <v/>
      </c>
      <c r="H153" s="22" t="str">
        <f aca="false">IF($F153=0,"Untouched",IF($G153="","No rating",IF($G153&lt;=3,"Weak","Solid")))</f>
        <v>Untouched</v>
      </c>
    </row>
    <row r="154" customFormat="false" ht="15" hidden="false" customHeight="true" outlineLevel="0" collapsed="false">
      <c r="B154" s="11" t="s">
        <v>768</v>
      </c>
      <c r="C154" s="11" t="s">
        <v>784</v>
      </c>
      <c r="D154" s="12" t="n">
        <f aca="false">COUNTIFS(Master!$B$2:$B$571,$B154,Master!$C$2:$C$571,$C154)</f>
        <v>1</v>
      </c>
      <c r="E154" s="12" t="n">
        <f aca="false">COUNTIFS(Master!$B$2:$B$571,$B154,Master!$C$2:$C$571,$C154,Master!$F$2:$F$571,"Core")</f>
        <v>1</v>
      </c>
      <c r="F154" s="12" t="n">
        <f aca="false">COUNTIFS(Master!$B$2:$B$571,$B154,Master!$C$2:$C$571,$C154,Master!$I$2:$I$571,"Solved")+COUNTIFS(Master!$B$2:$B$571,$B154,Master!$C$2:$C$571,$C154,Master!$I$2:$I$571,"Mastered")</f>
        <v>0</v>
      </c>
      <c r="G154" s="27" t="str">
        <f aca="false">IFERROR(AVERAGEIFS(Master!$J$2:$J$571,Master!$B$2:$B$571,$B154,Master!$C$2:$C$571,$C154,Master!$J$2:$J$571,"&gt;0"),"")</f>
        <v/>
      </c>
      <c r="H154" s="22" t="str">
        <f aca="false">IF($F154=0,"Untouched",IF($G154="","No rating",IF($G154&lt;=3,"Weak","Solid")))</f>
        <v>Untouched</v>
      </c>
    </row>
    <row r="155" customFormat="false" ht="15" hidden="false" customHeight="true" outlineLevel="0" collapsed="false">
      <c r="B155" s="11" t="s">
        <v>768</v>
      </c>
      <c r="C155" s="11" t="s">
        <v>786</v>
      </c>
      <c r="D155" s="12" t="n">
        <f aca="false">COUNTIFS(Master!$B$2:$B$571,$B155,Master!$C$2:$C$571,$C155)</f>
        <v>2</v>
      </c>
      <c r="E155" s="12" t="n">
        <f aca="false">COUNTIFS(Master!$B$2:$B$571,$B155,Master!$C$2:$C$571,$C155,Master!$F$2:$F$571,"Core")</f>
        <v>2</v>
      </c>
      <c r="F155" s="12" t="n">
        <f aca="false">COUNTIFS(Master!$B$2:$B$571,$B155,Master!$C$2:$C$571,$C155,Master!$I$2:$I$571,"Solved")+COUNTIFS(Master!$B$2:$B$571,$B155,Master!$C$2:$C$571,$C155,Master!$I$2:$I$571,"Mastered")</f>
        <v>0</v>
      </c>
      <c r="G155" s="27" t="str">
        <f aca="false">IFERROR(AVERAGEIFS(Master!$J$2:$J$571,Master!$B$2:$B$571,$B155,Master!$C$2:$C$571,$C155,Master!$J$2:$J$571,"&gt;0"),"")</f>
        <v/>
      </c>
      <c r="H155" s="22" t="str">
        <f aca="false">IF($F155=0,"Untouched",IF($G155="","No rating",IF($G155&lt;=3,"Weak","Solid")))</f>
        <v>Untouched</v>
      </c>
    </row>
    <row r="156" customFormat="false" ht="15" hidden="false" customHeight="true" outlineLevel="0" collapsed="false">
      <c r="B156" s="11" t="s">
        <v>768</v>
      </c>
      <c r="C156" s="11" t="s">
        <v>789</v>
      </c>
      <c r="D156" s="12" t="n">
        <f aca="false">COUNTIFS(Master!$B$2:$B$571,$B156,Master!$C$2:$C$571,$C156)</f>
        <v>2</v>
      </c>
      <c r="E156" s="12" t="n">
        <f aca="false">COUNTIFS(Master!$B$2:$B$571,$B156,Master!$C$2:$C$571,$C156,Master!$F$2:$F$571,"Core")</f>
        <v>2</v>
      </c>
      <c r="F156" s="12" t="n">
        <f aca="false">COUNTIFS(Master!$B$2:$B$571,$B156,Master!$C$2:$C$571,$C156,Master!$I$2:$I$571,"Solved")+COUNTIFS(Master!$B$2:$B$571,$B156,Master!$C$2:$C$571,$C156,Master!$I$2:$I$571,"Mastered")</f>
        <v>0</v>
      </c>
      <c r="G156" s="27" t="str">
        <f aca="false">IFERROR(AVERAGEIFS(Master!$J$2:$J$571,Master!$B$2:$B$571,$B156,Master!$C$2:$C$571,$C156,Master!$J$2:$J$571,"&gt;0"),"")</f>
        <v/>
      </c>
      <c r="H156" s="22" t="str">
        <f aca="false">IF($F156=0,"Untouched",IF($G156="","No rating",IF($G156&lt;=3,"Weak","Solid")))</f>
        <v>Untouched</v>
      </c>
    </row>
    <row r="157" customFormat="false" ht="15" hidden="false" customHeight="true" outlineLevel="0" collapsed="false">
      <c r="B157" s="11" t="s">
        <v>768</v>
      </c>
      <c r="C157" s="11" t="s">
        <v>792</v>
      </c>
      <c r="D157" s="12" t="n">
        <f aca="false">COUNTIFS(Master!$B$2:$B$571,$B157,Master!$C$2:$C$571,$C157)</f>
        <v>1</v>
      </c>
      <c r="E157" s="12" t="n">
        <f aca="false">COUNTIFS(Master!$B$2:$B$571,$B157,Master!$C$2:$C$571,$C157,Master!$F$2:$F$571,"Core")</f>
        <v>1</v>
      </c>
      <c r="F157" s="12" t="n">
        <f aca="false">COUNTIFS(Master!$B$2:$B$571,$B157,Master!$C$2:$C$571,$C157,Master!$I$2:$I$571,"Solved")+COUNTIFS(Master!$B$2:$B$571,$B157,Master!$C$2:$C$571,$C157,Master!$I$2:$I$571,"Mastered")</f>
        <v>0</v>
      </c>
      <c r="G157" s="27" t="str">
        <f aca="false">IFERROR(AVERAGEIFS(Master!$J$2:$J$571,Master!$B$2:$B$571,$B157,Master!$C$2:$C$571,$C157,Master!$J$2:$J$571,"&gt;0"),"")</f>
        <v/>
      </c>
      <c r="H157" s="22" t="str">
        <f aca="false">IF($F157=0,"Untouched",IF($G157="","No rating",IF($G157&lt;=3,"Weak","Solid")))</f>
        <v>Untouched</v>
      </c>
    </row>
    <row r="158" customFormat="false" ht="15" hidden="false" customHeight="true" outlineLevel="0" collapsed="false">
      <c r="B158" s="11" t="s">
        <v>794</v>
      </c>
      <c r="C158" s="11" t="s">
        <v>370</v>
      </c>
      <c r="D158" s="12" t="n">
        <f aca="false">COUNTIFS(Master!$B$2:$B$571,$B158,Master!$C$2:$C$571,$C158)</f>
        <v>4</v>
      </c>
      <c r="E158" s="12" t="n">
        <f aca="false">COUNTIFS(Master!$B$2:$B$571,$B158,Master!$C$2:$C$571,$C158,Master!$F$2:$F$571,"Core")</f>
        <v>2</v>
      </c>
      <c r="F158" s="12" t="n">
        <f aca="false">COUNTIFS(Master!$B$2:$B$571,$B158,Master!$C$2:$C$571,$C158,Master!$I$2:$I$571,"Solved")+COUNTIFS(Master!$B$2:$B$571,$B158,Master!$C$2:$C$571,$C158,Master!$I$2:$I$571,"Mastered")</f>
        <v>0</v>
      </c>
      <c r="G158" s="27" t="str">
        <f aca="false">IFERROR(AVERAGEIFS(Master!$J$2:$J$571,Master!$B$2:$B$571,$B158,Master!$C$2:$C$571,$C158,Master!$J$2:$J$571,"&gt;0"),"")</f>
        <v/>
      </c>
      <c r="H158" s="22" t="str">
        <f aca="false">IF($F158=0,"Untouched",IF($G158="","No rating",IF($G158&lt;=3,"Weak","Solid")))</f>
        <v>Untouched</v>
      </c>
    </row>
    <row r="159" customFormat="false" ht="15" hidden="false" customHeight="true" outlineLevel="0" collapsed="false">
      <c r="B159" s="11" t="s">
        <v>794</v>
      </c>
      <c r="C159" s="11" t="s">
        <v>799</v>
      </c>
      <c r="D159" s="12" t="n">
        <f aca="false">COUNTIFS(Master!$B$2:$B$571,$B159,Master!$C$2:$C$571,$C159)</f>
        <v>4</v>
      </c>
      <c r="E159" s="12" t="n">
        <f aca="false">COUNTIFS(Master!$B$2:$B$571,$B159,Master!$C$2:$C$571,$C159,Master!$F$2:$F$571,"Core")</f>
        <v>2</v>
      </c>
      <c r="F159" s="12" t="n">
        <f aca="false">COUNTIFS(Master!$B$2:$B$571,$B159,Master!$C$2:$C$571,$C159,Master!$I$2:$I$571,"Solved")+COUNTIFS(Master!$B$2:$B$571,$B159,Master!$C$2:$C$571,$C159,Master!$I$2:$I$571,"Mastered")</f>
        <v>0</v>
      </c>
      <c r="G159" s="27" t="str">
        <f aca="false">IFERROR(AVERAGEIFS(Master!$J$2:$J$571,Master!$B$2:$B$571,$B159,Master!$C$2:$C$571,$C159,Master!$J$2:$J$571,"&gt;0"),"")</f>
        <v/>
      </c>
      <c r="H159" s="22" t="str">
        <f aca="false">IF($F159=0,"Untouched",IF($G159="","No rating",IF($G159&lt;=3,"Weak","Solid")))</f>
        <v>Untouched</v>
      </c>
    </row>
    <row r="160" customFormat="false" ht="15" hidden="false" customHeight="true" outlineLevel="0" collapsed="false">
      <c r="B160" s="11" t="s">
        <v>794</v>
      </c>
      <c r="C160" s="11" t="s">
        <v>804</v>
      </c>
      <c r="D160" s="12" t="n">
        <f aca="false">COUNTIFS(Master!$B$2:$B$571,$B160,Master!$C$2:$C$571,$C160)</f>
        <v>2</v>
      </c>
      <c r="E160" s="12" t="n">
        <f aca="false">COUNTIFS(Master!$B$2:$B$571,$B160,Master!$C$2:$C$571,$C160,Master!$F$2:$F$571,"Core")</f>
        <v>2</v>
      </c>
      <c r="F160" s="12" t="n">
        <f aca="false">COUNTIFS(Master!$B$2:$B$571,$B160,Master!$C$2:$C$571,$C160,Master!$I$2:$I$571,"Solved")+COUNTIFS(Master!$B$2:$B$571,$B160,Master!$C$2:$C$571,$C160,Master!$I$2:$I$571,"Mastered")</f>
        <v>0</v>
      </c>
      <c r="G160" s="27" t="str">
        <f aca="false">IFERROR(AVERAGEIFS(Master!$J$2:$J$571,Master!$B$2:$B$571,$B160,Master!$C$2:$C$571,$C160,Master!$J$2:$J$571,"&gt;0"),"")</f>
        <v/>
      </c>
      <c r="H160" s="22" t="str">
        <f aca="false">IF($F160=0,"Untouched",IF($G160="","No rating",IF($G160&lt;=3,"Weak","Solid")))</f>
        <v>Untouched</v>
      </c>
    </row>
    <row r="161" customFormat="false" ht="15" hidden="false" customHeight="true" outlineLevel="0" collapsed="false">
      <c r="B161" s="11" t="s">
        <v>794</v>
      </c>
      <c r="C161" s="11" t="s">
        <v>807</v>
      </c>
      <c r="D161" s="12" t="n">
        <f aca="false">COUNTIFS(Master!$B$2:$B$571,$B161,Master!$C$2:$C$571,$C161)</f>
        <v>1</v>
      </c>
      <c r="E161" s="12" t="n">
        <f aca="false">COUNTIFS(Master!$B$2:$B$571,$B161,Master!$C$2:$C$571,$C161,Master!$F$2:$F$571,"Core")</f>
        <v>1</v>
      </c>
      <c r="F161" s="12" t="n">
        <f aca="false">COUNTIFS(Master!$B$2:$B$571,$B161,Master!$C$2:$C$571,$C161,Master!$I$2:$I$571,"Solved")+COUNTIFS(Master!$B$2:$B$571,$B161,Master!$C$2:$C$571,$C161,Master!$I$2:$I$571,"Mastered")</f>
        <v>0</v>
      </c>
      <c r="G161" s="27" t="str">
        <f aca="false">IFERROR(AVERAGEIFS(Master!$J$2:$J$571,Master!$B$2:$B$571,$B161,Master!$C$2:$C$571,$C161,Master!$J$2:$J$571,"&gt;0"),"")</f>
        <v/>
      </c>
      <c r="H161" s="22" t="str">
        <f aca="false">IF($F161=0,"Untouched",IF($G161="","No rating",IF($G161&lt;=3,"Weak","Solid")))</f>
        <v>Untouched</v>
      </c>
    </row>
    <row r="162" customFormat="false" ht="15" hidden="false" customHeight="true" outlineLevel="0" collapsed="false">
      <c r="B162" s="11" t="s">
        <v>809</v>
      </c>
      <c r="C162" s="11" t="s">
        <v>810</v>
      </c>
      <c r="D162" s="12" t="n">
        <f aca="false">COUNTIFS(Master!$B$2:$B$571,$B162,Master!$C$2:$C$571,$C162)</f>
        <v>2</v>
      </c>
      <c r="E162" s="12" t="n">
        <f aca="false">COUNTIFS(Master!$B$2:$B$571,$B162,Master!$C$2:$C$571,$C162,Master!$F$2:$F$571,"Core")</f>
        <v>2</v>
      </c>
      <c r="F162" s="12" t="n">
        <f aca="false">COUNTIFS(Master!$B$2:$B$571,$B162,Master!$C$2:$C$571,$C162,Master!$I$2:$I$571,"Solved")+COUNTIFS(Master!$B$2:$B$571,$B162,Master!$C$2:$C$571,$C162,Master!$I$2:$I$571,"Mastered")</f>
        <v>0</v>
      </c>
      <c r="G162" s="27" t="str">
        <f aca="false">IFERROR(AVERAGEIFS(Master!$J$2:$J$571,Master!$B$2:$B$571,$B162,Master!$C$2:$C$571,$C162,Master!$J$2:$J$571,"&gt;0"),"")</f>
        <v/>
      </c>
      <c r="H162" s="22" t="str">
        <f aca="false">IF($F162=0,"Untouched",IF($G162="","No rating",IF($G162&lt;=3,"Weak","Solid")))</f>
        <v>Untouched</v>
      </c>
    </row>
    <row r="163" customFormat="false" ht="15" hidden="false" customHeight="true" outlineLevel="0" collapsed="false">
      <c r="B163" s="11" t="s">
        <v>809</v>
      </c>
      <c r="C163" s="11" t="s">
        <v>813</v>
      </c>
      <c r="D163" s="12" t="n">
        <f aca="false">COUNTIFS(Master!$B$2:$B$571,$B163,Master!$C$2:$C$571,$C163)</f>
        <v>4</v>
      </c>
      <c r="E163" s="12" t="n">
        <f aca="false">COUNTIFS(Master!$B$2:$B$571,$B163,Master!$C$2:$C$571,$C163,Master!$F$2:$F$571,"Core")</f>
        <v>2</v>
      </c>
      <c r="F163" s="12" t="n">
        <f aca="false">COUNTIFS(Master!$B$2:$B$571,$B163,Master!$C$2:$C$571,$C163,Master!$I$2:$I$571,"Solved")+COUNTIFS(Master!$B$2:$B$571,$B163,Master!$C$2:$C$571,$C163,Master!$I$2:$I$571,"Mastered")</f>
        <v>0</v>
      </c>
      <c r="G163" s="27" t="str">
        <f aca="false">IFERROR(AVERAGEIFS(Master!$J$2:$J$571,Master!$B$2:$B$571,$B163,Master!$C$2:$C$571,$C163,Master!$J$2:$J$571,"&gt;0"),"")</f>
        <v/>
      </c>
      <c r="H163" s="22" t="str">
        <f aca="false">IF($F163=0,"Untouched",IF($G163="","No rating",IF($G163&lt;=3,"Weak","Solid")))</f>
        <v>Untouched</v>
      </c>
    </row>
    <row r="164" customFormat="false" ht="15" hidden="false" customHeight="true" outlineLevel="0" collapsed="false">
      <c r="B164" s="11" t="s">
        <v>809</v>
      </c>
      <c r="C164" s="11" t="s">
        <v>818</v>
      </c>
      <c r="D164" s="12" t="n">
        <f aca="false">COUNTIFS(Master!$B$2:$B$571,$B164,Master!$C$2:$C$571,$C164)</f>
        <v>3</v>
      </c>
      <c r="E164" s="12" t="n">
        <f aca="false">COUNTIFS(Master!$B$2:$B$571,$B164,Master!$C$2:$C$571,$C164,Master!$F$2:$F$571,"Core")</f>
        <v>2</v>
      </c>
      <c r="F164" s="12" t="n">
        <f aca="false">COUNTIFS(Master!$B$2:$B$571,$B164,Master!$C$2:$C$571,$C164,Master!$I$2:$I$571,"Solved")+COUNTIFS(Master!$B$2:$B$571,$B164,Master!$C$2:$C$571,$C164,Master!$I$2:$I$571,"Mastered")</f>
        <v>0</v>
      </c>
      <c r="G164" s="27" t="str">
        <f aca="false">IFERROR(AVERAGEIFS(Master!$J$2:$J$571,Master!$B$2:$B$571,$B164,Master!$C$2:$C$571,$C164,Master!$J$2:$J$571,"&gt;0"),"")</f>
        <v/>
      </c>
      <c r="H164" s="22" t="str">
        <f aca="false">IF($F164=0,"Untouched",IF($G164="","No rating",IF($G164&lt;=3,"Weak","Solid")))</f>
        <v>Untouched</v>
      </c>
    </row>
    <row r="165" customFormat="false" ht="15" hidden="false" customHeight="true" outlineLevel="0" collapsed="false">
      <c r="B165" s="11" t="s">
        <v>809</v>
      </c>
      <c r="C165" s="11" t="s">
        <v>822</v>
      </c>
      <c r="D165" s="12" t="n">
        <f aca="false">COUNTIFS(Master!$B$2:$B$571,$B165,Master!$C$2:$C$571,$C165)</f>
        <v>2</v>
      </c>
      <c r="E165" s="12" t="n">
        <f aca="false">COUNTIFS(Master!$B$2:$B$571,$B165,Master!$C$2:$C$571,$C165,Master!$F$2:$F$571,"Core")</f>
        <v>2</v>
      </c>
      <c r="F165" s="12" t="n">
        <f aca="false">COUNTIFS(Master!$B$2:$B$571,$B165,Master!$C$2:$C$571,$C165,Master!$I$2:$I$571,"Solved")+COUNTIFS(Master!$B$2:$B$571,$B165,Master!$C$2:$C$571,$C165,Master!$I$2:$I$571,"Mastered")</f>
        <v>0</v>
      </c>
      <c r="G165" s="27" t="str">
        <f aca="false">IFERROR(AVERAGEIFS(Master!$J$2:$J$571,Master!$B$2:$B$571,$B165,Master!$C$2:$C$571,$C165,Master!$J$2:$J$571,"&gt;0"),"")</f>
        <v/>
      </c>
      <c r="H165" s="22" t="str">
        <f aca="false">IF($F165=0,"Untouched",IF($G165="","No rating",IF($G165&lt;=3,"Weak","Solid")))</f>
        <v>Untouched</v>
      </c>
    </row>
    <row r="166" customFormat="false" ht="15" hidden="false" customHeight="true" outlineLevel="0" collapsed="false">
      <c r="B166" s="11" t="s">
        <v>825</v>
      </c>
      <c r="C166" s="11" t="s">
        <v>826</v>
      </c>
      <c r="D166" s="12" t="n">
        <f aca="false">COUNTIFS(Master!$B$2:$B$571,$B166,Master!$C$2:$C$571,$C166)</f>
        <v>3</v>
      </c>
      <c r="E166" s="12" t="n">
        <f aca="false">COUNTIFS(Master!$B$2:$B$571,$B166,Master!$C$2:$C$571,$C166,Master!$F$2:$F$571,"Core")</f>
        <v>0</v>
      </c>
      <c r="F166" s="12" t="n">
        <f aca="false">COUNTIFS(Master!$B$2:$B$571,$B166,Master!$C$2:$C$571,$C166,Master!$I$2:$I$571,"Solved")+COUNTIFS(Master!$B$2:$B$571,$B166,Master!$C$2:$C$571,$C166,Master!$I$2:$I$571,"Mastered")</f>
        <v>0</v>
      </c>
      <c r="G166" s="27" t="str">
        <f aca="false">IFERROR(AVERAGEIFS(Master!$J$2:$J$571,Master!$B$2:$B$571,$B166,Master!$C$2:$C$571,$C166,Master!$J$2:$J$571,"&gt;0"),"")</f>
        <v/>
      </c>
      <c r="H166" s="22" t="str">
        <f aca="false">IF($F166=0,"Untouched",IF($G166="","No rating",IF($G166&lt;=3,"Weak","Solid")))</f>
        <v>Untouched</v>
      </c>
    </row>
    <row r="167" customFormat="false" ht="15" hidden="false" customHeight="true" outlineLevel="0" collapsed="false">
      <c r="B167" s="11" t="s">
        <v>825</v>
      </c>
      <c r="C167" s="11" t="s">
        <v>830</v>
      </c>
      <c r="D167" s="12" t="n">
        <f aca="false">COUNTIFS(Master!$B$2:$B$571,$B167,Master!$C$2:$C$571,$C167)</f>
        <v>2</v>
      </c>
      <c r="E167" s="12" t="n">
        <f aca="false">COUNTIFS(Master!$B$2:$B$571,$B167,Master!$C$2:$C$571,$C167,Master!$F$2:$F$571,"Core")</f>
        <v>0</v>
      </c>
      <c r="F167" s="12" t="n">
        <f aca="false">COUNTIFS(Master!$B$2:$B$571,$B167,Master!$C$2:$C$571,$C167,Master!$I$2:$I$571,"Solved")+COUNTIFS(Master!$B$2:$B$571,$B167,Master!$C$2:$C$571,$C167,Master!$I$2:$I$571,"Mastered")</f>
        <v>0</v>
      </c>
      <c r="G167" s="27" t="str">
        <f aca="false">IFERROR(AVERAGEIFS(Master!$J$2:$J$571,Master!$B$2:$B$571,$B167,Master!$C$2:$C$571,$C167,Master!$J$2:$J$571,"&gt;0"),"")</f>
        <v/>
      </c>
      <c r="H167" s="22" t="str">
        <f aca="false">IF($F167=0,"Untouched",IF($G167="","No rating",IF($G167&lt;=3,"Weak","Solid")))</f>
        <v>Untouched</v>
      </c>
    </row>
    <row r="168" customFormat="false" ht="15" hidden="false" customHeight="true" outlineLevel="0" collapsed="false">
      <c r="B168" s="11" t="s">
        <v>825</v>
      </c>
      <c r="C168" s="11" t="s">
        <v>833</v>
      </c>
      <c r="D168" s="12" t="n">
        <f aca="false">COUNTIFS(Master!$B$2:$B$571,$B168,Master!$C$2:$C$571,$C168)</f>
        <v>1</v>
      </c>
      <c r="E168" s="12" t="n">
        <f aca="false">COUNTIFS(Master!$B$2:$B$571,$B168,Master!$C$2:$C$571,$C168,Master!$F$2:$F$571,"Core")</f>
        <v>0</v>
      </c>
      <c r="F168" s="12" t="n">
        <f aca="false">COUNTIFS(Master!$B$2:$B$571,$B168,Master!$C$2:$C$571,$C168,Master!$I$2:$I$571,"Solved")+COUNTIFS(Master!$B$2:$B$571,$B168,Master!$C$2:$C$571,$C168,Master!$I$2:$I$571,"Mastered")</f>
        <v>0</v>
      </c>
      <c r="G168" s="27" t="str">
        <f aca="false">IFERROR(AVERAGEIFS(Master!$J$2:$J$571,Master!$B$2:$B$571,$B168,Master!$C$2:$C$571,$C168,Master!$J$2:$J$571,"&gt;0"),"")</f>
        <v/>
      </c>
      <c r="H168" s="22" t="str">
        <f aca="false">IF($F168=0,"Untouched",IF($G168="","No rating",IF($G168&lt;=3,"Weak","Solid")))</f>
        <v>Untouched</v>
      </c>
    </row>
    <row r="169" customFormat="false" ht="15" hidden="false" customHeight="true" outlineLevel="0" collapsed="false">
      <c r="B169" s="11" t="s">
        <v>825</v>
      </c>
      <c r="C169" s="11" t="s">
        <v>835</v>
      </c>
      <c r="D169" s="12" t="n">
        <f aca="false">COUNTIFS(Master!$B$2:$B$571,$B169,Master!$C$2:$C$571,$C169)</f>
        <v>1</v>
      </c>
      <c r="E169" s="12" t="n">
        <f aca="false">COUNTIFS(Master!$B$2:$B$571,$B169,Master!$C$2:$C$571,$C169,Master!$F$2:$F$571,"Core")</f>
        <v>0</v>
      </c>
      <c r="F169" s="12" t="n">
        <f aca="false">COUNTIFS(Master!$B$2:$B$571,$B169,Master!$C$2:$C$571,$C169,Master!$I$2:$I$571,"Solved")+COUNTIFS(Master!$B$2:$B$571,$B169,Master!$C$2:$C$571,$C169,Master!$I$2:$I$571,"Mastered")</f>
        <v>0</v>
      </c>
      <c r="G169" s="27" t="str">
        <f aca="false">IFERROR(AVERAGEIFS(Master!$J$2:$J$571,Master!$B$2:$B$571,$B169,Master!$C$2:$C$571,$C169,Master!$J$2:$J$571,"&gt;0"),"")</f>
        <v/>
      </c>
      <c r="H169" s="22" t="str">
        <f aca="false">IF($F169=0,"Untouched",IF($G169="","No rating",IF($G169&lt;=3,"Weak","Solid")))</f>
        <v>Untouched</v>
      </c>
    </row>
    <row r="170" customFormat="false" ht="15" hidden="false" customHeight="true" outlineLevel="0" collapsed="false">
      <c r="B170" s="11" t="s">
        <v>825</v>
      </c>
      <c r="C170" s="11" t="s">
        <v>837</v>
      </c>
      <c r="D170" s="12" t="n">
        <f aca="false">COUNTIFS(Master!$B$2:$B$571,$B170,Master!$C$2:$C$571,$C170)</f>
        <v>1</v>
      </c>
      <c r="E170" s="12" t="n">
        <f aca="false">COUNTIFS(Master!$B$2:$B$571,$B170,Master!$C$2:$C$571,$C170,Master!$F$2:$F$571,"Core")</f>
        <v>0</v>
      </c>
      <c r="F170" s="12" t="n">
        <f aca="false">COUNTIFS(Master!$B$2:$B$571,$B170,Master!$C$2:$C$571,$C170,Master!$I$2:$I$571,"Solved")+COUNTIFS(Master!$B$2:$B$571,$B170,Master!$C$2:$C$571,$C170,Master!$I$2:$I$571,"Mastered")</f>
        <v>0</v>
      </c>
      <c r="G170" s="27" t="str">
        <f aca="false">IFERROR(AVERAGEIFS(Master!$J$2:$J$571,Master!$B$2:$B$571,$B170,Master!$C$2:$C$571,$C170,Master!$J$2:$J$571,"&gt;0"),"")</f>
        <v/>
      </c>
      <c r="H170" s="22" t="str">
        <f aca="false">IF($F170=0,"Untouched",IF($G170="","No rating",IF($G170&lt;=3,"Weak","Solid")))</f>
        <v>Untouched</v>
      </c>
    </row>
  </sheetData>
  <autoFilter ref="B5:H170"/>
  <conditionalFormatting sqref="H6:H170">
    <cfRule type="cellIs" priority="2" operator="equal" aboveAverage="0" equalAverage="0" bottom="0" percent="0" rank="0" text="" dxfId="17">
      <formula>"Untouched"</formula>
    </cfRule>
    <cfRule type="cellIs" priority="3" operator="equal" aboveAverage="0" equalAverage="0" bottom="0" percent="0" rank="0" text="" dxfId="18">
      <formula>"Weak"</formula>
    </cfRule>
    <cfRule type="cellIs" priority="4" operator="equal" aboveAverage="0" equalAverage="0" bottom="0" percent="0" rank="0" text="" dxfId="19">
      <formula>"Solid"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2026-09-13T17:24:31Z</dcterms:created>
  <dc:creator>openpyxl</dc:creator>
  <dc:description/>
  <dc:language>en-US</dc:language>
  <cp:lastModifiedBy/>
  <dcterms:modified xsi:type="dcterms:W3CDTF">2026-09-13T17:24:39Z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