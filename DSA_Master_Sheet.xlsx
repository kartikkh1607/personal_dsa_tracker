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th Stage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Master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Pattern Radar" sheetId="6" state="visible" r:id="rId6"/>
    <sheet xmlns:r="http://schemas.openxmlformats.org/officeDocument/2006/relationships" name="Pattern Coverage" sheetId="7" state="visible" r:id="rId7"/>
  </sheets>
  <definedNames>
    <definedName name="_xlnm._FilterDatabase" localSheetId="3" hidden="1">'Master'!$A$1:$P$918</definedName>
    <definedName name="_xlnm._FilterDatabase" localSheetId="5" hidden="1">'Pattern Radar'!$B$5:$H$177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&quot;/ &quot;0"/>
    <numFmt numFmtId="167" formatCode="0.0"/>
    <numFmt numFmtId="168" formatCode="yyyy-mm-dd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color rgb="FF1F3864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EF9C3"/>
      </patternFill>
    </fill>
    <fill>
      <patternFill patternType="solid">
        <fgColor rgb="00FDF2F8"/>
      </patternFill>
    </fill>
    <fill>
      <patternFill patternType="solid">
        <fgColor rgb="00F5F3FF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9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1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left" vertical="bottom"/>
    </xf>
    <xf numFmtId="0" fontId="9" fillId="2" borderId="1" applyAlignment="1" pivotButton="0" quotePrefix="0" xfId="0">
      <alignment horizontal="general" vertical="bottom"/>
    </xf>
    <xf numFmtId="167" fontId="7" fillId="0" borderId="0" applyAlignment="1" pivotButton="0" quotePrefix="0" xfId="0">
      <alignment horizontal="center" vertical="bottom"/>
    </xf>
    <xf numFmtId="167" fontId="8" fillId="0" borderId="0" applyAlignment="1" pivotButton="0" quotePrefix="0" xfId="0">
      <alignment horizontal="center" vertical="bottom"/>
    </xf>
    <xf numFmtId="165" fontId="8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9" fillId="2" borderId="1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4" borderId="0" applyAlignment="1" pivotButton="0" quotePrefix="0" xfId="0">
      <alignment vertical="center"/>
    </xf>
    <xf numFmtId="0" fontId="0" fillId="5" borderId="0" pivotButton="0" quotePrefix="0" xfId="0"/>
    <xf numFmtId="0" fontId="11" fillId="3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left" vertical="bottom"/>
    </xf>
    <xf numFmtId="0" fontId="9" fillId="2" borderId="1" applyAlignment="1" pivotButton="0" quotePrefix="0" xfId="0">
      <alignment horizontal="general" vertical="bottom"/>
    </xf>
    <xf numFmtId="167" fontId="7" fillId="0" borderId="0" applyAlignment="1" pivotButton="0" quotePrefix="0" xfId="0">
      <alignment horizontal="center" vertical="bottom"/>
    </xf>
    <xf numFmtId="167" fontId="8" fillId="0" borderId="0" applyAlignment="1" pivotButton="0" quotePrefix="0" xfId="0">
      <alignment horizontal="center" vertical="bottom"/>
    </xf>
    <xf numFmtId="165" fontId="8" fillId="0" borderId="0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0" fontId="14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68" fontId="0" fillId="6" borderId="0" pivotButton="0" quotePrefix="0" xfId="0"/>
    <xf numFmtId="168" fontId="0" fillId="7" borderId="0" pivotButton="0" quotePrefix="0" xfId="0"/>
    <xf numFmtId="168" fontId="0" fillId="8" borderId="0" pivotButton="0" quotePrefix="0" xfId="0"/>
    <xf numFmtId="168" fontId="0" fillId="9" borderId="0" pivotButton="0" quotePrefix="0" xfId="0"/>
    <xf numFmtId="168" fontId="0" fillId="10" borderId="0" pivotButton="0" quotePrefix="0" xfId="0"/>
    <xf numFmtId="168" fontId="0" fillId="1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0DC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DF0D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D5F0DC"/>
        </patternFill>
      </fill>
    </dxf>
    <dxf>
      <fill>
        <patternFill>
          <bgColor rgb="FFFDF0D0"/>
        </patternFill>
      </fill>
    </dxf>
    <dxf>
      <fill>
        <patternFill>
          <bgColor rgb="FFF8D7DA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ont>
        <b val="1"/>
        <color rgb="FF9C0006"/>
      </font>
      <fill>
        <patternFill>
          <bgColor rgb="FFF8CBAD"/>
        </patternFill>
      </fill>
    </dxf>
    <dxf>
      <fill>
        <patternFill patternType="solid">
          <fgColor rgb="FF808080"/>
          <bgColor rgb="FF000000"/>
        </patternFill>
      </fill>
    </dxf>
    <dxf>
      <font>
        <b val="1"/>
        <color rgb="FF808080"/>
      </font>
      <fill>
        <patternFill>
          <bgColor rgb="FFF2F2F2"/>
        </patternFill>
      </fill>
    </dxf>
    <dxf>
      <font>
        <b val="1"/>
        <color rgb="FF9C0006"/>
      </font>
      <fill>
        <patternFill>
          <bgColor rgb="FFF8D7DA"/>
        </patternFill>
      </fill>
    </dxf>
    <dxf>
      <font>
        <b val="1"/>
        <color rgb="FF006100"/>
      </font>
      <fill>
        <patternFill>
          <bgColor rgb="FFD5F0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8D7DA"/>
      <rgbColor rgb="FF808080"/>
      <rgbColor rgb="FF9999FF"/>
      <rgbColor rgb="FF993366"/>
      <rgbColor rgb="FFFDF0D0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0DC"/>
      <rgbColor rgb="FFF2F2F2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1" min="1" max="1"/>
    <col width="30" customWidth="1" style="31" min="2" max="2"/>
    <col width="100" customWidth="1" style="31" min="3" max="3"/>
  </cols>
  <sheetData>
    <row r="1"/>
    <row r="2" ht="19.5" customHeight="1" s="32">
      <c r="B2" s="33" t="inlineStr">
        <is>
          <t>DSA Master Revision Sheet - v4</t>
        </is>
      </c>
    </row>
    <row r="3" ht="15" customHeight="1" s="32">
      <c r="B3" s="34" t="inlineStr">
        <is>
          <t>Built for Kartik  |  C++ / STL  |  placement + internship prep</t>
        </is>
      </c>
    </row>
    <row r="4"/>
    <row r="5" ht="27.75" customHeight="1" s="32">
      <c r="B5" s="35" t="inlineStr">
        <is>
          <t>The one rule</t>
        </is>
      </c>
      <c r="C5" s="36" t="inlineStr">
        <is>
          <t>Only the Master tab is editable (plus the yellow cells on Plan and Dashboard). Everything else calculates itself.</t>
        </is>
      </c>
    </row>
    <row r="6" ht="13.5" customHeight="1" s="32">
      <c r="C6" s="36" t="inlineStr">
        <is>
          <t>You fill in: Status, Confidence, Attempts, Last Revised, Notes. Nothing else.</t>
        </is>
      </c>
    </row>
    <row r="7"/>
    <row r="8" ht="13.5" customHeight="1" s="32">
      <c r="B8" s="35" t="inlineStr">
        <is>
          <t>Tier - read this first</t>
        </is>
      </c>
      <c r="C8" s="36" t="inlineStr">
        <is>
          <t>922 questions is not a plan, it is a wall. The Tier column splits them into three tracks, and the Step column orders them: work down it, and see Path Stages for the ranges.</t>
        </is>
      </c>
    </row>
    <row r="9" ht="27.75" customHeight="1" s="32">
      <c r="C9" s="36" t="inlineStr">
        <is>
          <t>Core (373) - at least two problems per pattern, every pattern in the sheet. Finish this and you have touched every idea an interview can ask. This is your actual target.</t>
        </is>
      </c>
    </row>
    <row r="10" ht="27.75" customHeight="1" s="32">
      <c r="C10" s="36" t="inlineStr">
        <is>
          <t>Depth - extra reps on patterns you are still shaky on. Do these per topic, only where Pattern Radar says Weak.</t>
        </is>
      </c>
    </row>
    <row r="11" ht="27.75" customHeight="1" s="32">
      <c r="C11" s="36" t="inlineStr">
        <is>
          <t>Stretch - Hard problems and Advanced DS (segment tree, Fenwick, sweep line, sparse table). Not placement-critical. Leave them until Core is above 80%.</t>
        </is>
      </c>
    </row>
    <row r="12" ht="27.75" customHeight="1" s="32">
      <c r="C12" s="36" t="inlineStr">
        <is>
          <t>Tier is a dropdown, so you can promote or demote anything. If a Depth problem turns out to be the one that taught you the pattern, mark it Core.</t>
        </is>
      </c>
    </row>
    <row r="13"/>
    <row r="14" ht="13.5" customHeight="1" s="32">
      <c r="B14" s="35" t="inlineStr">
        <is>
          <t>Status values (dropdown)</t>
        </is>
      </c>
      <c r="C14" s="36" t="inlineStr">
        <is>
          <t>Not Started - haven't opened it yet.</t>
        </is>
      </c>
    </row>
    <row r="15" ht="13.5" customHeight="1" s="32">
      <c r="C15" s="36" t="inlineStr">
        <is>
          <t>Attempted - tried, could not finish. Auto-flagged DUE until you clear it.</t>
        </is>
      </c>
    </row>
    <row r="16" ht="13.5" customHeight="1" s="32">
      <c r="C16" s="36" t="inlineStr">
        <is>
          <t>Solved - solved it, but needed a hint or the editorial.</t>
        </is>
      </c>
    </row>
    <row r="17" ht="13.5" customHeight="1" s="32">
      <c r="C17" s="36" t="inlineStr">
        <is>
          <t>Mastered - solved clean, from scratch, and can re-derive the approach out loud.</t>
        </is>
      </c>
    </row>
    <row r="18" ht="13.5" customHeight="1" s="32">
      <c r="C18" s="36" t="inlineStr">
        <is>
          <t>Revisit - solved once, but it faded. Also auto-flagged DUE.</t>
        </is>
      </c>
    </row>
    <row r="19" ht="13.5" customHeight="1" s="32">
      <c r="C19" s="36" t="inlineStr">
        <is>
          <t>Done = Solved + Mastered everywhere in this workbook.</t>
        </is>
      </c>
    </row>
    <row r="20"/>
    <row r="21" ht="27.75" customHeight="1" s="32">
      <c r="B21" s="35" t="inlineStr">
        <is>
          <t>Confidence (1-5 dropdown) - now it actually does something</t>
        </is>
      </c>
      <c r="C21" s="36" t="inlineStr">
        <is>
          <t>1 = no idea why it works.  3 = can code it with effort.  5 = can explain the invariant and the complexity without thinking.</t>
        </is>
      </c>
    </row>
    <row r="22" ht="27.75" customHeight="1" s="32">
      <c r="C22" s="36" t="inlineStr">
        <is>
          <t>Confidence drives the revision gap: 1 -&gt; 2 days, 2 -&gt; 4, 3 -&gt; 7, 4 -&gt; 21, 5 -&gt; 45. Change those gaps on the Dashboard if they don't suit you.</t>
        </is>
      </c>
    </row>
    <row r="23" ht="13.5" customHeight="1" s="32">
      <c r="C23" s="36" t="inlineStr">
        <is>
          <t>Be harsh. Inflated confidence just means the sheet stops showing you the thing you can't do.</t>
        </is>
      </c>
    </row>
    <row r="24"/>
    <row r="25" ht="27.75" customHeight="1" s="32">
      <c r="B25" s="35" t="inlineStr">
        <is>
          <t>How revision works now</t>
        </is>
      </c>
      <c r="C25" s="36" t="inlineStr">
        <is>
          <t>Set Last Revised when you solve or re-solve something. Next Revision fills in by itself from your Confidence.</t>
        </is>
      </c>
    </row>
    <row r="26" ht="13.5" customHeight="1" s="32">
      <c r="C26" s="36" t="inlineStr">
        <is>
          <t>The Due? column says DUE when that date arrives, or immediately if the status is Attempted or Revisit.</t>
        </is>
      </c>
    </row>
    <row r="27" ht="27.75" customHeight="1" s="32">
      <c r="C27" s="36" t="inlineStr">
        <is>
          <t>Your daily routine: filter Due? = DUE on the Master tab. That is the whole revision decision. No judgement calls.</t>
        </is>
      </c>
    </row>
    <row r="28" ht="27.75" customHeight="1" s="32">
      <c r="C28" s="36" t="inlineStr">
        <is>
          <t>Dashboard shows the live due count. If it climbs past about 15, stop taking new problems for a day and clear it.</t>
        </is>
      </c>
    </row>
    <row r="29"/>
    <row r="30" ht="13.5" customHeight="1" s="32">
      <c r="B30" s="35" t="inlineStr">
        <is>
          <t>Pattern Radar - the honest tab</t>
        </is>
      </c>
      <c r="C30" s="36" t="inlineStr">
        <is>
          <t>Per-pattern totals, done count and average confidence across all 168 patterns.</t>
        </is>
      </c>
    </row>
    <row r="31" ht="13.5" customHeight="1" s="32">
      <c r="C31" s="36" t="inlineStr">
        <is>
          <t>Verdict: Untouched (nothing solved), Weak (avg confidence 3 or below), Solid (above 3).</t>
        </is>
      </c>
    </row>
    <row r="32" ht="13.5" customHeight="1" s="32">
      <c r="C32" s="36" t="inlineStr">
        <is>
          <t>Filter Verdict = Weak before an interview. That list is exactly what you will get caught on.</t>
        </is>
      </c>
    </row>
    <row r="33" ht="27.75" customHeight="1" s="32">
      <c r="C33" s="36" t="inlineStr">
        <is>
          <t>Topic-level progress lies - 80% of Graphs done still means you have never written Dijkstra. Pattern level does not lie.</t>
        </is>
      </c>
    </row>
    <row r="34"/>
    <row r="35" ht="27.75" customHeight="1" s="32">
      <c r="B35" s="35" t="inlineStr">
        <is>
          <t>Plan tab</t>
        </is>
      </c>
      <c r="C35" s="36" t="inlineStr">
        <is>
          <t>Enter a start date and a realistic problems-per-day number. It gives you six phase deadlines off the Core count.</t>
        </is>
      </c>
    </row>
    <row r="36" ht="27.75" customHeight="1" s="32">
      <c r="C36" s="36" t="inlineStr">
        <is>
          <t>Order is not negotiable: Recursion and Backtracking come before DP, because DP is memoised recursion. Skipping that is why DP feels impossible.</t>
        </is>
      </c>
    </row>
    <row r="37"/>
    <row r="38" ht="13.5" customHeight="1" s="32">
      <c r="B38" s="35" t="inlineStr">
        <is>
          <t>Weekly ritual (15 minutes, Sunday)</t>
        </is>
      </c>
      <c r="C38" s="36" t="inlineStr">
        <is>
          <t>1. Pick 4 random Mastered problems, re-solve them timed. Anything that breaks drops to Revisit.</t>
        </is>
      </c>
    </row>
    <row r="39" ht="13.5" customHeight="1" s="32">
      <c r="C39" s="36" t="inlineStr">
        <is>
          <t>2. Open Pattern Radar, filter Weak, pick one pattern for the coming week.</t>
        </is>
      </c>
    </row>
    <row r="40" ht="13.5" customHeight="1" s="32">
      <c r="C40" s="36" t="inlineStr">
        <is>
          <t>3. Check Plan tab - are you ahead or behind? Adjust the pace cell, not the ambition.</t>
        </is>
      </c>
    </row>
    <row r="41"/>
    <row r="42" ht="27.75" customHeight="1" s="32">
      <c r="B42" s="35" t="inlineStr">
        <is>
          <t>A note on the links</t>
        </is>
      </c>
      <c r="C42" s="36" t="inlineStr">
        <is>
          <t>LeetCode entries link straight to the problem. Non-LeetCode entries use a search link, because GFG problem IDs change over time and a hardcoded ID goes dead.</t>
        </is>
      </c>
    </row>
    <row r="43" ht="27.75" customHeight="1" s="32">
      <c r="C43" s="36" t="inlineStr">
        <is>
          <t>When you open a search link and land on the right problem, paste the real URL over it. The sheet gets more accurate as you use it.</t>
        </is>
      </c>
    </row>
    <row r="44"/>
    <row r="45" ht="27.75" customHeight="1" s="32">
      <c r="B45" s="35" t="inlineStr">
        <is>
          <t>Example row (delete once you start)</t>
        </is>
      </c>
      <c r="C45" s="36" t="inlineStr">
        <is>
          <t>Two Sum  |  Tier: Core  |  Status: Mastered  |  Confidence: 5  |  Attempts: 2  |  Last Revised: 2026-09-13  |  Notes: hashmap of complement, one pass, O(n)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2" min="1" max="1"/>
    <col width="12" customWidth="1" style="32" min="2" max="2"/>
    <col width="11" customWidth="1" style="32" min="3" max="3"/>
    <col width="8" customWidth="1" style="32" min="4" max="4"/>
    <col width="9" customWidth="1" style="32" min="5" max="5"/>
    <col width="8" customWidth="1" style="32" min="6" max="6"/>
    <col width="70" customWidth="1" style="32" min="7" max="7"/>
  </cols>
  <sheetData>
    <row r="1">
      <c r="A1" s="60" t="inlineStr">
        <is>
          <t>Stage</t>
        </is>
      </c>
      <c r="B1" s="60" t="inlineStr">
        <is>
          <t>Steps</t>
        </is>
      </c>
      <c r="C1" s="60" t="inlineStr">
        <is>
          <t>Problems</t>
        </is>
      </c>
      <c r="D1" s="60" t="inlineStr">
        <is>
          <t>Easy</t>
        </is>
      </c>
      <c r="E1" s="60" t="inlineStr">
        <is>
          <t>Medium</t>
        </is>
      </c>
      <c r="F1" s="60" t="inlineStr">
        <is>
          <t>Hard</t>
        </is>
      </c>
      <c r="G1" s="60" t="inlineStr">
        <is>
          <t>Topics covered</t>
        </is>
      </c>
    </row>
    <row r="2">
      <c r="A2" s="31" t="inlineStr">
        <is>
          <t>1. Foundations - Core</t>
        </is>
      </c>
      <c r="B2" s="31" t="inlineStr">
        <is>
          <t>1-87</t>
        </is>
      </c>
      <c r="C2" s="31" t="n">
        <v>87</v>
      </c>
      <c r="D2" s="31" t="n">
        <v>52</v>
      </c>
      <c r="E2" s="31" t="n">
        <v>34</v>
      </c>
      <c r="F2" s="31" t="n">
        <v>1</v>
      </c>
      <c r="G2" s="31" t="inlineStr">
        <is>
          <t>Basics &amp; Recursion, Arrays &amp; Two Pointers, Sorting &amp; Cyclic Sort, Hashing, Prefix Sum &amp; Kadane, Sliding Window</t>
        </is>
      </c>
    </row>
    <row r="3">
      <c r="A3" s="31" t="inlineStr">
        <is>
          <t>1. Foundations - Depth</t>
        </is>
      </c>
      <c r="B3" s="31" t="inlineStr">
        <is>
          <t>88-153</t>
        </is>
      </c>
      <c r="C3" s="31" t="n">
        <v>66</v>
      </c>
      <c r="D3" s="31" t="n">
        <v>14</v>
      </c>
      <c r="E3" s="31" t="n">
        <v>51</v>
      </c>
      <c r="F3" s="31" t="n">
        <v>1</v>
      </c>
      <c r="G3" s="31" t="inlineStr">
        <is>
          <t>Arrays &amp; Two Pointers, Sorting &amp; Cyclic Sort, Hashing, Prefix Sum &amp; Kadane, Sliding Window</t>
        </is>
      </c>
    </row>
    <row r="4">
      <c r="A4" s="31" t="inlineStr">
        <is>
          <t>1. Foundations - Stretch</t>
        </is>
      </c>
      <c r="B4" s="31" t="inlineStr">
        <is>
          <t>154-163</t>
        </is>
      </c>
      <c r="C4" s="31" t="n">
        <v>10</v>
      </c>
      <c r="D4" s="31" t="n">
        <v>0</v>
      </c>
      <c r="E4" s="31" t="n">
        <v>1</v>
      </c>
      <c r="F4" s="31" t="n">
        <v>9</v>
      </c>
      <c r="G4" s="31" t="inlineStr">
        <is>
          <t>Arrays &amp; Two Pointers, Sorting &amp; Cyclic Sort, Hashing, Prefix Sum &amp; Kadane, Sliding Window</t>
        </is>
      </c>
    </row>
    <row r="5">
      <c r="A5" s="31" t="inlineStr">
        <is>
          <t>2. Search, Strings &amp; Math - Core</t>
        </is>
      </c>
      <c r="B5" s="31" t="inlineStr">
        <is>
          <t>164-257</t>
        </is>
      </c>
      <c r="C5" s="31" t="n">
        <v>94</v>
      </c>
      <c r="D5" s="31" t="n">
        <v>63</v>
      </c>
      <c r="E5" s="31" t="n">
        <v>31</v>
      </c>
      <c r="F5" s="31" t="n">
        <v>0</v>
      </c>
      <c r="G5" s="31" t="inlineStr">
        <is>
          <t>Binary Search, Strings, Bit Manipulation, Math &amp; Number Theory, Matrix / 2D</t>
        </is>
      </c>
    </row>
    <row r="6">
      <c r="A6" s="31" t="inlineStr">
        <is>
          <t>2. Search, Strings &amp; Math - Depth</t>
        </is>
      </c>
      <c r="B6" s="31" t="inlineStr">
        <is>
          <t>258-328</t>
        </is>
      </c>
      <c r="C6" s="31" t="n">
        <v>71</v>
      </c>
      <c r="D6" s="31" t="n">
        <v>8</v>
      </c>
      <c r="E6" s="31" t="n">
        <v>58</v>
      </c>
      <c r="F6" s="31" t="n">
        <v>5</v>
      </c>
      <c r="G6" s="31" t="inlineStr">
        <is>
          <t>Binary Search, Strings, Bit Manipulation, Math &amp; Number Theory, Matrix / 2D</t>
        </is>
      </c>
    </row>
    <row r="7">
      <c r="A7" s="31" t="inlineStr">
        <is>
          <t>2. Search, Strings &amp; Math - Stretch</t>
        </is>
      </c>
      <c r="B7" s="31" t="inlineStr">
        <is>
          <t>329-348</t>
        </is>
      </c>
      <c r="C7" s="31" t="n">
        <v>20</v>
      </c>
      <c r="D7" s="31" t="n">
        <v>0</v>
      </c>
      <c r="E7" s="31" t="n">
        <v>0</v>
      </c>
      <c r="F7" s="31" t="n">
        <v>20</v>
      </c>
      <c r="G7" s="31" t="inlineStr">
        <is>
          <t>Binary Search, Strings, Bit Manipulation, Math &amp; Number Theory</t>
        </is>
      </c>
    </row>
    <row r="8">
      <c r="A8" s="31" t="inlineStr">
        <is>
          <t>3. Linear DS - Core</t>
        </is>
      </c>
      <c r="B8" s="31" t="inlineStr">
        <is>
          <t>349-394</t>
        </is>
      </c>
      <c r="C8" s="31" t="n">
        <v>46</v>
      </c>
      <c r="D8" s="31" t="n">
        <v>20</v>
      </c>
      <c r="E8" s="31" t="n">
        <v>24</v>
      </c>
      <c r="F8" s="31" t="n">
        <v>2</v>
      </c>
      <c r="G8" s="31" t="inlineStr">
        <is>
          <t>Linked List, Stack &amp; Queue, Heap &amp; Priority Queue</t>
        </is>
      </c>
    </row>
    <row r="9">
      <c r="A9" s="31" t="inlineStr">
        <is>
          <t>3. Linear DS - Depth</t>
        </is>
      </c>
      <c r="B9" s="31" t="inlineStr">
        <is>
          <t>395-443</t>
        </is>
      </c>
      <c r="C9" s="31" t="n">
        <v>49</v>
      </c>
      <c r="D9" s="31" t="n">
        <v>1</v>
      </c>
      <c r="E9" s="31" t="n">
        <v>48</v>
      </c>
      <c r="F9" s="31" t="n">
        <v>0</v>
      </c>
      <c r="G9" s="31" t="inlineStr">
        <is>
          <t>Linked List, Stack &amp; Queue, Heap &amp; Priority Queue</t>
        </is>
      </c>
    </row>
    <row r="10">
      <c r="A10" s="31" t="inlineStr">
        <is>
          <t>3. Linear DS - Stretch</t>
        </is>
      </c>
      <c r="B10" s="31" t="inlineStr">
        <is>
          <t>444-463</t>
        </is>
      </c>
      <c r="C10" s="31" t="n">
        <v>20</v>
      </c>
      <c r="D10" s="31" t="n">
        <v>0</v>
      </c>
      <c r="E10" s="31" t="n">
        <v>0</v>
      </c>
      <c r="F10" s="31" t="n">
        <v>20</v>
      </c>
      <c r="G10" s="31" t="inlineStr">
        <is>
          <t>Linked List, Stack &amp; Queue, Heap &amp; Priority Queue</t>
        </is>
      </c>
    </row>
    <row r="11">
      <c r="A11" s="31" t="inlineStr">
        <is>
          <t>4. Greedy &amp; Backtracking - Core</t>
        </is>
      </c>
      <c r="B11" s="31" t="inlineStr">
        <is>
          <t>464-507</t>
        </is>
      </c>
      <c r="C11" s="31" t="n">
        <v>44</v>
      </c>
      <c r="D11" s="31" t="n">
        <v>15</v>
      </c>
      <c r="E11" s="31" t="n">
        <v>29</v>
      </c>
      <c r="F11" s="31" t="n">
        <v>0</v>
      </c>
      <c r="G11" s="31" t="inlineStr">
        <is>
          <t>Intervals, Greedy, Backtracking</t>
        </is>
      </c>
    </row>
    <row r="12">
      <c r="A12" s="31" t="inlineStr">
        <is>
          <t>4. Greedy &amp; Backtracking - Depth</t>
        </is>
      </c>
      <c r="B12" s="31" t="inlineStr">
        <is>
          <t>508-552</t>
        </is>
      </c>
      <c r="C12" s="31" t="n">
        <v>45</v>
      </c>
      <c r="D12" s="31" t="n">
        <v>0</v>
      </c>
      <c r="E12" s="31" t="n">
        <v>44</v>
      </c>
      <c r="F12" s="31" t="n">
        <v>1</v>
      </c>
      <c r="G12" s="31" t="inlineStr">
        <is>
          <t>Intervals, Greedy, Backtracking</t>
        </is>
      </c>
    </row>
    <row r="13">
      <c r="A13" s="31" t="inlineStr">
        <is>
          <t>4. Greedy &amp; Backtracking - Stretch</t>
        </is>
      </c>
      <c r="B13" s="31" t="inlineStr">
        <is>
          <t>553-577</t>
        </is>
      </c>
      <c r="C13" s="31" t="n">
        <v>25</v>
      </c>
      <c r="D13" s="31" t="n">
        <v>0</v>
      </c>
      <c r="E13" s="31" t="n">
        <v>0</v>
      </c>
      <c r="F13" s="31" t="n">
        <v>25</v>
      </c>
      <c r="G13" s="31" t="inlineStr">
        <is>
          <t>Intervals, Greedy, Backtracking</t>
        </is>
      </c>
    </row>
    <row r="14">
      <c r="A14" s="31" t="inlineStr">
        <is>
          <t>5. Trees &amp; Graphs - Core</t>
        </is>
      </c>
      <c r="B14" s="31" t="inlineStr">
        <is>
          <t>578-653</t>
        </is>
      </c>
      <c r="C14" s="31" t="n">
        <v>76</v>
      </c>
      <c r="D14" s="31" t="n">
        <v>30</v>
      </c>
      <c r="E14" s="31" t="n">
        <v>45</v>
      </c>
      <c r="F14" s="31" t="n">
        <v>1</v>
      </c>
      <c r="G14" s="31" t="inlineStr">
        <is>
          <t>Trees &amp; BST, Tries, Graphs</t>
        </is>
      </c>
    </row>
    <row r="15">
      <c r="A15" s="31" t="inlineStr">
        <is>
          <t>5. Trees &amp; Graphs - Depth</t>
        </is>
      </c>
      <c r="B15" s="31" t="inlineStr">
        <is>
          <t>654-739</t>
        </is>
      </c>
      <c r="C15" s="31" t="n">
        <v>86</v>
      </c>
      <c r="D15" s="31" t="n">
        <v>2</v>
      </c>
      <c r="E15" s="31" t="n">
        <v>78</v>
      </c>
      <c r="F15" s="31" t="n">
        <v>6</v>
      </c>
      <c r="G15" s="31" t="inlineStr">
        <is>
          <t>Trees &amp; BST, Tries, Graphs</t>
        </is>
      </c>
    </row>
    <row r="16">
      <c r="A16" s="31" t="inlineStr">
        <is>
          <t>5. Trees &amp; Graphs - Stretch</t>
        </is>
      </c>
      <c r="B16" s="31" t="inlineStr">
        <is>
          <t>740-779</t>
        </is>
      </c>
      <c r="C16" s="31" t="n">
        <v>40</v>
      </c>
      <c r="D16" s="31" t="n">
        <v>0</v>
      </c>
      <c r="E16" s="31" t="n">
        <v>0</v>
      </c>
      <c r="F16" s="31" t="n">
        <v>40</v>
      </c>
      <c r="G16" s="31" t="inlineStr">
        <is>
          <t>Trees &amp; BST, Tries, Graphs</t>
        </is>
      </c>
    </row>
    <row r="17">
      <c r="A17" s="31" t="inlineStr">
        <is>
          <t>6. DP &amp; Closers - Core</t>
        </is>
      </c>
      <c r="B17" s="31" t="inlineStr">
        <is>
          <t>780-819</t>
        </is>
      </c>
      <c r="C17" s="31" t="n">
        <v>40</v>
      </c>
      <c r="D17" s="31" t="n">
        <v>6</v>
      </c>
      <c r="E17" s="31" t="n">
        <v>34</v>
      </c>
      <c r="F17" s="31" t="n">
        <v>0</v>
      </c>
      <c r="G17" s="31" t="inlineStr">
        <is>
          <t>Dynamic Programming, Design</t>
        </is>
      </c>
    </row>
    <row r="18">
      <c r="A18" s="31" t="inlineStr">
        <is>
          <t>6. DP &amp; Closers - Depth</t>
        </is>
      </c>
      <c r="B18" s="31" t="inlineStr">
        <is>
          <t>820-869</t>
        </is>
      </c>
      <c r="C18" s="31" t="n">
        <v>50</v>
      </c>
      <c r="D18" s="31" t="n">
        <v>0</v>
      </c>
      <c r="E18" s="31" t="n">
        <v>47</v>
      </c>
      <c r="F18" s="31" t="n">
        <v>3</v>
      </c>
      <c r="G18" s="31" t="inlineStr">
        <is>
          <t>Dynamic Programming, Design, Advanced DS</t>
        </is>
      </c>
    </row>
    <row r="19">
      <c r="A19" s="31" t="inlineStr">
        <is>
          <t>6. DP &amp; Closers - Stretch</t>
        </is>
      </c>
      <c r="B19" s="31" t="inlineStr">
        <is>
          <t>870-917</t>
        </is>
      </c>
      <c r="C19" s="31" t="n">
        <v>48</v>
      </c>
      <c r="D19" s="31" t="n">
        <v>0</v>
      </c>
      <c r="E19" s="31" t="n">
        <v>0</v>
      </c>
      <c r="F19" s="31" t="n">
        <v>48</v>
      </c>
      <c r="G19" s="31" t="inlineStr">
        <is>
          <t>Dynamic Programming, Design, Advanced 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1" min="2" max="2"/>
    <col width="52" customWidth="1" style="31" min="3" max="3"/>
    <col width="10" customWidth="1" style="31" min="4" max="4"/>
    <col width="12" customWidth="1" style="31" min="5" max="5"/>
    <col width="8" customWidth="1" style="31" min="6" max="6"/>
    <col width="14" customWidth="1" style="31" min="7" max="7"/>
    <col width="9" customWidth="1" style="31" min="8" max="9"/>
  </cols>
  <sheetData>
    <row r="1"/>
    <row r="2" ht="19.5" customHeight="1" s="32">
      <c r="B2" s="33" t="inlineStr">
        <is>
          <t>Phase Plan</t>
        </is>
      </c>
    </row>
    <row r="3" ht="15" customHeight="1" s="32">
      <c r="B3" s="34" t="inlineStr">
        <is>
          <t>Fill the two yellow cells. Dates recalculate themselves. Core-track only - Depth and Stretch sit outside this timeline.</t>
        </is>
      </c>
    </row>
    <row r="4"/>
    <row r="5" ht="15" customHeight="1" s="32">
      <c r="B5" s="37" t="inlineStr">
        <is>
          <t>Start date</t>
        </is>
      </c>
      <c r="C5" s="38" t="inlineStr">
        <is>
          <t>2026-09-15</t>
        </is>
      </c>
      <c r="D5" s="39" t="inlineStr">
        <is>
          <t>&lt;- your realistic pace, not your ambitious one</t>
        </is>
      </c>
    </row>
    <row r="6" ht="15" customHeight="1" s="32">
      <c r="B6" s="37" t="inlineStr">
        <is>
          <t>Core problems per day</t>
        </is>
      </c>
      <c r="C6" s="40" t="n">
        <v>2</v>
      </c>
    </row>
    <row r="7"/>
    <row r="8" ht="15" customHeight="1" s="32">
      <c r="B8" s="41" t="inlineStr">
        <is>
          <t>Phase</t>
        </is>
      </c>
      <c r="C8" s="41" t="inlineStr">
        <is>
          <t>Topics covered</t>
        </is>
      </c>
      <c r="D8" s="41" t="inlineStr">
        <is>
          <t>Core Qs</t>
        </is>
      </c>
      <c r="E8" s="41" t="inlineStr">
        <is>
          <t>Cumulative</t>
        </is>
      </c>
      <c r="F8" s="41" t="inlineStr">
        <is>
          <t>Days</t>
        </is>
      </c>
      <c r="G8" s="41" t="inlineStr">
        <is>
          <t>Target finish</t>
        </is>
      </c>
      <c r="H8" s="41" t="inlineStr">
        <is>
          <t>Done</t>
        </is>
      </c>
      <c r="I8" s="41" t="inlineStr">
        <is>
          <t>%</t>
        </is>
      </c>
    </row>
    <row r="9" ht="15" customHeight="1" s="32">
      <c r="B9" s="37" t="inlineStr">
        <is>
          <t>Phase 1 - Foundations</t>
        </is>
      </c>
      <c r="C9" s="42" t="inlineStr">
        <is>
          <t>01 - 05: Basics &amp; Recursion, Arrays &amp; Two Pointers, Sliding Window, Prefix Sum &amp; Kadane, Sorting &amp; Cyclic Sort</t>
        </is>
      </c>
      <c r="D9" s="43">
        <f>COUNTIFS(Master!$C$2:$C$918,"01. Basics &amp; Recursion",Master!$G$2:$G$918,"Core")+COUNTIFS(Master!$C$2:$C$918,"02. Arrays &amp; Two Pointers",Master!$G$2:$G$918,"Core")+COUNTIFS(Master!$C$2:$C$918,"03. Sliding Window",Master!$G$2:$G$918,"Core")+COUNTIFS(Master!$C$2:$C$918,"04. Prefix Sum &amp; Kadane",Master!$G$2:$G$918,"Core")+COUNTIFS(Master!$C$2:$C$918,"05. Sorting &amp; Cyclic Sort",Master!$G$2:$G$918,"Core")</f>
        <v/>
      </c>
      <c r="E9" s="43">
        <f>$D9</f>
        <v/>
      </c>
      <c r="F9" s="43">
        <f>ROUNDUP($E9/$C$6,0)</f>
        <v/>
      </c>
      <c r="G9" s="44">
        <f>$C$5+$F9</f>
        <v/>
      </c>
      <c r="H9" s="43">
        <f>COUNTIFS(Master!$C$2:$C$918,"01. Basics &amp; Recursion",Master!$G$2:$G$918,"Core",Master!$J$2:$J$918,"Solved")+COUNTIFS(Master!$C$2:$C$918,"01. Basics &amp; Recursion",Master!$G$2:$G$918,"Core",Master!$J$2:$J$918,"Mastered")+COUNTIFS(Master!$C$2:$C$918,"02. Arrays &amp; Two Pointers",Master!$G$2:$G$918,"Core",Master!$J$2:$J$918,"Solved")+COUNTIFS(Master!$C$2:$C$918,"02. Arrays &amp; Two Pointers",Master!$G$2:$G$918,"Core",Master!$J$2:$J$918,"Mastered")+COUNTIFS(Master!$C$2:$C$918,"03. Sliding Window",Master!$G$2:$G$918,"Core",Master!$J$2:$J$918,"Solved")+COUNTIFS(Master!$C$2:$C$918,"03. Sliding Window",Master!$G$2:$G$918,"Core",Master!$J$2:$J$918,"Mastered")+COUNTIFS(Master!$C$2:$C$918,"04. Prefix Sum &amp; Kadane",Master!$G$2:$G$918,"Core",Master!$J$2:$J$918,"Solved")+COUNTIFS(Master!$C$2:$C$918,"04. Prefix Sum &amp; Kadane",Master!$G$2:$G$918,"Core",Master!$J$2:$J$918,"Mastered")+COUNTIFS(Master!$C$2:$C$918,"05. Sorting &amp; Cyclic Sort",Master!$G$2:$G$918,"Core",Master!$J$2:$J$918,"Solved")+COUNTIFS(Master!$C$2:$C$918,"05. Sorting &amp; Cyclic Sort",Master!$G$2:$G$918,"Core",Master!$J$2:$J$918,"Mastered")</f>
        <v/>
      </c>
      <c r="I9" s="45">
        <f>IFERROR($H9/$D9,0)</f>
        <v/>
      </c>
    </row>
    <row r="10" ht="15" customHeight="1" s="32">
      <c r="B10" s="37" t="inlineStr">
        <is>
          <t>Phase 2 - Search &amp; Strings</t>
        </is>
      </c>
      <c r="C10" s="42" t="inlineStr">
        <is>
          <t>06 - 09: Binary Search, Strings, Hashing, Matrix / 2D</t>
        </is>
      </c>
      <c r="D10" s="43">
        <f>COUNTIFS(Master!$C$2:$C$918,"06. Binary Search",Master!$G$2:$G$918,"Core")+COUNTIFS(Master!$C$2:$C$918,"07. Strings",Master!$G$2:$G$918,"Core")+COUNTIFS(Master!$C$2:$C$918,"08. Hashing",Master!$G$2:$G$918,"Core")+COUNTIFS(Master!$C$2:$C$918,"09. Matrix / 2D",Master!$G$2:$G$918,"Core")</f>
        <v/>
      </c>
      <c r="E10" s="43">
        <f>$E9+$D10</f>
        <v/>
      </c>
      <c r="F10" s="43">
        <f>ROUNDUP($E10/$C$6,0)</f>
        <v/>
      </c>
      <c r="G10" s="44">
        <f>$C$5+$F10</f>
        <v/>
      </c>
      <c r="H10" s="43">
        <f>COUNTIFS(Master!$C$2:$C$918,"06. Binary Search",Master!$G$2:$G$918,"Core",Master!$J$2:$J$918,"Solved")+COUNTIFS(Master!$C$2:$C$918,"06. Binary Search",Master!$G$2:$G$918,"Core",Master!$J$2:$J$918,"Mastered")+COUNTIFS(Master!$C$2:$C$918,"07. Strings",Master!$G$2:$G$918,"Core",Master!$J$2:$J$918,"Solved")+COUNTIFS(Master!$C$2:$C$918,"07. Strings",Master!$G$2:$G$918,"Core",Master!$J$2:$J$918,"Mastered")+COUNTIFS(Master!$C$2:$C$918,"08. Hashing",Master!$G$2:$G$918,"Core",Master!$J$2:$J$918,"Solved")+COUNTIFS(Master!$C$2:$C$918,"08. Hashing",Master!$G$2:$G$918,"Core",Master!$J$2:$J$918,"Mastered")+COUNTIFS(Master!$C$2:$C$918,"09. Matrix / 2D",Master!$G$2:$G$918,"Core",Master!$J$2:$J$918,"Solved")+COUNTIFS(Master!$C$2:$C$918,"09. Matrix / 2D",Master!$G$2:$G$918,"Core",Master!$J$2:$J$918,"Mastered")</f>
        <v/>
      </c>
      <c r="I10" s="45">
        <f>IFERROR($H10/$D10,0)</f>
        <v/>
      </c>
    </row>
    <row r="11" ht="15" customHeight="1" s="32">
      <c r="B11" s="37" t="inlineStr">
        <is>
          <t>Phase 3 - Linear DS</t>
        </is>
      </c>
      <c r="C11" s="42" t="inlineStr">
        <is>
          <t>10 - 12: Linked List, Stack &amp; Queue, Heap &amp; Priority Queue</t>
        </is>
      </c>
      <c r="D11" s="43">
        <f>COUNTIFS(Master!$C$2:$C$918,"10. Linked List",Master!$G$2:$G$918,"Core")+COUNTIFS(Master!$C$2:$C$918,"11. Stack &amp; Queue",Master!$G$2:$G$918,"Core")+COUNTIFS(Master!$C$2:$C$918,"12. Heap &amp; Priority Queue",Master!$G$2:$G$918,"Core")</f>
        <v/>
      </c>
      <c r="E11" s="43">
        <f>$E10+$D11</f>
        <v/>
      </c>
      <c r="F11" s="43">
        <f>ROUNDUP($E11/$C$6,0)</f>
        <v/>
      </c>
      <c r="G11" s="44">
        <f>$C$5+$F11</f>
        <v/>
      </c>
      <c r="H11" s="43">
        <f>COUNTIFS(Master!$C$2:$C$918,"10. Linked List",Master!$G$2:$G$918,"Core",Master!$J$2:$J$918,"Solved")+COUNTIFS(Master!$C$2:$C$918,"10. Linked List",Master!$G$2:$G$918,"Core",Master!$J$2:$J$918,"Mastered")+COUNTIFS(Master!$C$2:$C$918,"11. Stack &amp; Queue",Master!$G$2:$G$918,"Core",Master!$J$2:$J$918,"Solved")+COUNTIFS(Master!$C$2:$C$918,"11. Stack &amp; Queue",Master!$G$2:$G$918,"Core",Master!$J$2:$J$918,"Mastered")+COUNTIFS(Master!$C$2:$C$918,"12. Heap &amp; Priority Queue",Master!$G$2:$G$918,"Core",Master!$J$2:$J$918,"Solved")+COUNTIFS(Master!$C$2:$C$918,"12. Heap &amp; Priority Queue",Master!$G$2:$G$918,"Core",Master!$J$2:$J$918,"Mastered")</f>
        <v/>
      </c>
      <c r="I11" s="45">
        <f>IFERROR($H11/$D11,0)</f>
        <v/>
      </c>
    </row>
    <row r="12" ht="15" customHeight="1" s="32">
      <c r="B12" s="37" t="inlineStr">
        <is>
          <t>Phase 4 - Greedy &amp; Backtracking</t>
        </is>
      </c>
      <c r="C12" s="42" t="inlineStr">
        <is>
          <t>13 - 14: Greedy, Backtracking</t>
        </is>
      </c>
      <c r="D12" s="43">
        <f>COUNTIFS(Master!$C$2:$C$918,"13. Greedy",Master!$G$2:$G$918,"Core")+COUNTIFS(Master!$C$2:$C$918,"14. Backtracking",Master!$G$2:$G$918,"Core")</f>
        <v/>
      </c>
      <c r="E12" s="43">
        <f>$E11+$D12</f>
        <v/>
      </c>
      <c r="F12" s="43">
        <f>ROUNDUP($E12/$C$6,0)</f>
        <v/>
      </c>
      <c r="G12" s="44">
        <f>$C$5+$F12</f>
        <v/>
      </c>
      <c r="H12" s="43">
        <f>COUNTIFS(Master!$C$2:$C$918,"13. Greedy",Master!$G$2:$G$918,"Core",Master!$J$2:$J$918,"Solved")+COUNTIFS(Master!$C$2:$C$918,"13. Greedy",Master!$G$2:$G$918,"Core",Master!$J$2:$J$918,"Mastered")+COUNTIFS(Master!$C$2:$C$918,"14. Backtracking",Master!$G$2:$G$918,"Core",Master!$J$2:$J$918,"Solved")+COUNTIFS(Master!$C$2:$C$918,"14. Backtracking",Master!$G$2:$G$918,"Core",Master!$J$2:$J$918,"Mastered")</f>
        <v/>
      </c>
      <c r="I12" s="45">
        <f>IFERROR($H12/$D12,0)</f>
        <v/>
      </c>
    </row>
    <row r="13" ht="15" customHeight="1" s="32">
      <c r="B13" s="37" t="inlineStr">
        <is>
          <t>Phase 5 - Trees &amp; Graphs</t>
        </is>
      </c>
      <c r="C13" s="42" t="inlineStr">
        <is>
          <t>15 - 17: Trees &amp; BST, Tries, Graphs</t>
        </is>
      </c>
      <c r="D13" s="43">
        <f>COUNTIFS(Master!$C$2:$C$918,"15. Trees &amp; BST",Master!$G$2:$G$918,"Core")+COUNTIFS(Master!$C$2:$C$918,"16. Tries",Master!$G$2:$G$918,"Core")+COUNTIFS(Master!$C$2:$C$918,"17. Graphs",Master!$G$2:$G$918,"Core")</f>
        <v/>
      </c>
      <c r="E13" s="43">
        <f>$E12+$D13</f>
        <v/>
      </c>
      <c r="F13" s="43">
        <f>ROUNDUP($E13/$C$6,0)</f>
        <v/>
      </c>
      <c r="G13" s="44">
        <f>$C$5+$F13</f>
        <v/>
      </c>
      <c r="H13" s="43">
        <f>COUNTIFS(Master!$C$2:$C$918,"15. Trees &amp; BST",Master!$G$2:$G$918,"Core",Master!$J$2:$J$918,"Solved")+COUNTIFS(Master!$C$2:$C$918,"15. Trees &amp; BST",Master!$G$2:$G$918,"Core",Master!$J$2:$J$918,"Mastered")+COUNTIFS(Master!$C$2:$C$918,"16. Tries",Master!$G$2:$G$918,"Core",Master!$J$2:$J$918,"Solved")+COUNTIFS(Master!$C$2:$C$918,"16. Tries",Master!$G$2:$G$918,"Core",Master!$J$2:$J$918,"Mastered")+COUNTIFS(Master!$C$2:$C$918,"17. Graphs",Master!$G$2:$G$918,"Core",Master!$J$2:$J$918,"Solved")+COUNTIFS(Master!$C$2:$C$918,"17. Graphs",Master!$G$2:$G$918,"Core",Master!$J$2:$J$918,"Mastered")</f>
        <v/>
      </c>
      <c r="I13" s="45">
        <f>IFERROR($H13/$D13,0)</f>
        <v/>
      </c>
    </row>
    <row r="14" ht="15" customHeight="1" s="32">
      <c r="B14" s="37" t="inlineStr">
        <is>
          <t>Phase 6 - DP &amp; Closers</t>
        </is>
      </c>
      <c r="C14" s="42" t="inlineStr">
        <is>
          <t>18 - 23: Dynamic Programming, Bit Manipulation, Math &amp; Number Theory, Intervals, Design, Advanced DS</t>
        </is>
      </c>
      <c r="D14" s="43">
        <f>COUNTIFS(Master!$C$2:$C$918,"18. Dynamic Programming",Master!$G$2:$G$918,"Core")+COUNTIFS(Master!$C$2:$C$918,"19. Bit Manipulation",Master!$G$2:$G$918,"Core")+COUNTIFS(Master!$C$2:$C$918,"20. Math &amp; Number Theory",Master!$G$2:$G$918,"Core")+COUNTIFS(Master!$C$2:$C$918,"21. Intervals",Master!$G$2:$G$918,"Core")+COUNTIFS(Master!$C$2:$C$918,"22. Design",Master!$G$2:$G$918,"Core")+COUNTIFS(Master!$C$2:$C$918,"23. Advanced DS",Master!$G$2:$G$918,"Core")</f>
        <v/>
      </c>
      <c r="E14" s="43">
        <f>$E13+$D14</f>
        <v/>
      </c>
      <c r="F14" s="43">
        <f>ROUNDUP($E14/$C$6,0)</f>
        <v/>
      </c>
      <c r="G14" s="44">
        <f>$C$5+$F14</f>
        <v/>
      </c>
      <c r="H14" s="43">
        <f>COUNTIFS(Master!$C$2:$C$918,"18. Dynamic Programming",Master!$G$2:$G$918,"Core",Master!$J$2:$J$918,"Solved")+COUNTIFS(Master!$C$2:$C$918,"18. Dynamic Programming",Master!$G$2:$G$918,"Core",Master!$J$2:$J$918,"Mastered")+COUNTIFS(Master!$C$2:$C$918,"19. Bit Manipulation",Master!$G$2:$G$918,"Core",Master!$J$2:$J$918,"Solved")+COUNTIFS(Master!$C$2:$C$918,"19. Bit Manipulation",Master!$G$2:$G$918,"Core",Master!$J$2:$J$918,"Mastered")+COUNTIFS(Master!$C$2:$C$918,"20. Math &amp; Number Theory",Master!$G$2:$G$918,"Core",Master!$J$2:$J$918,"Solved")+COUNTIFS(Master!$C$2:$C$918,"20. Math &amp; Number Theory",Master!$G$2:$G$918,"Core",Master!$J$2:$J$918,"Mastered")+COUNTIFS(Master!$C$2:$C$918,"21. Intervals",Master!$G$2:$G$918,"Core",Master!$J$2:$J$918,"Solved")+COUNTIFS(Master!$C$2:$C$918,"21. Intervals",Master!$G$2:$G$918,"Core",Master!$J$2:$J$918,"Mastered")+COUNTIFS(Master!$C$2:$C$918,"22. Design",Master!$G$2:$G$918,"Core",Master!$J$2:$J$918,"Solved")+COUNTIFS(Master!$C$2:$C$918,"22. Design",Master!$G$2:$G$918,"Core",Master!$J$2:$J$918,"Mastered")+COUNTIFS(Master!$C$2:$C$918,"23. Advanced DS",Master!$G$2:$G$918,"Core",Master!$J$2:$J$918,"Solved")+COUNTIFS(Master!$C$2:$C$918,"23. Advanced DS",Master!$G$2:$G$918,"Core",Master!$J$2:$J$918,"Mastered")</f>
        <v/>
      </c>
      <c r="I14" s="45">
        <f>IFERROR($H14/$D14,0)</f>
        <v/>
      </c>
    </row>
    <row r="15" ht="15" customHeight="1" s="32">
      <c r="B15" s="37" t="inlineStr">
        <is>
          <t>TOTAL</t>
        </is>
      </c>
      <c r="D15" s="46">
        <f>SUM(D9:D14)</f>
        <v/>
      </c>
      <c r="G15" s="47">
        <f>$G14</f>
        <v/>
      </c>
      <c r="H15" s="46">
        <f>SUM(H9:H14)</f>
        <v/>
      </c>
      <c r="I15" s="48">
        <f>IFERROR($H15/$D15,0)</f>
        <v/>
      </c>
    </row>
    <row r="16"/>
    <row r="17" ht="15" customHeight="1" s="32">
      <c r="B17" s="49" t="inlineStr">
        <is>
          <t>Reality check</t>
        </is>
      </c>
    </row>
    <row r="18" ht="15" customHeight="1" s="32">
      <c r="B18" s="42" t="inlineStr">
        <is>
          <t>- Days assume you solve every single day. You will not. Multiply the total by about 1.4 for a number you can trust.</t>
        </is>
      </c>
    </row>
    <row r="19" ht="15" customHeight="1" s="32">
      <c r="B19" s="42" t="inlineStr">
        <is>
          <t>- Depth problems are for after the Core track is done, or for a topic you are actively interviewing on.</t>
        </is>
      </c>
    </row>
    <row r="20" ht="15" customHeight="1" s="32">
      <c r="B20" s="42" t="inlineStr">
        <is>
          <t>- Stretch problems (Hard + Advanced DS) are not placement-critical. Ignore them until the Core track is above 80%.</t>
        </is>
      </c>
    </row>
    <row r="21" ht="15" customHeight="1" s="32">
      <c r="B21" s="42" t="inlineStr">
        <is>
          <t>- If a phase slips by more than two weeks, cut Depth entirely rather than moving the target date again.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9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31" min="1" max="1"/>
    <col width="26" customWidth="1" style="31" min="2" max="2"/>
    <col width="26" customWidth="1" style="31" min="3" max="3"/>
    <col width="24" customWidth="1" style="31" min="4" max="4"/>
    <col width="56" customWidth="1" style="31" min="5" max="5"/>
    <col width="11" customWidth="1" style="31" min="6" max="6"/>
    <col width="9" customWidth="1" style="31" min="7" max="7"/>
    <col width="15" customWidth="1" style="31" min="8" max="8"/>
    <col width="14" customWidth="1" style="31" min="9" max="9"/>
    <col width="13" customWidth="1" style="31" min="10" max="10"/>
    <col width="11" customWidth="1" style="31" min="11" max="11"/>
    <col width="10" customWidth="1" style="31" min="12" max="12"/>
    <col width="13" customWidth="1" style="32" min="13" max="13"/>
    <col width="14" customWidth="1" style="31" min="14" max="14"/>
    <col width="7" customWidth="1" style="31" min="15" max="15"/>
    <col width="30" customWidth="1" style="32" min="16" max="16"/>
  </cols>
  <sheetData>
    <row r="1" ht="15" customHeight="1" s="32">
      <c r="A1" s="50" t="inlineStr">
        <is>
          <t>Step</t>
        </is>
      </c>
      <c r="B1" s="50" t="inlineStr">
        <is>
          <t>Stage</t>
        </is>
      </c>
      <c r="C1" s="50" t="inlineStr">
        <is>
          <t>Topic</t>
        </is>
      </c>
      <c r="D1" s="50" t="inlineStr">
        <is>
          <t>Pattern</t>
        </is>
      </c>
      <c r="E1" s="50" t="inlineStr">
        <is>
          <t>Problem</t>
        </is>
      </c>
      <c r="F1" s="50" t="inlineStr">
        <is>
          <t>Difficulty</t>
        </is>
      </c>
      <c r="G1" s="50" t="inlineStr">
        <is>
          <t>Tier</t>
        </is>
      </c>
      <c r="H1" s="50" t="inlineStr">
        <is>
          <t>Platform</t>
        </is>
      </c>
      <c r="I1" s="50" t="inlineStr">
        <is>
          <t>Link</t>
        </is>
      </c>
      <c r="J1" s="50" t="inlineStr">
        <is>
          <t>Status</t>
        </is>
      </c>
      <c r="K1" s="50" t="inlineStr">
        <is>
          <t>Confidence</t>
        </is>
      </c>
      <c r="L1" s="50" t="inlineStr">
        <is>
          <t>Attempts</t>
        </is>
      </c>
      <c r="M1" s="50" t="inlineStr">
        <is>
          <t>Last Revised</t>
        </is>
      </c>
      <c r="N1" s="50" t="inlineStr">
        <is>
          <t>Next Revision</t>
        </is>
      </c>
      <c r="O1" s="50" t="inlineStr">
        <is>
          <t>Due?</t>
        </is>
      </c>
      <c r="P1" s="50" t="inlineStr">
        <is>
          <t>Notes</t>
        </is>
      </c>
    </row>
    <row r="2" ht="15" customHeight="1" s="32">
      <c r="A2" s="61" t="n">
        <v>1</v>
      </c>
      <c r="B2" s="61" t="inlineStr">
        <is>
          <t>1. Foundations - Core</t>
        </is>
      </c>
      <c r="C2" s="61" t="inlineStr">
        <is>
          <t>01. Basics &amp; Recursion</t>
        </is>
      </c>
      <c r="D2" s="61" t="inlineStr">
        <is>
          <t>Recursion warm-up</t>
        </is>
      </c>
      <c r="E2" s="61" t="inlineStr">
        <is>
          <t>Print 1 to N using Recursion</t>
        </is>
      </c>
      <c r="F2" s="61" t="inlineStr">
        <is>
          <t>Easy</t>
        </is>
      </c>
      <c r="G2" s="61" t="inlineStr">
        <is>
          <t>Core</t>
        </is>
      </c>
      <c r="H2" s="61" t="inlineStr">
        <is>
          <t>GeeksforGeeks</t>
        </is>
      </c>
      <c r="I2" s="61" t="inlineStr">
        <is>
          <t>https://www.geeksforgeeks.org/problems/print-1-to-n-without-using-loops3621/1</t>
        </is>
      </c>
      <c r="J2" s="61" t="inlineStr">
        <is>
          <t>Not Started</t>
        </is>
      </c>
      <c r="K2" s="61" t="n"/>
      <c r="L2" s="61" t="n"/>
      <c r="M2" s="67" t="n"/>
      <c r="N2" s="67">
        <f>IF($M2="","",$M2+IF($K2="",Dashboard!$M$9,INDEX(Dashboard!$M$5:$M$9,$K2)))</f>
        <v/>
      </c>
      <c r="O2" s="61">
        <f>IF(OR($J2="Attempted",$J2="Revisit"),"DUE",IF($N2="","",IF($N2&lt;=TODAY(),"DUE","")))</f>
        <v/>
      </c>
      <c r="P2" s="61" t="n"/>
    </row>
    <row r="3" ht="15" customHeight="1" s="32">
      <c r="A3" s="61" t="n">
        <v>2</v>
      </c>
      <c r="B3" s="61" t="inlineStr">
        <is>
          <t>1. Foundations - Core</t>
        </is>
      </c>
      <c r="C3" s="61" t="inlineStr">
        <is>
          <t>01. Basics &amp; Recursion</t>
        </is>
      </c>
      <c r="D3" s="61" t="inlineStr">
        <is>
          <t>Recursion warm-up</t>
        </is>
      </c>
      <c r="E3" s="61" t="inlineStr">
        <is>
          <t>Sum of First N Natural Numbers</t>
        </is>
      </c>
      <c r="F3" s="61" t="inlineStr">
        <is>
          <t>Easy</t>
        </is>
      </c>
      <c r="G3" s="61" t="inlineStr">
        <is>
          <t>Core</t>
        </is>
      </c>
      <c r="H3" s="61" t="inlineStr">
        <is>
          <t>GeeksforGeeks</t>
        </is>
      </c>
      <c r="I3" s="61" t="inlineStr">
        <is>
          <t>https://www.geeksforgeeks.org/problems/reverse-coding2452/1</t>
        </is>
      </c>
      <c r="J3" s="61" t="inlineStr">
        <is>
          <t>Not Started</t>
        </is>
      </c>
      <c r="K3" s="61" t="n"/>
      <c r="L3" s="61" t="n"/>
      <c r="M3" s="67" t="n"/>
      <c r="N3" s="67">
        <f>IF($M3="","",$M3+IF($K3="",Dashboard!$M$9,INDEX(Dashboard!$M$5:$M$9,$K3)))</f>
        <v/>
      </c>
      <c r="O3" s="61">
        <f>IF(OR($J3="Attempted",$J3="Revisit"),"DUE",IF($N3="","",IF($N3&lt;=TODAY(),"DUE","")))</f>
        <v/>
      </c>
      <c r="P3" s="61" t="n"/>
    </row>
    <row r="4" ht="15" customHeight="1" s="32">
      <c r="A4" s="61" t="n">
        <v>3</v>
      </c>
      <c r="B4" s="61" t="inlineStr">
        <is>
          <t>1. Foundations - Core</t>
        </is>
      </c>
      <c r="C4" s="61" t="inlineStr">
        <is>
          <t>01. Basics &amp; Recursion</t>
        </is>
      </c>
      <c r="D4" s="61" t="inlineStr">
        <is>
          <t>Recursion warm-up</t>
        </is>
      </c>
      <c r="E4" s="61" t="inlineStr">
        <is>
          <t>Factorial of a Number</t>
        </is>
      </c>
      <c r="F4" s="61" t="inlineStr">
        <is>
          <t>Easy</t>
        </is>
      </c>
      <c r="G4" s="61" t="inlineStr">
        <is>
          <t>Core</t>
        </is>
      </c>
      <c r="H4" s="61" t="inlineStr">
        <is>
          <t>GeeksforGeeks</t>
        </is>
      </c>
      <c r="I4" s="61" t="inlineStr">
        <is>
          <t>https://www.geeksforgeeks.org/problems/factorial5739/1</t>
        </is>
      </c>
      <c r="J4" s="61" t="inlineStr">
        <is>
          <t>Not Started</t>
        </is>
      </c>
      <c r="K4" s="61" t="n"/>
      <c r="L4" s="61" t="n"/>
      <c r="M4" s="67" t="n"/>
      <c r="N4" s="67">
        <f>IF($M4="","",$M4+IF($K4="",Dashboard!$M$9,INDEX(Dashboard!$M$5:$M$9,$K4)))</f>
        <v/>
      </c>
      <c r="O4" s="61">
        <f>IF(OR($J4="Attempted",$J4="Revisit"),"DUE",IF($N4="","",IF($N4&lt;=TODAY(),"DUE","")))</f>
        <v/>
      </c>
      <c r="P4" s="61" t="n"/>
    </row>
    <row r="5" ht="15" customHeight="1" s="32">
      <c r="A5" s="61" t="n">
        <v>4</v>
      </c>
      <c r="B5" s="61" t="inlineStr">
        <is>
          <t>1. Foundations - Core</t>
        </is>
      </c>
      <c r="C5" s="61" t="inlineStr">
        <is>
          <t>01. Basics &amp; Recursion</t>
        </is>
      </c>
      <c r="D5" s="61" t="inlineStr">
        <is>
          <t>Recursion warm-up</t>
        </is>
      </c>
      <c r="E5" s="61" t="inlineStr">
        <is>
          <t>Sum of Digits</t>
        </is>
      </c>
      <c r="F5" s="61" t="inlineStr">
        <is>
          <t>Easy</t>
        </is>
      </c>
      <c r="G5" s="61" t="inlineStr">
        <is>
          <t>Core</t>
        </is>
      </c>
      <c r="H5" s="61" t="inlineStr">
        <is>
          <t>GeeksforGeeks</t>
        </is>
      </c>
      <c r="I5" s="61" t="inlineStr">
        <is>
          <t>https://www.geeksforgeeks.org/problems/sum-of-digits1742/1</t>
        </is>
      </c>
      <c r="J5" s="61" t="inlineStr">
        <is>
          <t>Not Started</t>
        </is>
      </c>
      <c r="K5" s="61" t="n"/>
      <c r="L5" s="61" t="n"/>
      <c r="M5" s="67" t="n"/>
      <c r="N5" s="67">
        <f>IF($M5="","",$M5+IF($K5="",Dashboard!$M$9,INDEX(Dashboard!$M$5:$M$9,$K5)))</f>
        <v/>
      </c>
      <c r="O5" s="61">
        <f>IF(OR($J5="Attempted",$J5="Revisit"),"DUE",IF($N5="","",IF($N5&lt;=TODAY(),"DUE","")))</f>
        <v/>
      </c>
      <c r="P5" s="61" t="n"/>
    </row>
    <row r="6" ht="15" customHeight="1" s="32">
      <c r="A6" s="61" t="n">
        <v>5</v>
      </c>
      <c r="B6" s="61" t="inlineStr">
        <is>
          <t>1. Foundations - Core</t>
        </is>
      </c>
      <c r="C6" s="61" t="inlineStr">
        <is>
          <t>01. Basics &amp; Recursion</t>
        </is>
      </c>
      <c r="D6" s="61" t="inlineStr">
        <is>
          <t>Recursion warm-up</t>
        </is>
      </c>
      <c r="E6" s="61" t="inlineStr">
        <is>
          <t>Reverse an Array using Recursion</t>
        </is>
      </c>
      <c r="F6" s="61" t="inlineStr">
        <is>
          <t>Easy</t>
        </is>
      </c>
      <c r="G6" s="61" t="inlineStr">
        <is>
          <t>Core</t>
        </is>
      </c>
      <c r="H6" s="61" t="inlineStr">
        <is>
          <t>GeeksforGeeks</t>
        </is>
      </c>
      <c r="I6" s="61" t="inlineStr">
        <is>
          <t>https://www.geeksforgeeks.org/problems/reverse-an-array/1</t>
        </is>
      </c>
      <c r="J6" s="61" t="inlineStr">
        <is>
          <t>Not Started</t>
        </is>
      </c>
      <c r="K6" s="61" t="n"/>
      <c r="L6" s="61" t="n"/>
      <c r="M6" s="67" t="n"/>
      <c r="N6" s="67">
        <f>IF($M6="","",$M6+IF($K6="",Dashboard!$M$9,INDEX(Dashboard!$M$5:$M$9,$K6)))</f>
        <v/>
      </c>
      <c r="O6" s="61">
        <f>IF(OR($J6="Attempted",$J6="Revisit"),"DUE",IF($N6="","",IF($N6&lt;=TODAY(),"DUE","")))</f>
        <v/>
      </c>
      <c r="P6" s="61" t="n"/>
    </row>
    <row r="7" ht="15" customHeight="1" s="32">
      <c r="A7" s="61" t="n">
        <v>6</v>
      </c>
      <c r="B7" s="61" t="inlineStr">
        <is>
          <t>1. Foundations - Core</t>
        </is>
      </c>
      <c r="C7" s="61" t="inlineStr">
        <is>
          <t>01. Basics &amp; Recursion</t>
        </is>
      </c>
      <c r="D7" s="61" t="inlineStr">
        <is>
          <t>Recursion warm-up</t>
        </is>
      </c>
      <c r="E7" s="61" t="inlineStr">
        <is>
          <t>Palindrome String (recursive)</t>
        </is>
      </c>
      <c r="F7" s="61" t="inlineStr">
        <is>
          <t>Easy</t>
        </is>
      </c>
      <c r="G7" s="61" t="inlineStr">
        <is>
          <t>Core</t>
        </is>
      </c>
      <c r="H7" s="61" t="inlineStr">
        <is>
          <t>GeeksforGeeks</t>
        </is>
      </c>
      <c r="I7" s="61" t="inlineStr">
        <is>
          <t>https://www.geeksforgeeks.org/problems/palindrome-string0817/1</t>
        </is>
      </c>
      <c r="J7" s="61" t="inlineStr">
        <is>
          <t>Not Started</t>
        </is>
      </c>
      <c r="K7" s="61" t="n"/>
      <c r="L7" s="61" t="n"/>
      <c r="M7" s="67" t="n"/>
      <c r="N7" s="67">
        <f>IF($M7="","",$M7+IF($K7="",Dashboard!$M$9,INDEX(Dashboard!$M$5:$M$9,$K7)))</f>
        <v/>
      </c>
      <c r="O7" s="61">
        <f>IF(OR($J7="Attempted",$J7="Revisit"),"DUE",IF($N7="","",IF($N7&lt;=TODAY(),"DUE","")))</f>
        <v/>
      </c>
      <c r="P7" s="61" t="n"/>
    </row>
    <row r="8" ht="15" customHeight="1" s="32">
      <c r="A8" s="61" t="n">
        <v>7</v>
      </c>
      <c r="B8" s="61" t="inlineStr">
        <is>
          <t>1. Foundations - Core</t>
        </is>
      </c>
      <c r="C8" s="61" t="inlineStr">
        <is>
          <t>01. Basics &amp; Recursion</t>
        </is>
      </c>
      <c r="D8" s="61" t="inlineStr">
        <is>
          <t>Recursion warm-up</t>
        </is>
      </c>
      <c r="E8" s="61" t="inlineStr">
        <is>
          <t>Check if an Array is Sorted</t>
        </is>
      </c>
      <c r="F8" s="61" t="inlineStr">
        <is>
          <t>Easy</t>
        </is>
      </c>
      <c r="G8" s="61" t="inlineStr">
        <is>
          <t>Core</t>
        </is>
      </c>
      <c r="H8" s="61" t="inlineStr">
        <is>
          <t>GeeksforGeeks</t>
        </is>
      </c>
      <c r="I8" s="61" t="inlineStr">
        <is>
          <t>https://www.geeksforgeeks.org/problems/check-if-an-array-is-sorted0701/1</t>
        </is>
      </c>
      <c r="J8" s="61" t="inlineStr">
        <is>
          <t>Not Started</t>
        </is>
      </c>
      <c r="K8" s="61" t="n"/>
      <c r="L8" s="61" t="n"/>
      <c r="M8" s="67" t="n"/>
      <c r="N8" s="67">
        <f>IF($M8="","",$M8+IF($K8="",Dashboard!$M$9,INDEX(Dashboard!$M$5:$M$9,$K8)))</f>
        <v/>
      </c>
      <c r="O8" s="61">
        <f>IF(OR($J8="Attempted",$J8="Revisit"),"DUE",IF($N8="","",IF($N8&lt;=TODAY(),"DUE","")))</f>
        <v/>
      </c>
      <c r="P8" s="61" t="n"/>
    </row>
    <row r="9" ht="15" customHeight="1" s="32">
      <c r="A9" s="61" t="n">
        <v>8</v>
      </c>
      <c r="B9" s="61" t="inlineStr">
        <is>
          <t>1. Foundations - Core</t>
        </is>
      </c>
      <c r="C9" s="61" t="inlineStr">
        <is>
          <t>01. Basics &amp; Recursion</t>
        </is>
      </c>
      <c r="D9" s="61" t="inlineStr">
        <is>
          <t>Recursion warm-up</t>
        </is>
      </c>
      <c r="E9" s="61" t="inlineStr">
        <is>
          <t>Remove All Occurrences of a Character</t>
        </is>
      </c>
      <c r="F9" s="61" t="inlineStr">
        <is>
          <t>Easy</t>
        </is>
      </c>
      <c r="G9" s="61" t="inlineStr">
        <is>
          <t>Core</t>
        </is>
      </c>
      <c r="H9" s="61" t="inlineStr">
        <is>
          <t>GeeksforGeeks</t>
        </is>
      </c>
      <c r="I9" s="61" t="inlineStr">
        <is>
          <t>https://www.geeksforgeeks.org/problems/remove-all-occurrences-of-a-character-in-a-string/1</t>
        </is>
      </c>
      <c r="J9" s="61" t="inlineStr">
        <is>
          <t>Not Started</t>
        </is>
      </c>
      <c r="K9" s="61" t="n"/>
      <c r="L9" s="61" t="n"/>
      <c r="M9" s="67" t="n"/>
      <c r="N9" s="67">
        <f>IF($M9="","",$M9+IF($K9="",Dashboard!$M$9,INDEX(Dashboard!$M$5:$M$9,$K9)))</f>
        <v/>
      </c>
      <c r="O9" s="61">
        <f>IF(OR($J9="Attempted",$J9="Revisit"),"DUE",IF($N9="","",IF($N9&lt;=TODAY(),"DUE","")))</f>
        <v/>
      </c>
      <c r="P9" s="61" t="n"/>
    </row>
    <row r="10" ht="15" customHeight="1" s="32">
      <c r="A10" s="61" t="n">
        <v>9</v>
      </c>
      <c r="B10" s="61" t="inlineStr">
        <is>
          <t>1. Foundations - Core</t>
        </is>
      </c>
      <c r="C10" s="61" t="inlineStr">
        <is>
          <t>01. Basics &amp; Recursion</t>
        </is>
      </c>
      <c r="D10" s="61" t="inlineStr">
        <is>
          <t>Recursion warm-up</t>
        </is>
      </c>
      <c r="E10" s="61" t="inlineStr">
        <is>
          <t>Fibonacci Number</t>
        </is>
      </c>
      <c r="F10" s="61" t="inlineStr">
        <is>
          <t>Easy</t>
        </is>
      </c>
      <c r="G10" s="61" t="inlineStr">
        <is>
          <t>Core</t>
        </is>
      </c>
      <c r="H10" s="61" t="inlineStr">
        <is>
          <t>LeetCode</t>
        </is>
      </c>
      <c r="I10" s="61" t="inlineStr">
        <is>
          <t>https://leetcode.com/problems/fibonacci-number/</t>
        </is>
      </c>
      <c r="J10" s="61" t="inlineStr">
        <is>
          <t>Not Started</t>
        </is>
      </c>
      <c r="K10" s="61" t="n"/>
      <c r="L10" s="61" t="n"/>
      <c r="M10" s="67" t="n"/>
      <c r="N10" s="67">
        <f>IF($M10="","",$M10+IF($K10="",Dashboard!$M$9,INDEX(Dashboard!$M$5:$M$9,$K10)))</f>
        <v/>
      </c>
      <c r="O10" s="61">
        <f>IF(OR($J10="Attempted",$J10="Revisit"),"DUE",IF($N10="","",IF($N10&lt;=TODAY(),"DUE","")))</f>
        <v/>
      </c>
      <c r="P10" s="61" t="n"/>
    </row>
    <row r="11" ht="15" customHeight="1" s="32">
      <c r="A11" s="61" t="n">
        <v>10</v>
      </c>
      <c r="B11" s="61" t="inlineStr">
        <is>
          <t>1. Foundations - Core</t>
        </is>
      </c>
      <c r="C11" s="61" t="inlineStr">
        <is>
          <t>01. Basics &amp; Recursion</t>
        </is>
      </c>
      <c r="D11" s="61" t="inlineStr">
        <is>
          <t>Recursion warm-up</t>
        </is>
      </c>
      <c r="E11" s="61" t="inlineStr">
        <is>
          <t>Pow(x, n)</t>
        </is>
      </c>
      <c r="F11" s="61" t="inlineStr">
        <is>
          <t>Medium</t>
        </is>
      </c>
      <c r="G11" s="61" t="inlineStr">
        <is>
          <t>Core</t>
        </is>
      </c>
      <c r="H11" s="61" t="inlineStr">
        <is>
          <t>LeetCode</t>
        </is>
      </c>
      <c r="I11" s="61" t="inlineStr">
        <is>
          <t>https://leetcode.com/problems/powx-n/</t>
        </is>
      </c>
      <c r="J11" s="61" t="inlineStr">
        <is>
          <t>Not Started</t>
        </is>
      </c>
      <c r="K11" s="61" t="n"/>
      <c r="L11" s="61" t="n"/>
      <c r="M11" s="67" t="n"/>
      <c r="N11" s="67">
        <f>IF($M11="","",$M11+IF($K11="",Dashboard!$M$9,INDEX(Dashboard!$M$5:$M$9,$K11)))</f>
        <v/>
      </c>
      <c r="O11" s="61">
        <f>IF(OR($J11="Attempted",$J11="Revisit"),"DUE",IF($N11="","",IF($N11&lt;=TODAY(),"DUE","")))</f>
        <v/>
      </c>
      <c r="P11" s="61" t="n"/>
    </row>
    <row r="12" ht="15" customHeight="1" s="32">
      <c r="A12" s="61" t="n">
        <v>11</v>
      </c>
      <c r="B12" s="61" t="inlineStr">
        <is>
          <t>1. Foundations - Core</t>
        </is>
      </c>
      <c r="C12" s="61" t="inlineStr">
        <is>
          <t>01. Basics &amp; Recursion</t>
        </is>
      </c>
      <c r="D12" s="61" t="inlineStr">
        <is>
          <t>Divide &amp; Conquer</t>
        </is>
      </c>
      <c r="E12" s="61" t="inlineStr">
        <is>
          <t>Merge Sort</t>
        </is>
      </c>
      <c r="F12" s="61" t="inlineStr">
        <is>
          <t>Medium</t>
        </is>
      </c>
      <c r="G12" s="61" t="inlineStr">
        <is>
          <t>Core</t>
        </is>
      </c>
      <c r="H12" s="61" t="inlineStr">
        <is>
          <t>GeeksforGeeks</t>
        </is>
      </c>
      <c r="I12" s="61" t="inlineStr">
        <is>
          <t>https://www.geeksforgeeks.org/problems/merge-sort/1</t>
        </is>
      </c>
      <c r="J12" s="61" t="inlineStr">
        <is>
          <t>Not Started</t>
        </is>
      </c>
      <c r="K12" s="61" t="n"/>
      <c r="L12" s="61" t="n"/>
      <c r="M12" s="67" t="n"/>
      <c r="N12" s="67">
        <f>IF($M12="","",$M12+IF($K12="",Dashboard!$M$9,INDEX(Dashboard!$M$5:$M$9,$K12)))</f>
        <v/>
      </c>
      <c r="O12" s="61">
        <f>IF(OR($J12="Attempted",$J12="Revisit"),"DUE",IF($N12="","",IF($N12&lt;=TODAY(),"DUE","")))</f>
        <v/>
      </c>
      <c r="P12" s="61" t="n"/>
    </row>
    <row r="13" ht="15" customHeight="1" s="32">
      <c r="A13" s="61" t="n">
        <v>12</v>
      </c>
      <c r="B13" s="61" t="inlineStr">
        <is>
          <t>1. Foundations - Core</t>
        </is>
      </c>
      <c r="C13" s="61" t="inlineStr">
        <is>
          <t>01. Basics &amp; Recursion</t>
        </is>
      </c>
      <c r="D13" s="61" t="inlineStr">
        <is>
          <t>Divide &amp; Conquer</t>
        </is>
      </c>
      <c r="E13" s="61" t="inlineStr">
        <is>
          <t>Quick Sort</t>
        </is>
      </c>
      <c r="F13" s="61" t="inlineStr">
        <is>
          <t>Medium</t>
        </is>
      </c>
      <c r="G13" s="61" t="inlineStr">
        <is>
          <t>Core</t>
        </is>
      </c>
      <c r="H13" s="61" t="inlineStr">
        <is>
          <t>GeeksforGeeks</t>
        </is>
      </c>
      <c r="I13" s="61" t="inlineStr">
        <is>
          <t>https://www.geeksforgeeks.org/problems/quick-sort/1</t>
        </is>
      </c>
      <c r="J13" s="61" t="inlineStr">
        <is>
          <t>Not Started</t>
        </is>
      </c>
      <c r="K13" s="61" t="n"/>
      <c r="L13" s="61" t="n"/>
      <c r="M13" s="67" t="n"/>
      <c r="N13" s="67">
        <f>IF($M13="","",$M13+IF($K13="",Dashboard!$M$9,INDEX(Dashboard!$M$5:$M$9,$K13)))</f>
        <v/>
      </c>
      <c r="O13" s="61">
        <f>IF(OR($J13="Attempted",$J13="Revisit"),"DUE",IF($N13="","",IF($N13&lt;=TODAY(),"DUE","")))</f>
        <v/>
      </c>
      <c r="P13" s="61" t="n"/>
    </row>
    <row r="14" ht="15" customHeight="1" s="32">
      <c r="A14" s="61" t="n">
        <v>13</v>
      </c>
      <c r="B14" s="61" t="inlineStr">
        <is>
          <t>1. Foundations - Core</t>
        </is>
      </c>
      <c r="C14" s="61" t="inlineStr">
        <is>
          <t>01. Basics &amp; Recursion</t>
        </is>
      </c>
      <c r="D14" s="61" t="inlineStr">
        <is>
          <t>Divide &amp; Conquer</t>
        </is>
      </c>
      <c r="E14" s="61" t="inlineStr">
        <is>
          <t>Count Inversions</t>
        </is>
      </c>
      <c r="F14" s="61" t="inlineStr">
        <is>
          <t>Medium</t>
        </is>
      </c>
      <c r="G14" s="61" t="inlineStr">
        <is>
          <t>Core</t>
        </is>
      </c>
      <c r="H14" s="61" t="inlineStr">
        <is>
          <t>GeeksforGeeks</t>
        </is>
      </c>
      <c r="I14" s="61" t="inlineStr">
        <is>
          <t>https://www.geeksforgeeks.org/problems/inversion-of-array-1587115620/1</t>
        </is>
      </c>
      <c r="J14" s="61" t="inlineStr">
        <is>
          <t>Not Started</t>
        </is>
      </c>
      <c r="K14" s="61" t="n"/>
      <c r="L14" s="61" t="n"/>
      <c r="M14" s="67" t="n"/>
      <c r="N14" s="67">
        <f>IF($M14="","",$M14+IF($K14="",Dashboard!$M$9,INDEX(Dashboard!$M$5:$M$9,$K14)))</f>
        <v/>
      </c>
      <c r="O14" s="61">
        <f>IF(OR($J14="Attempted",$J14="Revisit"),"DUE",IF($N14="","",IF($N14&lt;=TODAY(),"DUE","")))</f>
        <v/>
      </c>
      <c r="P14" s="61" t="n"/>
    </row>
    <row r="15" ht="15" customHeight="1" s="32">
      <c r="A15" s="61" t="n">
        <v>14</v>
      </c>
      <c r="B15" s="61" t="inlineStr">
        <is>
          <t>1. Foundations - Core</t>
        </is>
      </c>
      <c r="C15" s="61" t="inlineStr">
        <is>
          <t>01. Basics &amp; Recursion</t>
        </is>
      </c>
      <c r="D15" s="61" t="inlineStr">
        <is>
          <t>Divide &amp; Conquer</t>
        </is>
      </c>
      <c r="E15" s="61" t="inlineStr">
        <is>
          <t>Sort an Array</t>
        </is>
      </c>
      <c r="F15" s="61" t="inlineStr">
        <is>
          <t>Medium</t>
        </is>
      </c>
      <c r="G15" s="61" t="inlineStr">
        <is>
          <t>Core</t>
        </is>
      </c>
      <c r="H15" s="61" t="inlineStr">
        <is>
          <t>LeetCode</t>
        </is>
      </c>
      <c r="I15" s="61" t="inlineStr">
        <is>
          <t>https://leetcode.com/problems/sort-an-array/</t>
        </is>
      </c>
      <c r="J15" s="61" t="inlineStr">
        <is>
          <t>Not Started</t>
        </is>
      </c>
      <c r="K15" s="61" t="n"/>
      <c r="L15" s="61" t="n"/>
      <c r="M15" s="67" t="n"/>
      <c r="N15" s="67">
        <f>IF($M15="","",$M15+IF($K15="",Dashboard!$M$9,INDEX(Dashboard!$M$5:$M$9,$K15)))</f>
        <v/>
      </c>
      <c r="O15" s="61">
        <f>IF(OR($J15="Attempted",$J15="Revisit"),"DUE",IF($N15="","",IF($N15&lt;=TODAY(),"DUE","")))</f>
        <v/>
      </c>
      <c r="P15" s="61" t="n"/>
    </row>
    <row r="16" ht="15" customHeight="1" s="32">
      <c r="A16" s="61" t="n">
        <v>15</v>
      </c>
      <c r="B16" s="61" t="inlineStr">
        <is>
          <t>1. Foundations - Core</t>
        </is>
      </c>
      <c r="C16" s="61" t="inlineStr">
        <is>
          <t>02. Arrays &amp; Two Pointers</t>
        </is>
      </c>
      <c r="D16" s="61" t="inlineStr">
        <is>
          <t>Basics</t>
        </is>
      </c>
      <c r="E16" s="61" t="inlineStr">
        <is>
          <t>Remove Element</t>
        </is>
      </c>
      <c r="F16" s="61" t="inlineStr">
        <is>
          <t>Easy</t>
        </is>
      </c>
      <c r="G16" s="61" t="inlineStr">
        <is>
          <t>Core</t>
        </is>
      </c>
      <c r="H16" s="61" t="inlineStr">
        <is>
          <t>LeetCode</t>
        </is>
      </c>
      <c r="I16" s="61" t="inlineStr">
        <is>
          <t>https://leetcode.com/problems/remove-element/</t>
        </is>
      </c>
      <c r="J16" s="61" t="inlineStr">
        <is>
          <t>Not Started</t>
        </is>
      </c>
      <c r="K16" s="61" t="n"/>
      <c r="L16" s="61" t="n"/>
      <c r="M16" s="67" t="n"/>
      <c r="N16" s="67">
        <f>IF($M16="","",$M16+IF($K16="",Dashboard!$M$9,INDEX(Dashboard!$M$5:$M$9,$K16)))</f>
        <v/>
      </c>
      <c r="O16" s="61">
        <f>IF(OR($J16="Attempted",$J16="Revisit"),"DUE",IF($N16="","",IF($N16&lt;=TODAY(),"DUE","")))</f>
        <v/>
      </c>
      <c r="P16" s="61" t="n"/>
    </row>
    <row r="17" ht="15" customHeight="1" s="32">
      <c r="A17" s="61" t="n">
        <v>16</v>
      </c>
      <c r="B17" s="61" t="inlineStr">
        <is>
          <t>1. Foundations - Core</t>
        </is>
      </c>
      <c r="C17" s="61" t="inlineStr">
        <is>
          <t>02. Arrays &amp; Two Pointers</t>
        </is>
      </c>
      <c r="D17" s="61" t="inlineStr">
        <is>
          <t>Basics</t>
        </is>
      </c>
      <c r="E17" s="61" t="inlineStr">
        <is>
          <t>Plus One</t>
        </is>
      </c>
      <c r="F17" s="61" t="inlineStr">
        <is>
          <t>Easy</t>
        </is>
      </c>
      <c r="G17" s="61" t="inlineStr">
        <is>
          <t>Core</t>
        </is>
      </c>
      <c r="H17" s="61" t="inlineStr">
        <is>
          <t>LeetCode</t>
        </is>
      </c>
      <c r="I17" s="61" t="inlineStr">
        <is>
          <t>https://leetcode.com/problems/plus-one/</t>
        </is>
      </c>
      <c r="J17" s="61" t="inlineStr">
        <is>
          <t>Not Started</t>
        </is>
      </c>
      <c r="K17" s="61" t="n"/>
      <c r="L17" s="61" t="n"/>
      <c r="M17" s="67" t="n"/>
      <c r="N17" s="67">
        <f>IF($M17="","",$M17+IF($K17="",Dashboard!$M$9,INDEX(Dashboard!$M$5:$M$9,$K17)))</f>
        <v/>
      </c>
      <c r="O17" s="61">
        <f>IF(OR($J17="Attempted",$J17="Revisit"),"DUE",IF($N17="","",IF($N17&lt;=TODAY(),"DUE","")))</f>
        <v/>
      </c>
      <c r="P17" s="61" t="n"/>
    </row>
    <row r="18" ht="15" customHeight="1" s="32">
      <c r="A18" s="61" t="n">
        <v>17</v>
      </c>
      <c r="B18" s="61" t="inlineStr">
        <is>
          <t>1. Foundations - Core</t>
        </is>
      </c>
      <c r="C18" s="61" t="inlineStr">
        <is>
          <t>02. Arrays &amp; Two Pointers</t>
        </is>
      </c>
      <c r="D18" s="61" t="inlineStr">
        <is>
          <t>Basics</t>
        </is>
      </c>
      <c r="E18" s="61" t="inlineStr">
        <is>
          <t>Third Maximum Number</t>
        </is>
      </c>
      <c r="F18" s="61" t="inlineStr">
        <is>
          <t>Easy</t>
        </is>
      </c>
      <c r="G18" s="61" t="inlineStr">
        <is>
          <t>Core</t>
        </is>
      </c>
      <c r="H18" s="61" t="inlineStr">
        <is>
          <t>LeetCode</t>
        </is>
      </c>
      <c r="I18" s="61" t="inlineStr">
        <is>
          <t>https://leetcode.com/problems/third-maximum-number/</t>
        </is>
      </c>
      <c r="J18" s="61" t="inlineStr">
        <is>
          <t>Not Started</t>
        </is>
      </c>
      <c r="K18" s="61" t="n"/>
      <c r="L18" s="61" t="n"/>
      <c r="M18" s="67" t="n"/>
      <c r="N18" s="67">
        <f>IF($M18="","",$M18+IF($K18="",Dashboard!$M$9,INDEX(Dashboard!$M$5:$M$9,$K18)))</f>
        <v/>
      </c>
      <c r="O18" s="61">
        <f>IF(OR($J18="Attempted",$J18="Revisit"),"DUE",IF($N18="","",IF($N18&lt;=TODAY(),"DUE","")))</f>
        <v/>
      </c>
      <c r="P18" s="61" t="n"/>
    </row>
    <row r="19" ht="15" customHeight="1" s="32">
      <c r="A19" s="61" t="n">
        <v>18</v>
      </c>
      <c r="B19" s="61" t="inlineStr">
        <is>
          <t>1. Foundations - Core</t>
        </is>
      </c>
      <c r="C19" s="61" t="inlineStr">
        <is>
          <t>02. Arrays &amp; Two Pointers</t>
        </is>
      </c>
      <c r="D19" s="61" t="inlineStr">
        <is>
          <t>Two pointers</t>
        </is>
      </c>
      <c r="E19" s="61" t="inlineStr">
        <is>
          <t>Remove Duplicates from Sorted Array</t>
        </is>
      </c>
      <c r="F19" s="61" t="inlineStr">
        <is>
          <t>Easy</t>
        </is>
      </c>
      <c r="G19" s="61" t="inlineStr">
        <is>
          <t>Core</t>
        </is>
      </c>
      <c r="H19" s="61" t="inlineStr">
        <is>
          <t>LeetCode</t>
        </is>
      </c>
      <c r="I19" s="61" t="inlineStr">
        <is>
          <t>https://leetcode.com/problems/remove-duplicates-from-sorted-array/</t>
        </is>
      </c>
      <c r="J19" s="61" t="inlineStr">
        <is>
          <t>Not Started</t>
        </is>
      </c>
      <c r="K19" s="61" t="n"/>
      <c r="L19" s="61" t="n"/>
      <c r="M19" s="67" t="n"/>
      <c r="N19" s="67">
        <f>IF($M19="","",$M19+IF($K19="",Dashboard!$M$9,INDEX(Dashboard!$M$5:$M$9,$K19)))</f>
        <v/>
      </c>
      <c r="O19" s="61">
        <f>IF(OR($J19="Attempted",$J19="Revisit"),"DUE",IF($N19="","",IF($N19&lt;=TODAY(),"DUE","")))</f>
        <v/>
      </c>
      <c r="P19" s="61" t="inlineStr">
        <is>
          <t>v3 addition</t>
        </is>
      </c>
    </row>
    <row r="20" ht="15" customHeight="1" s="32">
      <c r="A20" s="61" t="n">
        <v>19</v>
      </c>
      <c r="B20" s="61" t="inlineStr">
        <is>
          <t>1. Foundations - Core</t>
        </is>
      </c>
      <c r="C20" s="61" t="inlineStr">
        <is>
          <t>02. Arrays &amp; Two Pointers</t>
        </is>
      </c>
      <c r="D20" s="61" t="inlineStr">
        <is>
          <t>Two pointers</t>
        </is>
      </c>
      <c r="E20" s="61" t="inlineStr">
        <is>
          <t>Move Zeroes</t>
        </is>
      </c>
      <c r="F20" s="61" t="inlineStr">
        <is>
          <t>Easy</t>
        </is>
      </c>
      <c r="G20" s="61" t="inlineStr">
        <is>
          <t>Core</t>
        </is>
      </c>
      <c r="H20" s="61" t="inlineStr">
        <is>
          <t>LeetCode</t>
        </is>
      </c>
      <c r="I20" s="61" t="inlineStr">
        <is>
          <t>https://leetcode.com/problems/move-zeroes/</t>
        </is>
      </c>
      <c r="J20" s="61" t="inlineStr">
        <is>
          <t>Not Started</t>
        </is>
      </c>
      <c r="K20" s="61" t="n"/>
      <c r="L20" s="61" t="n"/>
      <c r="M20" s="67" t="n"/>
      <c r="N20" s="67">
        <f>IF($M20="","",$M20+IF($K20="",Dashboard!$M$9,INDEX(Dashboard!$M$5:$M$9,$K20)))</f>
        <v/>
      </c>
      <c r="O20" s="61">
        <f>IF(OR($J20="Attempted",$J20="Revisit"),"DUE",IF($N20="","",IF($N20&lt;=TODAY(),"DUE","")))</f>
        <v/>
      </c>
      <c r="P20" s="61" t="inlineStr">
        <is>
          <t>v3 addition</t>
        </is>
      </c>
    </row>
    <row r="21" ht="15" customHeight="1" s="32">
      <c r="A21" s="61" t="n">
        <v>20</v>
      </c>
      <c r="B21" s="61" t="inlineStr">
        <is>
          <t>1. Foundations - Core</t>
        </is>
      </c>
      <c r="C21" s="61" t="inlineStr">
        <is>
          <t>02. Arrays &amp; Two Pointers</t>
        </is>
      </c>
      <c r="D21" s="61" t="inlineStr">
        <is>
          <t>Two pointers</t>
        </is>
      </c>
      <c r="E21" s="61" t="inlineStr">
        <is>
          <t>Sort Array By Parity</t>
        </is>
      </c>
      <c r="F21" s="61" t="inlineStr">
        <is>
          <t>Easy</t>
        </is>
      </c>
      <c r="G21" s="61" t="inlineStr">
        <is>
          <t>Core</t>
        </is>
      </c>
      <c r="H21" s="61" t="inlineStr">
        <is>
          <t>LeetCode</t>
        </is>
      </c>
      <c r="I21" s="61" t="inlineStr">
        <is>
          <t>https://leetcode.com/problems/sort-array-by-parity/</t>
        </is>
      </c>
      <c r="J21" s="61" t="inlineStr">
        <is>
          <t>Not Started</t>
        </is>
      </c>
      <c r="K21" s="61" t="n"/>
      <c r="L21" s="61" t="n"/>
      <c r="M21" s="67" t="n"/>
      <c r="N21" s="67">
        <f>IF($M21="","",$M21+IF($K21="",Dashboard!$M$9,INDEX(Dashboard!$M$5:$M$9,$K21)))</f>
        <v/>
      </c>
      <c r="O21" s="61">
        <f>IF(OR($J21="Attempted",$J21="Revisit"),"DUE",IF($N21="","",IF($N21&lt;=TODAY(),"DUE","")))</f>
        <v/>
      </c>
      <c r="P21" s="61" t="inlineStr">
        <is>
          <t>v3 addition</t>
        </is>
      </c>
    </row>
    <row r="22" ht="15" customHeight="1" s="32">
      <c r="A22" s="61" t="n">
        <v>21</v>
      </c>
      <c r="B22" s="61" t="inlineStr">
        <is>
          <t>1. Foundations - Core</t>
        </is>
      </c>
      <c r="C22" s="61" t="inlineStr">
        <is>
          <t>02. Arrays &amp; Two Pointers</t>
        </is>
      </c>
      <c r="D22" s="61" t="inlineStr">
        <is>
          <t>Two pointers</t>
        </is>
      </c>
      <c r="E22" s="61" t="inlineStr">
        <is>
          <t>Two Sum II - Input Array Is Sorted</t>
        </is>
      </c>
      <c r="F22" s="61" t="inlineStr">
        <is>
          <t>Medium</t>
        </is>
      </c>
      <c r="G22" s="61" t="inlineStr">
        <is>
          <t>Core</t>
        </is>
      </c>
      <c r="H22" s="61" t="inlineStr">
        <is>
          <t>LeetCode</t>
        </is>
      </c>
      <c r="I22" s="61" t="inlineStr">
        <is>
          <t>https://leetcode.com/problems/two-sum-ii-input-array-is-sorted/</t>
        </is>
      </c>
      <c r="J22" s="61" t="inlineStr">
        <is>
          <t>Not Started</t>
        </is>
      </c>
      <c r="K22" s="61" t="n"/>
      <c r="L22" s="61" t="n"/>
      <c r="M22" s="67" t="n"/>
      <c r="N22" s="67">
        <f>IF($M22="","",$M22+IF($K22="",Dashboard!$M$9,INDEX(Dashboard!$M$5:$M$9,$K22)))</f>
        <v/>
      </c>
      <c r="O22" s="61">
        <f>IF(OR($J22="Attempted",$J22="Revisit"),"DUE",IF($N22="","",IF($N22&lt;=TODAY(),"DUE","")))</f>
        <v/>
      </c>
      <c r="P22" s="61" t="n"/>
    </row>
    <row r="23" ht="15" customHeight="1" s="32">
      <c r="A23" s="61" t="n">
        <v>22</v>
      </c>
      <c r="B23" s="61" t="inlineStr">
        <is>
          <t>1. Foundations - Core</t>
        </is>
      </c>
      <c r="C23" s="61" t="inlineStr">
        <is>
          <t>02. Arrays &amp; Two Pointers</t>
        </is>
      </c>
      <c r="D23" s="61" t="inlineStr">
        <is>
          <t>Dutch National Flag</t>
        </is>
      </c>
      <c r="E23" s="61" t="inlineStr">
        <is>
          <t>Segregate 0s and 1s</t>
        </is>
      </c>
      <c r="F23" s="61" t="inlineStr">
        <is>
          <t>Easy</t>
        </is>
      </c>
      <c r="G23" s="61" t="inlineStr">
        <is>
          <t>Core</t>
        </is>
      </c>
      <c r="H23" s="61" t="inlineStr">
        <is>
          <t>GeeksforGeeks</t>
        </is>
      </c>
      <c r="I23" s="61" t="inlineStr">
        <is>
          <t>https://www.geeksforgeeks.org/problems/segregate-0s-and-1s5106/1</t>
        </is>
      </c>
      <c r="J23" s="61" t="inlineStr">
        <is>
          <t>Not Started</t>
        </is>
      </c>
      <c r="K23" s="61" t="n"/>
      <c r="L23" s="61" t="n"/>
      <c r="M23" s="67" t="n"/>
      <c r="N23" s="67">
        <f>IF($M23="","",$M23+IF($K23="",Dashboard!$M$9,INDEX(Dashboard!$M$5:$M$9,$K23)))</f>
        <v/>
      </c>
      <c r="O23" s="61">
        <f>IF(OR($J23="Attempted",$J23="Revisit"),"DUE",IF($N23="","",IF($N23&lt;=TODAY(),"DUE","")))</f>
        <v/>
      </c>
      <c r="P23" s="61" t="n"/>
    </row>
    <row r="24" ht="15" customHeight="1" s="32">
      <c r="A24" s="61" t="n">
        <v>23</v>
      </c>
      <c r="B24" s="61" t="inlineStr">
        <is>
          <t>1. Foundations - Core</t>
        </is>
      </c>
      <c r="C24" s="61" t="inlineStr">
        <is>
          <t>02. Arrays &amp; Two Pointers</t>
        </is>
      </c>
      <c r="D24" s="61" t="inlineStr">
        <is>
          <t>Dutch National Flag</t>
        </is>
      </c>
      <c r="E24" s="61" t="inlineStr">
        <is>
          <t>Sort Colors</t>
        </is>
      </c>
      <c r="F24" s="61" t="inlineStr">
        <is>
          <t>Medium</t>
        </is>
      </c>
      <c r="G24" s="61" t="inlineStr">
        <is>
          <t>Core</t>
        </is>
      </c>
      <c r="H24" s="61" t="inlineStr">
        <is>
          <t>LeetCode</t>
        </is>
      </c>
      <c r="I24" s="61" t="inlineStr">
        <is>
          <t>https://leetcode.com/problems/sort-colors/</t>
        </is>
      </c>
      <c r="J24" s="61" t="inlineStr">
        <is>
          <t>Not Started</t>
        </is>
      </c>
      <c r="K24" s="61" t="n"/>
      <c r="L24" s="61" t="n"/>
      <c r="M24" s="67" t="n"/>
      <c r="N24" s="67">
        <f>IF($M24="","",$M24+IF($K24="",Dashboard!$M$9,INDEX(Dashboard!$M$5:$M$9,$K24)))</f>
        <v/>
      </c>
      <c r="O24" s="61">
        <f>IF(OR($J24="Attempted",$J24="Revisit"),"DUE",IF($N24="","",IF($N24&lt;=TODAY(),"DUE","")))</f>
        <v/>
      </c>
      <c r="P24" s="61" t="n"/>
    </row>
    <row r="25" ht="15" customHeight="1" s="32">
      <c r="A25" s="61" t="n">
        <v>24</v>
      </c>
      <c r="B25" s="61" t="inlineStr">
        <is>
          <t>1. Foundations - Core</t>
        </is>
      </c>
      <c r="C25" s="61" t="inlineStr">
        <is>
          <t>02. Arrays &amp; Two Pointers</t>
        </is>
      </c>
      <c r="D25" s="61" t="inlineStr">
        <is>
          <t>Frequency scan</t>
        </is>
      </c>
      <c r="E25" s="61" t="inlineStr">
        <is>
          <t>Element Appearing More Than 25% In Sorted Array</t>
        </is>
      </c>
      <c r="F25" s="61" t="inlineStr">
        <is>
          <t>Easy</t>
        </is>
      </c>
      <c r="G25" s="61" t="inlineStr">
        <is>
          <t>Core</t>
        </is>
      </c>
      <c r="H25" s="61" t="inlineStr">
        <is>
          <t>LeetCode</t>
        </is>
      </c>
      <c r="I25" s="61" t="inlineStr">
        <is>
          <t>https://leetcode.com/problems/element-appearing-more-than-25-in-sorted-array/</t>
        </is>
      </c>
      <c r="J25" s="61" t="inlineStr">
        <is>
          <t>Not Started</t>
        </is>
      </c>
      <c r="K25" s="61" t="n"/>
      <c r="L25" s="61" t="n"/>
      <c r="M25" s="67" t="n"/>
      <c r="N25" s="67">
        <f>IF($M25="","",$M25+IF($K25="",Dashboard!$M$9,INDEX(Dashboard!$M$5:$M$9,$K25)))</f>
        <v/>
      </c>
      <c r="O25" s="61">
        <f>IF(OR($J25="Attempted",$J25="Revisit"),"DUE",IF($N25="","",IF($N25&lt;=TODAY(),"DUE","")))</f>
        <v/>
      </c>
      <c r="P25" s="61" t="inlineStr">
        <is>
          <t>v3 addition</t>
        </is>
      </c>
    </row>
    <row r="26" ht="15" customHeight="1" s="32">
      <c r="A26" s="61" t="n">
        <v>25</v>
      </c>
      <c r="B26" s="61" t="inlineStr">
        <is>
          <t>1. Foundations - Core</t>
        </is>
      </c>
      <c r="C26" s="61" t="inlineStr">
        <is>
          <t>02. Arrays &amp; Two Pointers</t>
        </is>
      </c>
      <c r="D26" s="61" t="inlineStr">
        <is>
          <t>Frequency scan</t>
        </is>
      </c>
      <c r="E26" s="61" t="inlineStr">
        <is>
          <t>Most Frequent Even Element</t>
        </is>
      </c>
      <c r="F26" s="61" t="inlineStr">
        <is>
          <t>Easy</t>
        </is>
      </c>
      <c r="G26" s="61" t="inlineStr">
        <is>
          <t>Core</t>
        </is>
      </c>
      <c r="H26" s="61" t="inlineStr">
        <is>
          <t>LeetCode</t>
        </is>
      </c>
      <c r="I26" s="61" t="inlineStr">
        <is>
          <t>https://leetcode.com/problems/most-frequent-even-element/</t>
        </is>
      </c>
      <c r="J26" s="61" t="inlineStr">
        <is>
          <t>Not Started</t>
        </is>
      </c>
      <c r="K26" s="61" t="n"/>
      <c r="L26" s="61" t="n"/>
      <c r="M26" s="67" t="n"/>
      <c r="N26" s="67">
        <f>IF($M26="","",$M26+IF($K26="",Dashboard!$M$9,INDEX(Dashboard!$M$5:$M$9,$K26)))</f>
        <v/>
      </c>
      <c r="O26" s="61">
        <f>IF(OR($J26="Attempted",$J26="Revisit"),"DUE",IF($N26="","",IF($N26&lt;=TODAY(),"DUE","")))</f>
        <v/>
      </c>
      <c r="P26" s="61" t="n"/>
    </row>
    <row r="27" ht="15" customHeight="1" s="32">
      <c r="A27" s="61" t="n">
        <v>26</v>
      </c>
      <c r="B27" s="61" t="inlineStr">
        <is>
          <t>1. Foundations - Core</t>
        </is>
      </c>
      <c r="C27" s="61" t="inlineStr">
        <is>
          <t>02. Arrays &amp; Two Pointers</t>
        </is>
      </c>
      <c r="D27" s="61" t="inlineStr">
        <is>
          <t>Voting / counting</t>
        </is>
      </c>
      <c r="E27" s="61" t="inlineStr">
        <is>
          <t>Majority Element</t>
        </is>
      </c>
      <c r="F27" s="61" t="inlineStr">
        <is>
          <t>Easy</t>
        </is>
      </c>
      <c r="G27" s="61" t="inlineStr">
        <is>
          <t>Core</t>
        </is>
      </c>
      <c r="H27" s="61" t="inlineStr">
        <is>
          <t>LeetCode</t>
        </is>
      </c>
      <c r="I27" s="61" t="inlineStr">
        <is>
          <t>https://leetcode.com/problems/majority-element/</t>
        </is>
      </c>
      <c r="J27" s="61" t="inlineStr">
        <is>
          <t>Not Started</t>
        </is>
      </c>
      <c r="K27" s="61" t="n"/>
      <c r="L27" s="61" t="n"/>
      <c r="M27" s="67" t="n"/>
      <c r="N27" s="67">
        <f>IF($M27="","",$M27+IF($K27="",Dashboard!$M$9,INDEX(Dashboard!$M$5:$M$9,$K27)))</f>
        <v/>
      </c>
      <c r="O27" s="61">
        <f>IF(OR($J27="Attempted",$J27="Revisit"),"DUE",IF($N27="","",IF($N27&lt;=TODAY(),"DUE","")))</f>
        <v/>
      </c>
      <c r="P27" s="61" t="inlineStr">
        <is>
          <t>v3 addition</t>
        </is>
      </c>
    </row>
    <row r="28" ht="15" customHeight="1" s="32">
      <c r="A28" s="61" t="n">
        <v>27</v>
      </c>
      <c r="B28" s="61" t="inlineStr">
        <is>
          <t>1. Foundations - Core</t>
        </is>
      </c>
      <c r="C28" s="61" t="inlineStr">
        <is>
          <t>02. Arrays &amp; Two Pointers</t>
        </is>
      </c>
      <c r="D28" s="61" t="inlineStr">
        <is>
          <t>Voting / counting</t>
        </is>
      </c>
      <c r="E28" s="61" t="inlineStr">
        <is>
          <t>Majority Element II</t>
        </is>
      </c>
      <c r="F28" s="61" t="inlineStr">
        <is>
          <t>Medium</t>
        </is>
      </c>
      <c r="G28" s="61" t="inlineStr">
        <is>
          <t>Core</t>
        </is>
      </c>
      <c r="H28" s="61" t="inlineStr">
        <is>
          <t>LeetCode</t>
        </is>
      </c>
      <c r="I28" s="61" t="inlineStr">
        <is>
          <t>https://leetcode.com/problems/majority-element-ii/</t>
        </is>
      </c>
      <c r="J28" s="61" t="inlineStr">
        <is>
          <t>Not Started</t>
        </is>
      </c>
      <c r="K28" s="61" t="n"/>
      <c r="L28" s="61" t="n"/>
      <c r="M28" s="67" t="n"/>
      <c r="N28" s="67">
        <f>IF($M28="","",$M28+IF($K28="",Dashboard!$M$9,INDEX(Dashboard!$M$5:$M$9,$K28)))</f>
        <v/>
      </c>
      <c r="O28" s="61">
        <f>IF(OR($J28="Attempted",$J28="Revisit"),"DUE",IF($N28="","",IF($N28&lt;=TODAY(),"DUE","")))</f>
        <v/>
      </c>
      <c r="P28" s="61" t="inlineStr">
        <is>
          <t>v3 addition</t>
        </is>
      </c>
    </row>
    <row r="29" ht="15" customHeight="1" s="32">
      <c r="A29" s="61" t="n">
        <v>28</v>
      </c>
      <c r="B29" s="61" t="inlineStr">
        <is>
          <t>1. Foundations - Core</t>
        </is>
      </c>
      <c r="C29" s="61" t="inlineStr">
        <is>
          <t>02. Arrays &amp; Two Pointers</t>
        </is>
      </c>
      <c r="D29" s="61" t="inlineStr">
        <is>
          <t>Rearrangement</t>
        </is>
      </c>
      <c r="E29" s="61" t="inlineStr">
        <is>
          <t>Rotate Array</t>
        </is>
      </c>
      <c r="F29" s="61" t="inlineStr">
        <is>
          <t>Medium</t>
        </is>
      </c>
      <c r="G29" s="61" t="inlineStr">
        <is>
          <t>Core</t>
        </is>
      </c>
      <c r="H29" s="61" t="inlineStr">
        <is>
          <t>LeetCode</t>
        </is>
      </c>
      <c r="I29" s="61" t="inlineStr">
        <is>
          <t>https://leetcode.com/problems/rotate-array/</t>
        </is>
      </c>
      <c r="J29" s="61" t="inlineStr">
        <is>
          <t>Not Started</t>
        </is>
      </c>
      <c r="K29" s="61" t="n"/>
      <c r="L29" s="61" t="n"/>
      <c r="M29" s="67" t="n"/>
      <c r="N29" s="67">
        <f>IF($M29="","",$M29+IF($K29="",Dashboard!$M$9,INDEX(Dashboard!$M$5:$M$9,$K29)))</f>
        <v/>
      </c>
      <c r="O29" s="61">
        <f>IF(OR($J29="Attempted",$J29="Revisit"),"DUE",IF($N29="","",IF($N29&lt;=TODAY(),"DUE","")))</f>
        <v/>
      </c>
      <c r="P29" s="61" t="inlineStr">
        <is>
          <t>v3 addition</t>
        </is>
      </c>
    </row>
    <row r="30" ht="15" customHeight="1" s="32">
      <c r="A30" s="61" t="n">
        <v>29</v>
      </c>
      <c r="B30" s="61" t="inlineStr">
        <is>
          <t>1. Foundations - Core</t>
        </is>
      </c>
      <c r="C30" s="61" t="inlineStr">
        <is>
          <t>02. Arrays &amp; Two Pointers</t>
        </is>
      </c>
      <c r="D30" s="61" t="inlineStr">
        <is>
          <t>Rearrangement</t>
        </is>
      </c>
      <c r="E30" s="61" t="inlineStr">
        <is>
          <t>Next Permutation</t>
        </is>
      </c>
      <c r="F30" s="61" t="inlineStr">
        <is>
          <t>Medium</t>
        </is>
      </c>
      <c r="G30" s="61" t="inlineStr">
        <is>
          <t>Core</t>
        </is>
      </c>
      <c r="H30" s="61" t="inlineStr">
        <is>
          <t>LeetCode</t>
        </is>
      </c>
      <c r="I30" s="61" t="inlineStr">
        <is>
          <t>https://leetcode.com/problems/next-permutation/</t>
        </is>
      </c>
      <c r="J30" s="61" t="inlineStr">
        <is>
          <t>Not Started</t>
        </is>
      </c>
      <c r="K30" s="61" t="n"/>
      <c r="L30" s="61" t="n"/>
      <c r="M30" s="67" t="n"/>
      <c r="N30" s="67">
        <f>IF($M30="","",$M30+IF($K30="",Dashboard!$M$9,INDEX(Dashboard!$M$5:$M$9,$K30)))</f>
        <v/>
      </c>
      <c r="O30" s="61">
        <f>IF(OR($J30="Attempted",$J30="Revisit"),"DUE",IF($N30="","",IF($N30&lt;=TODAY(),"DUE","")))</f>
        <v/>
      </c>
      <c r="P30" s="61" t="n"/>
    </row>
    <row r="31" ht="15" customHeight="1" s="32">
      <c r="A31" s="61" t="n">
        <v>30</v>
      </c>
      <c r="B31" s="61" t="inlineStr">
        <is>
          <t>1. Foundations - Core</t>
        </is>
      </c>
      <c r="C31" s="61" t="inlineStr">
        <is>
          <t>02. Arrays &amp; Two Pointers</t>
        </is>
      </c>
      <c r="D31" s="61" t="inlineStr">
        <is>
          <t>K-Sum</t>
        </is>
      </c>
      <c r="E31" s="61" t="inlineStr">
        <is>
          <t>Number of Arithmetic Triplets</t>
        </is>
      </c>
      <c r="F31" s="61" t="inlineStr">
        <is>
          <t>Easy</t>
        </is>
      </c>
      <c r="G31" s="61" t="inlineStr">
        <is>
          <t>Core</t>
        </is>
      </c>
      <c r="H31" s="61" t="inlineStr">
        <is>
          <t>LeetCode</t>
        </is>
      </c>
      <c r="I31" s="61" t="inlineStr">
        <is>
          <t>https://leetcode.com/problems/number-of-arithmetic-triplets/</t>
        </is>
      </c>
      <c r="J31" s="61" t="inlineStr">
        <is>
          <t>Not Started</t>
        </is>
      </c>
      <c r="K31" s="61" t="n"/>
      <c r="L31" s="61" t="n"/>
      <c r="M31" s="67" t="n"/>
      <c r="N31" s="67">
        <f>IF($M31="","",$M31+IF($K31="",Dashboard!$M$9,INDEX(Dashboard!$M$5:$M$9,$K31)))</f>
        <v/>
      </c>
      <c r="O31" s="61">
        <f>IF(OR($J31="Attempted",$J31="Revisit"),"DUE",IF($N31="","",IF($N31&lt;=TODAY(),"DUE","")))</f>
        <v/>
      </c>
      <c r="P31" s="61" t="n"/>
    </row>
    <row r="32" ht="15" customHeight="1" s="32">
      <c r="A32" s="61" t="n">
        <v>31</v>
      </c>
      <c r="B32" s="61" t="inlineStr">
        <is>
          <t>1. Foundations - Core</t>
        </is>
      </c>
      <c r="C32" s="61" t="inlineStr">
        <is>
          <t>02. Arrays &amp; Two Pointers</t>
        </is>
      </c>
      <c r="D32" s="61" t="inlineStr">
        <is>
          <t>K-Sum</t>
        </is>
      </c>
      <c r="E32" s="61" t="inlineStr">
        <is>
          <t>3Sum</t>
        </is>
      </c>
      <c r="F32" s="61" t="inlineStr">
        <is>
          <t>Medium</t>
        </is>
      </c>
      <c r="G32" s="61" t="inlineStr">
        <is>
          <t>Core</t>
        </is>
      </c>
      <c r="H32" s="61" t="inlineStr">
        <is>
          <t>LeetCode</t>
        </is>
      </c>
      <c r="I32" s="61" t="inlineStr">
        <is>
          <t>https://leetcode.com/problems/3sum/</t>
        </is>
      </c>
      <c r="J32" s="61" t="inlineStr">
        <is>
          <t>Not Started</t>
        </is>
      </c>
      <c r="K32" s="61" t="n"/>
      <c r="L32" s="61" t="n"/>
      <c r="M32" s="67" t="n"/>
      <c r="N32" s="67">
        <f>IF($M32="","",$M32+IF($K32="",Dashboard!$M$9,INDEX(Dashboard!$M$5:$M$9,$K32)))</f>
        <v/>
      </c>
      <c r="O32" s="61">
        <f>IF(OR($J32="Attempted",$J32="Revisit"),"DUE",IF($N32="","",IF($N32&lt;=TODAY(),"DUE","")))</f>
        <v/>
      </c>
      <c r="P32" s="61" t="n"/>
    </row>
    <row r="33" ht="15" customHeight="1" s="32">
      <c r="A33" s="61" t="n">
        <v>32</v>
      </c>
      <c r="B33" s="61" t="inlineStr">
        <is>
          <t>1. Foundations - Core</t>
        </is>
      </c>
      <c r="C33" s="61" t="inlineStr">
        <is>
          <t>02. Arrays &amp; Two Pointers</t>
        </is>
      </c>
      <c r="D33" s="61" t="inlineStr">
        <is>
          <t>K-Sum</t>
        </is>
      </c>
      <c r="E33" s="61" t="inlineStr">
        <is>
          <t>3Sum Closest</t>
        </is>
      </c>
      <c r="F33" s="61" t="inlineStr">
        <is>
          <t>Medium</t>
        </is>
      </c>
      <c r="G33" s="61" t="inlineStr">
        <is>
          <t>Core</t>
        </is>
      </c>
      <c r="H33" s="61" t="inlineStr">
        <is>
          <t>LeetCode</t>
        </is>
      </c>
      <c r="I33" s="61" t="inlineStr">
        <is>
          <t>https://leetcode.com/problems/3sum-closest/</t>
        </is>
      </c>
      <c r="J33" s="61" t="inlineStr">
        <is>
          <t>Not Started</t>
        </is>
      </c>
      <c r="K33" s="61" t="n"/>
      <c r="L33" s="61" t="n"/>
      <c r="M33" s="67" t="n"/>
      <c r="N33" s="67">
        <f>IF($M33="","",$M33+IF($K33="",Dashboard!$M$9,INDEX(Dashboard!$M$5:$M$9,$K33)))</f>
        <v/>
      </c>
      <c r="O33" s="61">
        <f>IF(OR($J33="Attempted",$J33="Revisit"),"DUE",IF($N33="","",IF($N33&lt;=TODAY(),"DUE","")))</f>
        <v/>
      </c>
      <c r="P33" s="61" t="inlineStr">
        <is>
          <t>v3 addition</t>
        </is>
      </c>
    </row>
    <row r="34" ht="15" customHeight="1" s="32">
      <c r="A34" s="61" t="n">
        <v>33</v>
      </c>
      <c r="B34" s="61" t="inlineStr">
        <is>
          <t>1. Foundations - Core</t>
        </is>
      </c>
      <c r="C34" s="61" t="inlineStr">
        <is>
          <t>03. Sorting &amp; Cyclic Sort</t>
        </is>
      </c>
      <c r="D34" s="61" t="inlineStr">
        <is>
          <t>Custom comparator</t>
        </is>
      </c>
      <c r="E34" s="61" t="inlineStr">
        <is>
          <t>Relative Sort Array</t>
        </is>
      </c>
      <c r="F34" s="61" t="inlineStr">
        <is>
          <t>Easy</t>
        </is>
      </c>
      <c r="G34" s="61" t="inlineStr">
        <is>
          <t>Core</t>
        </is>
      </c>
      <c r="H34" s="61" t="inlineStr">
        <is>
          <t>LeetCode</t>
        </is>
      </c>
      <c r="I34" s="61" t="inlineStr">
        <is>
          <t>https://leetcode.com/problems/relative-sort-array/</t>
        </is>
      </c>
      <c r="J34" s="61" t="inlineStr">
        <is>
          <t>Not Started</t>
        </is>
      </c>
      <c r="K34" s="61" t="n"/>
      <c r="L34" s="61" t="n"/>
      <c r="M34" s="67" t="n"/>
      <c r="N34" s="67">
        <f>IF($M34="","",$M34+IF($K34="",Dashboard!$M$9,INDEX(Dashboard!$M$5:$M$9,$K34)))</f>
        <v/>
      </c>
      <c r="O34" s="61">
        <f>IF(OR($J34="Attempted",$J34="Revisit"),"DUE",IF($N34="","",IF($N34&lt;=TODAY(),"DUE","")))</f>
        <v/>
      </c>
      <c r="P34" s="61" t="n"/>
    </row>
    <row r="35" ht="15" customHeight="1" s="32">
      <c r="A35" s="61" t="n">
        <v>34</v>
      </c>
      <c r="B35" s="61" t="inlineStr">
        <is>
          <t>1. Foundations - Core</t>
        </is>
      </c>
      <c r="C35" s="61" t="inlineStr">
        <is>
          <t>03. Sorting &amp; Cyclic Sort</t>
        </is>
      </c>
      <c r="D35" s="61" t="inlineStr">
        <is>
          <t>Custom comparator</t>
        </is>
      </c>
      <c r="E35" s="61" t="inlineStr">
        <is>
          <t>Rank Transform of an Array</t>
        </is>
      </c>
      <c r="F35" s="61" t="inlineStr">
        <is>
          <t>Easy</t>
        </is>
      </c>
      <c r="G35" s="61" t="inlineStr">
        <is>
          <t>Core</t>
        </is>
      </c>
      <c r="H35" s="61" t="inlineStr">
        <is>
          <t>LeetCode</t>
        </is>
      </c>
      <c r="I35" s="61" t="inlineStr">
        <is>
          <t>https://leetcode.com/problems/rank-transform-of-an-array/</t>
        </is>
      </c>
      <c r="J35" s="61" t="inlineStr">
        <is>
          <t>Not Started</t>
        </is>
      </c>
      <c r="K35" s="61" t="n"/>
      <c r="L35" s="61" t="n"/>
      <c r="M35" s="67" t="n"/>
      <c r="N35" s="67">
        <f>IF($M35="","",$M35+IF($K35="",Dashboard!$M$9,INDEX(Dashboard!$M$5:$M$9,$K35)))</f>
        <v/>
      </c>
      <c r="O35" s="61">
        <f>IF(OR($J35="Attempted",$J35="Revisit"),"DUE",IF($N35="","",IF($N35&lt;=TODAY(),"DUE","")))</f>
        <v/>
      </c>
      <c r="P35" s="61" t="n"/>
    </row>
    <row r="36" ht="15" customHeight="1" s="32">
      <c r="A36" s="61" t="n">
        <v>35</v>
      </c>
      <c r="B36" s="61" t="inlineStr">
        <is>
          <t>1. Foundations - Core</t>
        </is>
      </c>
      <c r="C36" s="61" t="inlineStr">
        <is>
          <t>03. Sorting &amp; Cyclic Sort</t>
        </is>
      </c>
      <c r="D36" s="61" t="inlineStr">
        <is>
          <t>Custom comparator</t>
        </is>
      </c>
      <c r="E36" s="61" t="inlineStr">
        <is>
          <t>Largest Number</t>
        </is>
      </c>
      <c r="F36" s="61" t="inlineStr">
        <is>
          <t>Medium</t>
        </is>
      </c>
      <c r="G36" s="61" t="inlineStr">
        <is>
          <t>Core</t>
        </is>
      </c>
      <c r="H36" s="61" t="inlineStr">
        <is>
          <t>LeetCode</t>
        </is>
      </c>
      <c r="I36" s="61" t="inlineStr">
        <is>
          <t>https://leetcode.com/problems/largest-number/</t>
        </is>
      </c>
      <c r="J36" s="61" t="inlineStr">
        <is>
          <t>Not Started</t>
        </is>
      </c>
      <c r="K36" s="61" t="n"/>
      <c r="L36" s="61" t="n"/>
      <c r="M36" s="67" t="n"/>
      <c r="N36" s="67">
        <f>IF($M36="","",$M36+IF($K36="",Dashboard!$M$9,INDEX(Dashboard!$M$5:$M$9,$K36)))</f>
        <v/>
      </c>
      <c r="O36" s="61">
        <f>IF(OR($J36="Attempted",$J36="Revisit"),"DUE",IF($N36="","",IF($N36&lt;=TODAY(),"DUE","")))</f>
        <v/>
      </c>
      <c r="P36" s="61" t="n"/>
    </row>
    <row r="37" ht="15" customHeight="1" s="32">
      <c r="A37" s="61" t="n">
        <v>36</v>
      </c>
      <c r="B37" s="61" t="inlineStr">
        <is>
          <t>1. Foundations - Core</t>
        </is>
      </c>
      <c r="C37" s="61" t="inlineStr">
        <is>
          <t>03. Sorting &amp; Cyclic Sort</t>
        </is>
      </c>
      <c r="D37" s="61" t="inlineStr">
        <is>
          <t>Counting sort</t>
        </is>
      </c>
      <c r="E37" s="61" t="inlineStr">
        <is>
          <t>Sort an Array by Increasing Frequency</t>
        </is>
      </c>
      <c r="F37" s="61" t="inlineStr">
        <is>
          <t>Easy</t>
        </is>
      </c>
      <c r="G37" s="61" t="inlineStr">
        <is>
          <t>Core</t>
        </is>
      </c>
      <c r="H37" s="61" t="inlineStr">
        <is>
          <t>LeetCode</t>
        </is>
      </c>
      <c r="I37" s="61" t="inlineStr">
        <is>
          <t>https://leetcode.com/problems/sort-array-by-increasing-frequency/</t>
        </is>
      </c>
      <c r="J37" s="61" t="inlineStr">
        <is>
          <t>Not Started</t>
        </is>
      </c>
      <c r="K37" s="61" t="n"/>
      <c r="L37" s="61" t="n"/>
      <c r="M37" s="67" t="n"/>
      <c r="N37" s="67">
        <f>IF($M37="","",$M37+IF($K37="",Dashboard!$M$9,INDEX(Dashboard!$M$5:$M$9,$K37)))</f>
        <v/>
      </c>
      <c r="O37" s="61">
        <f>IF(OR($J37="Attempted",$J37="Revisit"),"DUE",IF($N37="","",IF($N37&lt;=TODAY(),"DUE","")))</f>
        <v/>
      </c>
      <c r="P37" s="61" t="n"/>
    </row>
    <row r="38" ht="15" customHeight="1" s="32">
      <c r="A38" s="61" t="n">
        <v>37</v>
      </c>
      <c r="B38" s="61" t="inlineStr">
        <is>
          <t>1. Foundations - Core</t>
        </is>
      </c>
      <c r="C38" s="61" t="inlineStr">
        <is>
          <t>03. Sorting &amp; Cyclic Sort</t>
        </is>
      </c>
      <c r="D38" s="61" t="inlineStr">
        <is>
          <t>Counting sort</t>
        </is>
      </c>
      <c r="E38" s="61" t="inlineStr">
        <is>
          <t>Height Checker</t>
        </is>
      </c>
      <c r="F38" s="61" t="inlineStr">
        <is>
          <t>Easy</t>
        </is>
      </c>
      <c r="G38" s="61" t="inlineStr">
        <is>
          <t>Core</t>
        </is>
      </c>
      <c r="H38" s="61" t="inlineStr">
        <is>
          <t>LeetCode</t>
        </is>
      </c>
      <c r="I38" s="61" t="inlineStr">
        <is>
          <t>https://leetcode.com/problems/height-checker/</t>
        </is>
      </c>
      <c r="J38" s="61" t="inlineStr">
        <is>
          <t>Not Started</t>
        </is>
      </c>
      <c r="K38" s="61" t="n"/>
      <c r="L38" s="61" t="n"/>
      <c r="M38" s="67" t="n"/>
      <c r="N38" s="67">
        <f>IF($M38="","",$M38+IF($K38="",Dashboard!$M$9,INDEX(Dashboard!$M$5:$M$9,$K38)))</f>
        <v/>
      </c>
      <c r="O38" s="61">
        <f>IF(OR($J38="Attempted",$J38="Revisit"),"DUE",IF($N38="","",IF($N38&lt;=TODAY(),"DUE","")))</f>
        <v/>
      </c>
      <c r="P38" s="61" t="inlineStr">
        <is>
          <t>v3 addition</t>
        </is>
      </c>
    </row>
    <row r="39" ht="15" customHeight="1" s="32">
      <c r="A39" s="61" t="n">
        <v>38</v>
      </c>
      <c r="B39" s="61" t="inlineStr">
        <is>
          <t>1. Foundations - Core</t>
        </is>
      </c>
      <c r="C39" s="61" t="inlineStr">
        <is>
          <t>03. Sorting &amp; Cyclic Sort</t>
        </is>
      </c>
      <c r="D39" s="61" t="inlineStr">
        <is>
          <t>Counting sort</t>
        </is>
      </c>
      <c r="E39" s="61" t="inlineStr">
        <is>
          <t>Sort Even and Odd Indices Independently</t>
        </is>
      </c>
      <c r="F39" s="61" t="inlineStr">
        <is>
          <t>Easy</t>
        </is>
      </c>
      <c r="G39" s="61" t="inlineStr">
        <is>
          <t>Core</t>
        </is>
      </c>
      <c r="H39" s="61" t="inlineStr">
        <is>
          <t>LeetCode</t>
        </is>
      </c>
      <c r="I39" s="61" t="inlineStr">
        <is>
          <t>https://leetcode.com/problems/sort-even-and-odd-indices-independently/</t>
        </is>
      </c>
      <c r="J39" s="61" t="inlineStr">
        <is>
          <t>Not Started</t>
        </is>
      </c>
      <c r="K39" s="61" t="n"/>
      <c r="L39" s="61" t="n"/>
      <c r="M39" s="67" t="n"/>
      <c r="N39" s="67">
        <f>IF($M39="","",$M39+IF($K39="",Dashboard!$M$9,INDEX(Dashboard!$M$5:$M$9,$K39)))</f>
        <v/>
      </c>
      <c r="O39" s="61">
        <f>IF(OR($J39="Attempted",$J39="Revisit"),"DUE",IF($N39="","",IF($N39&lt;=TODAY(),"DUE","")))</f>
        <v/>
      </c>
      <c r="P39" s="61" t="n"/>
    </row>
    <row r="40" ht="15" customHeight="1" s="32">
      <c r="A40" s="61" t="n">
        <v>39</v>
      </c>
      <c r="B40" s="61" t="inlineStr">
        <is>
          <t>1. Foundations - Core</t>
        </is>
      </c>
      <c r="C40" s="61" t="inlineStr">
        <is>
          <t>03. Sorting &amp; Cyclic Sort</t>
        </is>
      </c>
      <c r="D40" s="61" t="inlineStr">
        <is>
          <t>Counting sort</t>
        </is>
      </c>
      <c r="E40" s="61" t="inlineStr">
        <is>
          <t>Maximum Number of Balls in a Box</t>
        </is>
      </c>
      <c r="F40" s="61" t="inlineStr">
        <is>
          <t>Easy</t>
        </is>
      </c>
      <c r="G40" s="61" t="inlineStr">
        <is>
          <t>Core</t>
        </is>
      </c>
      <c r="H40" s="61" t="inlineStr">
        <is>
          <t>LeetCode</t>
        </is>
      </c>
      <c r="I40" s="61" t="inlineStr">
        <is>
          <t>https://leetcode.com/problems/maximum-number-of-balls-in-a-box/</t>
        </is>
      </c>
      <c r="J40" s="61" t="inlineStr">
        <is>
          <t>Not Started</t>
        </is>
      </c>
      <c r="K40" s="61" t="n"/>
      <c r="L40" s="61" t="n"/>
      <c r="M40" s="67" t="n"/>
      <c r="N40" s="67">
        <f>IF($M40="","",$M40+IF($K40="",Dashboard!$M$9,INDEX(Dashboard!$M$5:$M$9,$K40)))</f>
        <v/>
      </c>
      <c r="O40" s="61">
        <f>IF(OR($J40="Attempted",$J40="Revisit"),"DUE",IF($N40="","",IF($N40&lt;=TODAY(),"DUE","")))</f>
        <v/>
      </c>
      <c r="P40" s="61" t="n"/>
    </row>
    <row r="41" ht="15" customHeight="1" s="32">
      <c r="A41" s="61" t="n">
        <v>40</v>
      </c>
      <c r="B41" s="61" t="inlineStr">
        <is>
          <t>1. Foundations - Core</t>
        </is>
      </c>
      <c r="C41" s="61" t="inlineStr">
        <is>
          <t>03. Sorting &amp; Cyclic Sort</t>
        </is>
      </c>
      <c r="D41" s="61" t="inlineStr">
        <is>
          <t>Cyclic sort</t>
        </is>
      </c>
      <c r="E41" s="61" t="inlineStr">
        <is>
          <t>Missing Number</t>
        </is>
      </c>
      <c r="F41" s="61" t="inlineStr">
        <is>
          <t>Easy</t>
        </is>
      </c>
      <c r="G41" s="61" t="inlineStr">
        <is>
          <t>Core</t>
        </is>
      </c>
      <c r="H41" s="61" t="inlineStr">
        <is>
          <t>LeetCode</t>
        </is>
      </c>
      <c r="I41" s="61" t="inlineStr">
        <is>
          <t>https://leetcode.com/problems/missing-number/</t>
        </is>
      </c>
      <c r="J41" s="61" t="inlineStr">
        <is>
          <t>Not Started</t>
        </is>
      </c>
      <c r="K41" s="61" t="n"/>
      <c r="L41" s="61" t="n"/>
      <c r="M41" s="67" t="n"/>
      <c r="N41" s="67">
        <f>IF($M41="","",$M41+IF($K41="",Dashboard!$M$9,INDEX(Dashboard!$M$5:$M$9,$K41)))</f>
        <v/>
      </c>
      <c r="O41" s="61">
        <f>IF(OR($J41="Attempted",$J41="Revisit"),"DUE",IF($N41="","",IF($N41&lt;=TODAY(),"DUE","")))</f>
        <v/>
      </c>
      <c r="P41" s="61" t="n"/>
    </row>
    <row r="42" ht="15" customHeight="1" s="32">
      <c r="A42" s="61" t="n">
        <v>41</v>
      </c>
      <c r="B42" s="61" t="inlineStr">
        <is>
          <t>1. Foundations - Core</t>
        </is>
      </c>
      <c r="C42" s="61" t="inlineStr">
        <is>
          <t>03. Sorting &amp; Cyclic Sort</t>
        </is>
      </c>
      <c r="D42" s="61" t="inlineStr">
        <is>
          <t>Cyclic sort</t>
        </is>
      </c>
      <c r="E42" s="61" t="inlineStr">
        <is>
          <t>Find All Numbers Disappeared in an Array</t>
        </is>
      </c>
      <c r="F42" s="61" t="inlineStr">
        <is>
          <t>Easy</t>
        </is>
      </c>
      <c r="G42" s="61" t="inlineStr">
        <is>
          <t>Core</t>
        </is>
      </c>
      <c r="H42" s="61" t="inlineStr">
        <is>
          <t>LeetCode</t>
        </is>
      </c>
      <c r="I42" s="61" t="inlineStr">
        <is>
          <t>https://leetcode.com/problems/find-all-numbers-disappeared-in-an-array/</t>
        </is>
      </c>
      <c r="J42" s="61" t="inlineStr">
        <is>
          <t>Not Started</t>
        </is>
      </c>
      <c r="K42" s="61" t="n"/>
      <c r="L42" s="61" t="n"/>
      <c r="M42" s="67" t="n"/>
      <c r="N42" s="67">
        <f>IF($M42="","",$M42+IF($K42="",Dashboard!$M$9,INDEX(Dashboard!$M$5:$M$9,$K42)))</f>
        <v/>
      </c>
      <c r="O42" s="61">
        <f>IF(OR($J42="Attempted",$J42="Revisit"),"DUE",IF($N42="","",IF($N42&lt;=TODAY(),"DUE","")))</f>
        <v/>
      </c>
      <c r="P42" s="61" t="n"/>
    </row>
    <row r="43" ht="15" customHeight="1" s="32">
      <c r="A43" s="61" t="n">
        <v>42</v>
      </c>
      <c r="B43" s="61" t="inlineStr">
        <is>
          <t>1. Foundations - Core</t>
        </is>
      </c>
      <c r="C43" s="61" t="inlineStr">
        <is>
          <t>03. Sorting &amp; Cyclic Sort</t>
        </is>
      </c>
      <c r="D43" s="61" t="inlineStr">
        <is>
          <t>Sorting application</t>
        </is>
      </c>
      <c r="E43" s="61" t="inlineStr">
        <is>
          <t>Largest Perimeter Triangle</t>
        </is>
      </c>
      <c r="F43" s="61" t="inlineStr">
        <is>
          <t>Easy</t>
        </is>
      </c>
      <c r="G43" s="61" t="inlineStr">
        <is>
          <t>Core</t>
        </is>
      </c>
      <c r="H43" s="61" t="inlineStr">
        <is>
          <t>LeetCode</t>
        </is>
      </c>
      <c r="I43" s="61" t="inlineStr">
        <is>
          <t>https://leetcode.com/problems/largest-perimeter-triangle/</t>
        </is>
      </c>
      <c r="J43" s="61" t="inlineStr">
        <is>
          <t>Not Started</t>
        </is>
      </c>
      <c r="K43" s="61" t="n"/>
      <c r="L43" s="61" t="n"/>
      <c r="M43" s="67" t="n"/>
      <c r="N43" s="67">
        <f>IF($M43="","",$M43+IF($K43="",Dashboard!$M$9,INDEX(Dashboard!$M$5:$M$9,$K43)))</f>
        <v/>
      </c>
      <c r="O43" s="61">
        <f>IF(OR($J43="Attempted",$J43="Revisit"),"DUE",IF($N43="","",IF($N43&lt;=TODAY(),"DUE","")))</f>
        <v/>
      </c>
      <c r="P43" s="61" t="n"/>
    </row>
    <row r="44" ht="15" customHeight="1" s="32">
      <c r="A44" s="61" t="n">
        <v>43</v>
      </c>
      <c r="B44" s="61" t="inlineStr">
        <is>
          <t>1. Foundations - Core</t>
        </is>
      </c>
      <c r="C44" s="61" t="inlineStr">
        <is>
          <t>03. Sorting &amp; Cyclic Sort</t>
        </is>
      </c>
      <c r="D44" s="61" t="inlineStr">
        <is>
          <t>Sorting application</t>
        </is>
      </c>
      <c r="E44" s="61" t="inlineStr">
        <is>
          <t>Minimum Absolute Difference</t>
        </is>
      </c>
      <c r="F44" s="61" t="inlineStr">
        <is>
          <t>Easy</t>
        </is>
      </c>
      <c r="G44" s="61" t="inlineStr">
        <is>
          <t>Core</t>
        </is>
      </c>
      <c r="H44" s="61" t="inlineStr">
        <is>
          <t>LeetCode</t>
        </is>
      </c>
      <c r="I44" s="61" t="inlineStr">
        <is>
          <t>https://leetcode.com/problems/minimum-absolute-difference/</t>
        </is>
      </c>
      <c r="J44" s="61" t="inlineStr">
        <is>
          <t>Not Started</t>
        </is>
      </c>
      <c r="K44" s="61" t="n"/>
      <c r="L44" s="61" t="n"/>
      <c r="M44" s="67" t="n"/>
      <c r="N44" s="67">
        <f>IF($M44="","",$M44+IF($K44="",Dashboard!$M$9,INDEX(Dashboard!$M$5:$M$9,$K44)))</f>
        <v/>
      </c>
      <c r="O44" s="61">
        <f>IF(OR($J44="Attempted",$J44="Revisit"),"DUE",IF($N44="","",IF($N44&lt;=TODAY(),"DUE","")))</f>
        <v/>
      </c>
      <c r="P44" s="61" t="n"/>
    </row>
    <row r="45" ht="15" customHeight="1" s="32">
      <c r="A45" s="61" t="n">
        <v>44</v>
      </c>
      <c r="B45" s="61" t="inlineStr">
        <is>
          <t>1. Foundations - Core</t>
        </is>
      </c>
      <c r="C45" s="61" t="inlineStr">
        <is>
          <t>03. Sorting &amp; Cyclic Sort</t>
        </is>
      </c>
      <c r="D45" s="61" t="inlineStr">
        <is>
          <t>Sorting application</t>
        </is>
      </c>
      <c r="E45" s="61" t="inlineStr">
        <is>
          <t>H-Index</t>
        </is>
      </c>
      <c r="F45" s="61" t="inlineStr">
        <is>
          <t>Medium</t>
        </is>
      </c>
      <c r="G45" s="61" t="inlineStr">
        <is>
          <t>Core</t>
        </is>
      </c>
      <c r="H45" s="61" t="inlineStr">
        <is>
          <t>LeetCode</t>
        </is>
      </c>
      <c r="I45" s="61" t="inlineStr">
        <is>
          <t>https://leetcode.com/problems/h-index/</t>
        </is>
      </c>
      <c r="J45" s="61" t="inlineStr">
        <is>
          <t>Not Started</t>
        </is>
      </c>
      <c r="K45" s="61" t="n"/>
      <c r="L45" s="61" t="n"/>
      <c r="M45" s="67" t="n"/>
      <c r="N45" s="67">
        <f>IF($M45="","",$M45+IF($K45="",Dashboard!$M$9,INDEX(Dashboard!$M$5:$M$9,$K45)))</f>
        <v/>
      </c>
      <c r="O45" s="61">
        <f>IF(OR($J45="Attempted",$J45="Revisit"),"DUE",IF($N45="","",IF($N45&lt;=TODAY(),"DUE","")))</f>
        <v/>
      </c>
      <c r="P45" s="61" t="n"/>
    </row>
    <row r="46" ht="15" customHeight="1" s="32">
      <c r="A46" s="61" t="n">
        <v>45</v>
      </c>
      <c r="B46" s="61" t="inlineStr">
        <is>
          <t>1. Foundations - Core</t>
        </is>
      </c>
      <c r="C46" s="61" t="inlineStr">
        <is>
          <t>03. Sorting &amp; Cyclic Sort</t>
        </is>
      </c>
      <c r="D46" s="61" t="inlineStr">
        <is>
          <t>Sorting application</t>
        </is>
      </c>
      <c r="E46" s="61" t="inlineStr">
        <is>
          <t>Wiggle Sort</t>
        </is>
      </c>
      <c r="F46" s="61" t="inlineStr">
        <is>
          <t>Medium</t>
        </is>
      </c>
      <c r="G46" s="61" t="inlineStr">
        <is>
          <t>Core</t>
        </is>
      </c>
      <c r="H46" s="61" t="inlineStr">
        <is>
          <t>LeetCode</t>
        </is>
      </c>
      <c r="I46" s="61" t="inlineStr">
        <is>
          <t>https://leetcode.com/problems/wiggle-sort/</t>
        </is>
      </c>
      <c r="J46" s="61" t="inlineStr">
        <is>
          <t>Not Started</t>
        </is>
      </c>
      <c r="K46" s="61" t="n"/>
      <c r="L46" s="61" t="n"/>
      <c r="M46" s="67" t="n"/>
      <c r="N46" s="67">
        <f>IF($M46="","",$M46+IF($K46="",Dashboard!$M$9,INDEX(Dashboard!$M$5:$M$9,$K46)))</f>
        <v/>
      </c>
      <c r="O46" s="61">
        <f>IF(OR($J46="Attempted",$J46="Revisit"),"DUE",IF($N46="","",IF($N46&lt;=TODAY(),"DUE","")))</f>
        <v/>
      </c>
      <c r="P46" s="61" t="n"/>
    </row>
    <row r="47" ht="15" customHeight="1" s="32">
      <c r="A47" s="61" t="n">
        <v>46</v>
      </c>
      <c r="B47" s="61" t="inlineStr">
        <is>
          <t>1. Foundations - Core</t>
        </is>
      </c>
      <c r="C47" s="61" t="inlineStr">
        <is>
          <t>04. Hashing</t>
        </is>
      </c>
      <c r="D47" s="61" t="inlineStr">
        <is>
          <t>Set basics</t>
        </is>
      </c>
      <c r="E47" s="61" t="inlineStr">
        <is>
          <t>Contains Duplicate</t>
        </is>
      </c>
      <c r="F47" s="61" t="inlineStr">
        <is>
          <t>Easy</t>
        </is>
      </c>
      <c r="G47" s="61" t="inlineStr">
        <is>
          <t>Core</t>
        </is>
      </c>
      <c r="H47" s="61" t="inlineStr">
        <is>
          <t>LeetCode</t>
        </is>
      </c>
      <c r="I47" s="61" t="inlineStr">
        <is>
          <t>https://leetcode.com/problems/contains-duplicate/</t>
        </is>
      </c>
      <c r="J47" s="61" t="inlineStr">
        <is>
          <t>Not Started</t>
        </is>
      </c>
      <c r="K47" s="61" t="n"/>
      <c r="L47" s="61" t="n"/>
      <c r="M47" s="67" t="n"/>
      <c r="N47" s="67">
        <f>IF($M47="","",$M47+IF($K47="",Dashboard!$M$9,INDEX(Dashboard!$M$5:$M$9,$K47)))</f>
        <v/>
      </c>
      <c r="O47" s="61">
        <f>IF(OR($J47="Attempted",$J47="Revisit"),"DUE",IF($N47="","",IF($N47&lt;=TODAY(),"DUE","")))</f>
        <v/>
      </c>
      <c r="P47" s="61" t="n"/>
    </row>
    <row r="48" ht="15" customHeight="1" s="32">
      <c r="A48" s="61" t="n">
        <v>47</v>
      </c>
      <c r="B48" s="61" t="inlineStr">
        <is>
          <t>1. Foundations - Core</t>
        </is>
      </c>
      <c r="C48" s="61" t="inlineStr">
        <is>
          <t>04. Hashing</t>
        </is>
      </c>
      <c r="D48" s="61" t="inlineStr">
        <is>
          <t>Set basics</t>
        </is>
      </c>
      <c r="E48" s="61" t="inlineStr">
        <is>
          <t>Contains Duplicate II</t>
        </is>
      </c>
      <c r="F48" s="61" t="inlineStr">
        <is>
          <t>Easy</t>
        </is>
      </c>
      <c r="G48" s="61" t="inlineStr">
        <is>
          <t>Core</t>
        </is>
      </c>
      <c r="H48" s="61" t="inlineStr">
        <is>
          <t>LeetCode</t>
        </is>
      </c>
      <c r="I48" s="61" t="inlineStr">
        <is>
          <t>https://leetcode.com/problems/contains-duplicate-ii/</t>
        </is>
      </c>
      <c r="J48" s="61" t="inlineStr">
        <is>
          <t>Not Started</t>
        </is>
      </c>
      <c r="K48" s="61" t="n"/>
      <c r="L48" s="61" t="n"/>
      <c r="M48" s="67" t="n"/>
      <c r="N48" s="67">
        <f>IF($M48="","",$M48+IF($K48="",Dashboard!$M$9,INDEX(Dashboard!$M$5:$M$9,$K48)))</f>
        <v/>
      </c>
      <c r="O48" s="61">
        <f>IF(OR($J48="Attempted",$J48="Revisit"),"DUE",IF($N48="","",IF($N48&lt;=TODAY(),"DUE","")))</f>
        <v/>
      </c>
      <c r="P48" s="61" t="n"/>
    </row>
    <row r="49" ht="15" customHeight="1" s="32">
      <c r="A49" s="61" t="n">
        <v>48</v>
      </c>
      <c r="B49" s="61" t="inlineStr">
        <is>
          <t>1. Foundations - Core</t>
        </is>
      </c>
      <c r="C49" s="61" t="inlineStr">
        <is>
          <t>04. Hashing</t>
        </is>
      </c>
      <c r="D49" s="61" t="inlineStr">
        <is>
          <t>Set basics</t>
        </is>
      </c>
      <c r="E49" s="61" t="inlineStr">
        <is>
          <t>Unique Number of Occurrences</t>
        </is>
      </c>
      <c r="F49" s="61" t="inlineStr">
        <is>
          <t>Easy</t>
        </is>
      </c>
      <c r="G49" s="61" t="inlineStr">
        <is>
          <t>Core</t>
        </is>
      </c>
      <c r="H49" s="61" t="inlineStr">
        <is>
          <t>LeetCode</t>
        </is>
      </c>
      <c r="I49" s="61" t="inlineStr">
        <is>
          <t>https://leetcode.com/problems/unique-number-of-occurrences/</t>
        </is>
      </c>
      <c r="J49" s="61" t="inlineStr">
        <is>
          <t>Not Started</t>
        </is>
      </c>
      <c r="K49" s="61" t="n"/>
      <c r="L49" s="61" t="n"/>
      <c r="M49" s="67" t="n"/>
      <c r="N49" s="67">
        <f>IF($M49="","",$M49+IF($K49="",Dashboard!$M$9,INDEX(Dashboard!$M$5:$M$9,$K49)))</f>
        <v/>
      </c>
      <c r="O49" s="61">
        <f>IF(OR($J49="Attempted",$J49="Revisit"),"DUE",IF($N49="","",IF($N49&lt;=TODAY(),"DUE","")))</f>
        <v/>
      </c>
      <c r="P49" s="61" t="n"/>
    </row>
    <row r="50" ht="15" customHeight="1" s="32">
      <c r="A50" s="61" t="n">
        <v>49</v>
      </c>
      <c r="B50" s="61" t="inlineStr">
        <is>
          <t>1. Foundations - Core</t>
        </is>
      </c>
      <c r="C50" s="61" t="inlineStr">
        <is>
          <t>04. Hashing</t>
        </is>
      </c>
      <c r="D50" s="61" t="inlineStr">
        <is>
          <t>Set basics</t>
        </is>
      </c>
      <c r="E50" s="61" t="inlineStr">
        <is>
          <t>Check If N and Its Double Exist</t>
        </is>
      </c>
      <c r="F50" s="61" t="inlineStr">
        <is>
          <t>Easy</t>
        </is>
      </c>
      <c r="G50" s="61" t="inlineStr">
        <is>
          <t>Core</t>
        </is>
      </c>
      <c r="H50" s="61" t="inlineStr">
        <is>
          <t>LeetCode</t>
        </is>
      </c>
      <c r="I50" s="61" t="inlineStr">
        <is>
          <t>https://leetcode.com/problems/check-if-n-and-its-double-exist/</t>
        </is>
      </c>
      <c r="J50" s="61" t="inlineStr">
        <is>
          <t>Not Started</t>
        </is>
      </c>
      <c r="K50" s="61" t="n"/>
      <c r="L50" s="61" t="n"/>
      <c r="M50" s="67" t="n"/>
      <c r="N50" s="67">
        <f>IF($M50="","",$M50+IF($K50="",Dashboard!$M$9,INDEX(Dashboard!$M$5:$M$9,$K50)))</f>
        <v/>
      </c>
      <c r="O50" s="61">
        <f>IF(OR($J50="Attempted",$J50="Revisit"),"DUE",IF($N50="","",IF($N50&lt;=TODAY(),"DUE","")))</f>
        <v/>
      </c>
      <c r="P50" s="61" t="n"/>
    </row>
    <row r="51" ht="15" customHeight="1" s="32">
      <c r="A51" s="61" t="n">
        <v>50</v>
      </c>
      <c r="B51" s="61" t="inlineStr">
        <is>
          <t>1. Foundations - Core</t>
        </is>
      </c>
      <c r="C51" s="61" t="inlineStr">
        <is>
          <t>04. Hashing</t>
        </is>
      </c>
      <c r="D51" s="61" t="inlineStr">
        <is>
          <t>Complement lookup</t>
        </is>
      </c>
      <c r="E51" s="61" t="inlineStr">
        <is>
          <t>Two Sum</t>
        </is>
      </c>
      <c r="F51" s="61" t="inlineStr">
        <is>
          <t>Easy</t>
        </is>
      </c>
      <c r="G51" s="61" t="inlineStr">
        <is>
          <t>Core</t>
        </is>
      </c>
      <c r="H51" s="61" t="inlineStr">
        <is>
          <t>LeetCode</t>
        </is>
      </c>
      <c r="I51" s="61" t="inlineStr">
        <is>
          <t>https://leetcode.com/problems/two-sum/</t>
        </is>
      </c>
      <c r="J51" s="61" t="inlineStr">
        <is>
          <t>Not Started</t>
        </is>
      </c>
      <c r="K51" s="61" t="n"/>
      <c r="L51" s="61" t="n"/>
      <c r="M51" s="67" t="n"/>
      <c r="N51" s="67">
        <f>IF($M51="","",$M51+IF($K51="",Dashboard!$M$9,INDEX(Dashboard!$M$5:$M$9,$K51)))</f>
        <v/>
      </c>
      <c r="O51" s="61">
        <f>IF(OR($J51="Attempted",$J51="Revisit"),"DUE",IF($N51="","",IF($N51&lt;=TODAY(),"DUE","")))</f>
        <v/>
      </c>
      <c r="P51" s="61" t="n"/>
    </row>
    <row r="52" ht="15" customHeight="1" s="32">
      <c r="A52" s="61" t="n">
        <v>51</v>
      </c>
      <c r="B52" s="61" t="inlineStr">
        <is>
          <t>1. Foundations - Core</t>
        </is>
      </c>
      <c r="C52" s="61" t="inlineStr">
        <is>
          <t>04. Hashing</t>
        </is>
      </c>
      <c r="D52" s="61" t="inlineStr">
        <is>
          <t>Frequency map</t>
        </is>
      </c>
      <c r="E52" s="61" t="inlineStr">
        <is>
          <t>First Unique Character in a String</t>
        </is>
      </c>
      <c r="F52" s="61" t="inlineStr">
        <is>
          <t>Easy</t>
        </is>
      </c>
      <c r="G52" s="61" t="inlineStr">
        <is>
          <t>Core</t>
        </is>
      </c>
      <c r="H52" s="61" t="inlineStr">
        <is>
          <t>LeetCode</t>
        </is>
      </c>
      <c r="I52" s="61" t="inlineStr">
        <is>
          <t>https://leetcode.com/problems/first-unique-character-in-a-string/</t>
        </is>
      </c>
      <c r="J52" s="61" t="inlineStr">
        <is>
          <t>Not Started</t>
        </is>
      </c>
      <c r="K52" s="61" t="n"/>
      <c r="L52" s="61" t="n"/>
      <c r="M52" s="67" t="n"/>
      <c r="N52" s="67">
        <f>IF($M52="","",$M52+IF($K52="",Dashboard!$M$9,INDEX(Dashboard!$M$5:$M$9,$K52)))</f>
        <v/>
      </c>
      <c r="O52" s="61">
        <f>IF(OR($J52="Attempted",$J52="Revisit"),"DUE",IF($N52="","",IF($N52&lt;=TODAY(),"DUE","")))</f>
        <v/>
      </c>
      <c r="P52" s="61" t="n"/>
    </row>
    <row r="53" ht="15" customHeight="1" s="32">
      <c r="A53" s="61" t="n">
        <v>52</v>
      </c>
      <c r="B53" s="61" t="inlineStr">
        <is>
          <t>1. Foundations - Core</t>
        </is>
      </c>
      <c r="C53" s="61" t="inlineStr">
        <is>
          <t>04. Hashing</t>
        </is>
      </c>
      <c r="D53" s="61" t="inlineStr">
        <is>
          <t>Frequency map</t>
        </is>
      </c>
      <c r="E53" s="61" t="inlineStr">
        <is>
          <t>Ransom Note</t>
        </is>
      </c>
      <c r="F53" s="61" t="inlineStr">
        <is>
          <t>Easy</t>
        </is>
      </c>
      <c r="G53" s="61" t="inlineStr">
        <is>
          <t>Core</t>
        </is>
      </c>
      <c r="H53" s="61" t="inlineStr">
        <is>
          <t>LeetCode</t>
        </is>
      </c>
      <c r="I53" s="61" t="inlineStr">
        <is>
          <t>https://leetcode.com/problems/ransom-note/</t>
        </is>
      </c>
      <c r="J53" s="61" t="inlineStr">
        <is>
          <t>Not Started</t>
        </is>
      </c>
      <c r="K53" s="61" t="n"/>
      <c r="L53" s="61" t="n"/>
      <c r="M53" s="67" t="n"/>
      <c r="N53" s="67">
        <f>IF($M53="","",$M53+IF($K53="",Dashboard!$M$9,INDEX(Dashboard!$M$5:$M$9,$K53)))</f>
        <v/>
      </c>
      <c r="O53" s="61">
        <f>IF(OR($J53="Attempted",$J53="Revisit"),"DUE",IF($N53="","",IF($N53&lt;=TODAY(),"DUE","")))</f>
        <v/>
      </c>
      <c r="P53" s="61" t="n"/>
    </row>
    <row r="54" ht="15" customHeight="1" s="32">
      <c r="A54" s="61" t="n">
        <v>53</v>
      </c>
      <c r="B54" s="61" t="inlineStr">
        <is>
          <t>1. Foundations - Core</t>
        </is>
      </c>
      <c r="C54" s="61" t="inlineStr">
        <is>
          <t>04. Hashing</t>
        </is>
      </c>
      <c r="D54" s="61" t="inlineStr">
        <is>
          <t>Set + scan</t>
        </is>
      </c>
      <c r="E54" s="61" t="inlineStr">
        <is>
          <t>Distribute Candies</t>
        </is>
      </c>
      <c r="F54" s="61" t="inlineStr">
        <is>
          <t>Easy</t>
        </is>
      </c>
      <c r="G54" s="61" t="inlineStr">
        <is>
          <t>Core</t>
        </is>
      </c>
      <c r="H54" s="61" t="inlineStr">
        <is>
          <t>LeetCode</t>
        </is>
      </c>
      <c r="I54" s="61" t="inlineStr">
        <is>
          <t>https://leetcode.com/problems/distribute-candies/</t>
        </is>
      </c>
      <c r="J54" s="61" t="inlineStr">
        <is>
          <t>Not Started</t>
        </is>
      </c>
      <c r="K54" s="61" t="n"/>
      <c r="L54" s="61" t="n"/>
      <c r="M54" s="67" t="n"/>
      <c r="N54" s="67">
        <f>IF($M54="","",$M54+IF($K54="",Dashboard!$M$9,INDEX(Dashboard!$M$5:$M$9,$K54)))</f>
        <v/>
      </c>
      <c r="O54" s="61">
        <f>IF(OR($J54="Attempted",$J54="Revisit"),"DUE",IF($N54="","",IF($N54&lt;=TODAY(),"DUE","")))</f>
        <v/>
      </c>
      <c r="P54" s="61" t="inlineStr">
        <is>
          <t>v3 addition</t>
        </is>
      </c>
    </row>
    <row r="55" ht="15" customHeight="1" s="32">
      <c r="A55" s="61" t="n">
        <v>54</v>
      </c>
      <c r="B55" s="61" t="inlineStr">
        <is>
          <t>1. Foundations - Core</t>
        </is>
      </c>
      <c r="C55" s="61" t="inlineStr">
        <is>
          <t>04. Hashing</t>
        </is>
      </c>
      <c r="D55" s="61" t="inlineStr">
        <is>
          <t>Set + scan</t>
        </is>
      </c>
      <c r="E55" s="61" t="inlineStr">
        <is>
          <t>Maximum Number of Pairs in Array</t>
        </is>
      </c>
      <c r="F55" s="61" t="inlineStr">
        <is>
          <t>Easy</t>
        </is>
      </c>
      <c r="G55" s="61" t="inlineStr">
        <is>
          <t>Core</t>
        </is>
      </c>
      <c r="H55" s="61" t="inlineStr">
        <is>
          <t>LeetCode</t>
        </is>
      </c>
      <c r="I55" s="61" t="inlineStr">
        <is>
          <t>https://leetcode.com/problems/maximum-number-of-pairs-in-array/</t>
        </is>
      </c>
      <c r="J55" s="61" t="inlineStr">
        <is>
          <t>Not Started</t>
        </is>
      </c>
      <c r="K55" s="61" t="n"/>
      <c r="L55" s="61" t="n"/>
      <c r="M55" s="67" t="n"/>
      <c r="N55" s="67">
        <f>IF($M55="","",$M55+IF($K55="",Dashboard!$M$9,INDEX(Dashboard!$M$5:$M$9,$K55)))</f>
        <v/>
      </c>
      <c r="O55" s="61">
        <f>IF(OR($J55="Attempted",$J55="Revisit"),"DUE",IF($N55="","",IF($N55&lt;=TODAY(),"DUE","")))</f>
        <v/>
      </c>
      <c r="P55" s="61" t="n"/>
    </row>
    <row r="56" ht="15" customHeight="1" s="32">
      <c r="A56" s="61" t="n">
        <v>55</v>
      </c>
      <c r="B56" s="61" t="inlineStr">
        <is>
          <t>1. Foundations - Core</t>
        </is>
      </c>
      <c r="C56" s="61" t="inlineStr">
        <is>
          <t>04. Hashing</t>
        </is>
      </c>
      <c r="D56" s="61" t="inlineStr">
        <is>
          <t>Set + scan</t>
        </is>
      </c>
      <c r="E56" s="61" t="inlineStr">
        <is>
          <t>Longest Harmonious Subsequence</t>
        </is>
      </c>
      <c r="F56" s="61" t="inlineStr">
        <is>
          <t>Easy</t>
        </is>
      </c>
      <c r="G56" s="61" t="inlineStr">
        <is>
          <t>Core</t>
        </is>
      </c>
      <c r="H56" s="61" t="inlineStr">
        <is>
          <t>LeetCode</t>
        </is>
      </c>
      <c r="I56" s="61" t="inlineStr">
        <is>
          <t>https://leetcode.com/problems/longest-harmonious-subsequence/</t>
        </is>
      </c>
      <c r="J56" s="61" t="inlineStr">
        <is>
          <t>Not Started</t>
        </is>
      </c>
      <c r="K56" s="61" t="n"/>
      <c r="L56" s="61" t="n"/>
      <c r="M56" s="67" t="n"/>
      <c r="N56" s="67">
        <f>IF($M56="","",$M56+IF($K56="",Dashboard!$M$9,INDEX(Dashboard!$M$5:$M$9,$K56)))</f>
        <v/>
      </c>
      <c r="O56" s="61">
        <f>IF(OR($J56="Attempted",$J56="Revisit"),"DUE",IF($N56="","",IF($N56&lt;=TODAY(),"DUE","")))</f>
        <v/>
      </c>
      <c r="P56" s="61" t="n"/>
    </row>
    <row r="57" ht="15" customHeight="1" s="32">
      <c r="A57" s="61" t="n">
        <v>56</v>
      </c>
      <c r="B57" s="61" t="inlineStr">
        <is>
          <t>1. Foundations - Core</t>
        </is>
      </c>
      <c r="C57" s="61" t="inlineStr">
        <is>
          <t>04. Hashing</t>
        </is>
      </c>
      <c r="D57" s="61" t="inlineStr">
        <is>
          <t>Set + scan</t>
        </is>
      </c>
      <c r="E57" s="61" t="inlineStr">
        <is>
          <t>Longest Consecutive Sequence</t>
        </is>
      </c>
      <c r="F57" s="61" t="inlineStr">
        <is>
          <t>Medium</t>
        </is>
      </c>
      <c r="G57" s="61" t="inlineStr">
        <is>
          <t>Core</t>
        </is>
      </c>
      <c r="H57" s="61" t="inlineStr">
        <is>
          <t>LeetCode</t>
        </is>
      </c>
      <c r="I57" s="61" t="inlineStr">
        <is>
          <t>https://leetcode.com/problems/longest-consecutive-sequence/</t>
        </is>
      </c>
      <c r="J57" s="61" t="inlineStr">
        <is>
          <t>Not Started</t>
        </is>
      </c>
      <c r="K57" s="61" t="n"/>
      <c r="L57" s="61" t="n"/>
      <c r="M57" s="67" t="n"/>
      <c r="N57" s="67">
        <f>IF($M57="","",$M57+IF($K57="",Dashboard!$M$9,INDEX(Dashboard!$M$5:$M$9,$K57)))</f>
        <v/>
      </c>
      <c r="O57" s="61">
        <f>IF(OR($J57="Attempted",$J57="Revisit"),"DUE",IF($N57="","",IF($N57&lt;=TODAY(),"DUE","")))</f>
        <v/>
      </c>
      <c r="P57" s="61" t="n"/>
    </row>
    <row r="58" ht="15" customHeight="1" s="32">
      <c r="A58" s="61" t="n">
        <v>57</v>
      </c>
      <c r="B58" s="61" t="inlineStr">
        <is>
          <t>1. Foundations - Core</t>
        </is>
      </c>
      <c r="C58" s="61" t="inlineStr">
        <is>
          <t>04. Hashing</t>
        </is>
      </c>
      <c r="D58" s="61" t="inlineStr">
        <is>
          <t>Cycle detection</t>
        </is>
      </c>
      <c r="E58" s="61" t="inlineStr">
        <is>
          <t>Happy Number</t>
        </is>
      </c>
      <c r="F58" s="61" t="inlineStr">
        <is>
          <t>Easy</t>
        </is>
      </c>
      <c r="G58" s="61" t="inlineStr">
        <is>
          <t>Core</t>
        </is>
      </c>
      <c r="H58" s="61" t="inlineStr">
        <is>
          <t>LeetCode</t>
        </is>
      </c>
      <c r="I58" s="61" t="inlineStr">
        <is>
          <t>https://leetcode.com/problems/happy-number/</t>
        </is>
      </c>
      <c r="J58" s="61" t="inlineStr">
        <is>
          <t>Not Started</t>
        </is>
      </c>
      <c r="K58" s="61" t="n"/>
      <c r="L58" s="61" t="n"/>
      <c r="M58" s="67" t="n"/>
      <c r="N58" s="67">
        <f>IF($M58="","",$M58+IF($K58="",Dashboard!$M$9,INDEX(Dashboard!$M$5:$M$9,$K58)))</f>
        <v/>
      </c>
      <c r="O58" s="61">
        <f>IF(OR($J58="Attempted",$J58="Revisit"),"DUE",IF($N58="","",IF($N58&lt;=TODAY(),"DUE","")))</f>
        <v/>
      </c>
      <c r="P58" s="61" t="n"/>
    </row>
    <row r="59" ht="15" customHeight="1" s="32">
      <c r="A59" s="61" t="n">
        <v>58</v>
      </c>
      <c r="B59" s="61" t="inlineStr">
        <is>
          <t>1. Foundations - Core</t>
        </is>
      </c>
      <c r="C59" s="61" t="inlineStr">
        <is>
          <t>04. Hashing</t>
        </is>
      </c>
      <c r="D59" s="61" t="inlineStr">
        <is>
          <t>Grid hashing</t>
        </is>
      </c>
      <c r="E59" s="61" t="inlineStr">
        <is>
          <t>Number of Equivalent Domino Pairs</t>
        </is>
      </c>
      <c r="F59" s="61" t="inlineStr">
        <is>
          <t>Easy</t>
        </is>
      </c>
      <c r="G59" s="61" t="inlineStr">
        <is>
          <t>Core</t>
        </is>
      </c>
      <c r="H59" s="61" t="inlineStr">
        <is>
          <t>LeetCode</t>
        </is>
      </c>
      <c r="I59" s="61" t="inlineStr">
        <is>
          <t>https://leetcode.com/problems/number-of-equivalent-domino-pairs/</t>
        </is>
      </c>
      <c r="J59" s="61" t="inlineStr">
        <is>
          <t>Not Started</t>
        </is>
      </c>
      <c r="K59" s="61" t="n"/>
      <c r="L59" s="61" t="n"/>
      <c r="M59" s="67" t="n"/>
      <c r="N59" s="67">
        <f>IF($M59="","",$M59+IF($K59="",Dashboard!$M$9,INDEX(Dashboard!$M$5:$M$9,$K59)))</f>
        <v/>
      </c>
      <c r="O59" s="61">
        <f>IF(OR($J59="Attempted",$J59="Revisit"),"DUE",IF($N59="","",IF($N59&lt;=TODAY(),"DUE","")))</f>
        <v/>
      </c>
      <c r="P59" s="61" t="n"/>
    </row>
    <row r="60" ht="15" customHeight="1" s="32">
      <c r="A60" s="61" t="n">
        <v>59</v>
      </c>
      <c r="B60" s="61" t="inlineStr">
        <is>
          <t>1. Foundations - Core</t>
        </is>
      </c>
      <c r="C60" s="61" t="inlineStr">
        <is>
          <t>04. Hashing</t>
        </is>
      </c>
      <c r="D60" s="61" t="inlineStr">
        <is>
          <t>Grid hashing</t>
        </is>
      </c>
      <c r="E60" s="61" t="inlineStr">
        <is>
          <t>Check if Every Row and Column Contains All Numbers</t>
        </is>
      </c>
      <c r="F60" s="61" t="inlineStr">
        <is>
          <t>Easy</t>
        </is>
      </c>
      <c r="G60" s="61" t="inlineStr">
        <is>
          <t>Core</t>
        </is>
      </c>
      <c r="H60" s="61" t="inlineStr">
        <is>
          <t>LeetCode</t>
        </is>
      </c>
      <c r="I60" s="61" t="inlineStr">
        <is>
          <t>https://leetcode.com/problems/check-if-every-row-and-column-contains-all-numbers/</t>
        </is>
      </c>
      <c r="J60" s="61" t="inlineStr">
        <is>
          <t>Not Started</t>
        </is>
      </c>
      <c r="K60" s="61" t="n"/>
      <c r="L60" s="61" t="n"/>
      <c r="M60" s="67" t="n"/>
      <c r="N60" s="67">
        <f>IF($M60="","",$M60+IF($K60="",Dashboard!$M$9,INDEX(Dashboard!$M$5:$M$9,$K60)))</f>
        <v/>
      </c>
      <c r="O60" s="61">
        <f>IF(OR($J60="Attempted",$J60="Revisit"),"DUE",IF($N60="","",IF($N60&lt;=TODAY(),"DUE","")))</f>
        <v/>
      </c>
      <c r="P60" s="61" t="inlineStr">
        <is>
          <t>v3 addition</t>
        </is>
      </c>
    </row>
    <row r="61" ht="15" customHeight="1" s="32">
      <c r="A61" s="61" t="n">
        <v>60</v>
      </c>
      <c r="B61" s="61" t="inlineStr">
        <is>
          <t>1. Foundations - Core</t>
        </is>
      </c>
      <c r="C61" s="61" t="inlineStr">
        <is>
          <t>04. Hashing</t>
        </is>
      </c>
      <c r="D61" s="61" t="inlineStr">
        <is>
          <t>Grid hashing</t>
        </is>
      </c>
      <c r="E61" s="61" t="inlineStr">
        <is>
          <t>Valid Sudoku</t>
        </is>
      </c>
      <c r="F61" s="61" t="inlineStr">
        <is>
          <t>Medium</t>
        </is>
      </c>
      <c r="G61" s="61" t="inlineStr">
        <is>
          <t>Core</t>
        </is>
      </c>
      <c r="H61" s="61" t="inlineStr">
        <is>
          <t>LeetCode</t>
        </is>
      </c>
      <c r="I61" s="61" t="inlineStr">
        <is>
          <t>https://leetcode.com/problems/valid-sudoku/</t>
        </is>
      </c>
      <c r="J61" s="61" t="inlineStr">
        <is>
          <t>Not Started</t>
        </is>
      </c>
      <c r="K61" s="61" t="n"/>
      <c r="L61" s="61" t="n"/>
      <c r="M61" s="67" t="n"/>
      <c r="N61" s="67">
        <f>IF($M61="","",$M61+IF($K61="",Dashboard!$M$9,INDEX(Dashboard!$M$5:$M$9,$K61)))</f>
        <v/>
      </c>
      <c r="O61" s="61">
        <f>IF(OR($J61="Attempted",$J61="Revisit"),"DUE",IF($N61="","",IF($N61&lt;=TODAY(),"DUE","")))</f>
        <v/>
      </c>
      <c r="P61" s="61" t="n"/>
    </row>
    <row r="62" ht="15" customHeight="1" s="32">
      <c r="A62" s="61" t="n">
        <v>61</v>
      </c>
      <c r="B62" s="61" t="inlineStr">
        <is>
          <t>1. Foundations - Core</t>
        </is>
      </c>
      <c r="C62" s="61" t="inlineStr">
        <is>
          <t>04. Hashing</t>
        </is>
      </c>
      <c r="D62" s="61" t="inlineStr">
        <is>
          <t>Line hashing</t>
        </is>
      </c>
      <c r="E62" s="61" t="inlineStr">
        <is>
          <t>Check If It Is a Straight Line</t>
        </is>
      </c>
      <c r="F62" s="61" t="inlineStr">
        <is>
          <t>Easy</t>
        </is>
      </c>
      <c r="G62" s="61" t="inlineStr">
        <is>
          <t>Core</t>
        </is>
      </c>
      <c r="H62" s="61" t="inlineStr">
        <is>
          <t>LeetCode</t>
        </is>
      </c>
      <c r="I62" s="61" t="inlineStr">
        <is>
          <t>https://leetcode.com/problems/check-if-it-is-a-straight-line/</t>
        </is>
      </c>
      <c r="J62" s="61" t="inlineStr">
        <is>
          <t>Not Started</t>
        </is>
      </c>
      <c r="K62" s="61" t="n"/>
      <c r="L62" s="61" t="n"/>
      <c r="M62" s="67" t="n"/>
      <c r="N62" s="67">
        <f>IF($M62="","",$M62+IF($K62="",Dashboard!$M$9,INDEX(Dashboard!$M$5:$M$9,$K62)))</f>
        <v/>
      </c>
      <c r="O62" s="61">
        <f>IF(OR($J62="Attempted",$J62="Revisit"),"DUE",IF($N62="","",IF($N62&lt;=TODAY(),"DUE","")))</f>
        <v/>
      </c>
      <c r="P62" s="61" t="n"/>
    </row>
    <row r="63" ht="15" customHeight="1" s="32">
      <c r="A63" s="61" t="n">
        <v>62</v>
      </c>
      <c r="B63" s="61" t="inlineStr">
        <is>
          <t>1. Foundations - Core</t>
        </is>
      </c>
      <c r="C63" s="61" t="inlineStr">
        <is>
          <t>04. Hashing</t>
        </is>
      </c>
      <c r="D63" s="61" t="inlineStr">
        <is>
          <t>Line hashing</t>
        </is>
      </c>
      <c r="E63" s="61" t="inlineStr">
        <is>
          <t>Brick Wall</t>
        </is>
      </c>
      <c r="F63" s="61" t="inlineStr">
        <is>
          <t>Medium</t>
        </is>
      </c>
      <c r="G63" s="61" t="inlineStr">
        <is>
          <t>Core</t>
        </is>
      </c>
      <c r="H63" s="61" t="inlineStr">
        <is>
          <t>LeetCode</t>
        </is>
      </c>
      <c r="I63" s="61" t="inlineStr">
        <is>
          <t>https://leetcode.com/problems/brick-wall/</t>
        </is>
      </c>
      <c r="J63" s="61" t="inlineStr">
        <is>
          <t>Not Started</t>
        </is>
      </c>
      <c r="K63" s="61" t="n"/>
      <c r="L63" s="61" t="n"/>
      <c r="M63" s="67" t="n"/>
      <c r="N63" s="67">
        <f>IF($M63="","",$M63+IF($K63="",Dashboard!$M$9,INDEX(Dashboard!$M$5:$M$9,$K63)))</f>
        <v/>
      </c>
      <c r="O63" s="61">
        <f>IF(OR($J63="Attempted",$J63="Revisit"),"DUE",IF($N63="","",IF($N63&lt;=TODAY(),"DUE","")))</f>
        <v/>
      </c>
      <c r="P63" s="61" t="inlineStr">
        <is>
          <t>v3 addition</t>
        </is>
      </c>
    </row>
    <row r="64" ht="15" customHeight="1" s="32">
      <c r="A64" s="61" t="n">
        <v>63</v>
      </c>
      <c r="B64" s="61" t="inlineStr">
        <is>
          <t>1. Foundations - Core</t>
        </is>
      </c>
      <c r="C64" s="61" t="inlineStr">
        <is>
          <t>04. Hashing</t>
        </is>
      </c>
      <c r="D64" s="61" t="inlineStr">
        <is>
          <t>Meet in the middle</t>
        </is>
      </c>
      <c r="E64" s="61" t="inlineStr">
        <is>
          <t>4Sum II</t>
        </is>
      </c>
      <c r="F64" s="61" t="inlineStr">
        <is>
          <t>Medium</t>
        </is>
      </c>
      <c r="G64" s="61" t="inlineStr">
        <is>
          <t>Core</t>
        </is>
      </c>
      <c r="H64" s="61" t="inlineStr">
        <is>
          <t>LeetCode</t>
        </is>
      </c>
      <c r="I64" s="61" t="inlineStr">
        <is>
          <t>https://leetcode.com/problems/4sum-ii/</t>
        </is>
      </c>
      <c r="J64" s="61" t="inlineStr">
        <is>
          <t>Not Started</t>
        </is>
      </c>
      <c r="K64" s="61" t="n"/>
      <c r="L64" s="61" t="n"/>
      <c r="M64" s="67" t="n"/>
      <c r="N64" s="67">
        <f>IF($M64="","",$M64+IF($K64="",Dashboard!$M$9,INDEX(Dashboard!$M$5:$M$9,$K64)))</f>
        <v/>
      </c>
      <c r="O64" s="61">
        <f>IF(OR($J64="Attempted",$J64="Revisit"),"DUE",IF($N64="","",IF($N64&lt;=TODAY(),"DUE","")))</f>
        <v/>
      </c>
      <c r="P64" s="61" t="inlineStr">
        <is>
          <t>v3 addition</t>
        </is>
      </c>
    </row>
    <row r="65" ht="15" customHeight="1" s="32">
      <c r="A65" s="61" t="n">
        <v>64</v>
      </c>
      <c r="B65" s="61" t="inlineStr">
        <is>
          <t>1. Foundations - Core</t>
        </is>
      </c>
      <c r="C65" s="61" t="inlineStr">
        <is>
          <t>05. Prefix Sum &amp; Kadane</t>
        </is>
      </c>
      <c r="D65" s="61" t="inlineStr">
        <is>
          <t>Prefix basics</t>
        </is>
      </c>
      <c r="E65" s="61" t="inlineStr">
        <is>
          <t>Running Sum of 1d Array</t>
        </is>
      </c>
      <c r="F65" s="61" t="inlineStr">
        <is>
          <t>Easy</t>
        </is>
      </c>
      <c r="G65" s="61" t="inlineStr">
        <is>
          <t>Core</t>
        </is>
      </c>
      <c r="H65" s="61" t="inlineStr">
        <is>
          <t>LeetCode</t>
        </is>
      </c>
      <c r="I65" s="61" t="inlineStr">
        <is>
          <t>https://leetcode.com/problems/running-sum-of-1d-array/</t>
        </is>
      </c>
      <c r="J65" s="61" t="inlineStr">
        <is>
          <t>Not Started</t>
        </is>
      </c>
      <c r="K65" s="61" t="n"/>
      <c r="L65" s="61" t="n"/>
      <c r="M65" s="67" t="n"/>
      <c r="N65" s="67">
        <f>IF($M65="","",$M65+IF($K65="",Dashboard!$M$9,INDEX(Dashboard!$M$5:$M$9,$K65)))</f>
        <v/>
      </c>
      <c r="O65" s="61">
        <f>IF(OR($J65="Attempted",$J65="Revisit"),"DUE",IF($N65="","",IF($N65&lt;=TODAY(),"DUE","")))</f>
        <v/>
      </c>
      <c r="P65" s="61" t="inlineStr">
        <is>
          <t>v3 addition</t>
        </is>
      </c>
    </row>
    <row r="66" ht="15" customHeight="1" s="32">
      <c r="A66" s="61" t="n">
        <v>65</v>
      </c>
      <c r="B66" s="61" t="inlineStr">
        <is>
          <t>1. Foundations - Core</t>
        </is>
      </c>
      <c r="C66" s="61" t="inlineStr">
        <is>
          <t>05. Prefix Sum &amp; Kadane</t>
        </is>
      </c>
      <c r="D66" s="61" t="inlineStr">
        <is>
          <t>Prefix basics</t>
        </is>
      </c>
      <c r="E66" s="61" t="inlineStr">
        <is>
          <t>Find Pivot Index</t>
        </is>
      </c>
      <c r="F66" s="61" t="inlineStr">
        <is>
          <t>Easy</t>
        </is>
      </c>
      <c r="G66" s="61" t="inlineStr">
        <is>
          <t>Core</t>
        </is>
      </c>
      <c r="H66" s="61" t="inlineStr">
        <is>
          <t>LeetCode</t>
        </is>
      </c>
      <c r="I66" s="61" t="inlineStr">
        <is>
          <t>https://leetcode.com/problems/find-pivot-index/</t>
        </is>
      </c>
      <c r="J66" s="61" t="inlineStr">
        <is>
          <t>Not Started</t>
        </is>
      </c>
      <c r="K66" s="61" t="n"/>
      <c r="L66" s="61" t="n"/>
      <c r="M66" s="67" t="n"/>
      <c r="N66" s="67">
        <f>IF($M66="","",$M66+IF($K66="",Dashboard!$M$9,INDEX(Dashboard!$M$5:$M$9,$K66)))</f>
        <v/>
      </c>
      <c r="O66" s="61">
        <f>IF(OR($J66="Attempted",$J66="Revisit"),"DUE",IF($N66="","",IF($N66&lt;=TODAY(),"DUE","")))</f>
        <v/>
      </c>
      <c r="P66" s="61" t="n"/>
    </row>
    <row r="67" ht="15" customHeight="1" s="32">
      <c r="A67" s="61" t="n">
        <v>66</v>
      </c>
      <c r="B67" s="61" t="inlineStr">
        <is>
          <t>1. Foundations - Core</t>
        </is>
      </c>
      <c r="C67" s="61" t="inlineStr">
        <is>
          <t>05. Prefix Sum &amp; Kadane</t>
        </is>
      </c>
      <c r="D67" s="61" t="inlineStr">
        <is>
          <t>Prefix basics</t>
        </is>
      </c>
      <c r="E67" s="61" t="inlineStr">
        <is>
          <t>Product of Array Except Self</t>
        </is>
      </c>
      <c r="F67" s="61" t="inlineStr">
        <is>
          <t>Medium</t>
        </is>
      </c>
      <c r="G67" s="61" t="inlineStr">
        <is>
          <t>Core</t>
        </is>
      </c>
      <c r="H67" s="61" t="inlineStr">
        <is>
          <t>LeetCode</t>
        </is>
      </c>
      <c r="I67" s="61" t="inlineStr">
        <is>
          <t>https://leetcode.com/problems/product-of-array-except-self/</t>
        </is>
      </c>
      <c r="J67" s="61" t="inlineStr">
        <is>
          <t>Not Started</t>
        </is>
      </c>
      <c r="K67" s="61" t="n"/>
      <c r="L67" s="61" t="n"/>
      <c r="M67" s="67" t="n"/>
      <c r="N67" s="67">
        <f>IF($M67="","",$M67+IF($K67="",Dashboard!$M$9,INDEX(Dashboard!$M$5:$M$9,$K67)))</f>
        <v/>
      </c>
      <c r="O67" s="61">
        <f>IF(OR($J67="Attempted",$J67="Revisit"),"DUE",IF($N67="","",IF($N67&lt;=TODAY(),"DUE","")))</f>
        <v/>
      </c>
      <c r="P67" s="61" t="n"/>
    </row>
    <row r="68" ht="15" customHeight="1" s="32">
      <c r="A68" s="61" t="n">
        <v>67</v>
      </c>
      <c r="B68" s="61" t="inlineStr">
        <is>
          <t>1. Foundations - Core</t>
        </is>
      </c>
      <c r="C68" s="61" t="inlineStr">
        <is>
          <t>05. Prefix Sum &amp; Kadane</t>
        </is>
      </c>
      <c r="D68" s="61" t="inlineStr">
        <is>
          <t>Kadane</t>
        </is>
      </c>
      <c r="E68" s="61" t="inlineStr">
        <is>
          <t>Maximum Subarray</t>
        </is>
      </c>
      <c r="F68" s="61" t="inlineStr">
        <is>
          <t>Medium</t>
        </is>
      </c>
      <c r="G68" s="61" t="inlineStr">
        <is>
          <t>Core</t>
        </is>
      </c>
      <c r="H68" s="61" t="inlineStr">
        <is>
          <t>LeetCode</t>
        </is>
      </c>
      <c r="I68" s="61" t="inlineStr">
        <is>
          <t>https://leetcode.com/problems/maximum-subarray/</t>
        </is>
      </c>
      <c r="J68" s="61" t="inlineStr">
        <is>
          <t>Not Started</t>
        </is>
      </c>
      <c r="K68" s="61" t="n"/>
      <c r="L68" s="61" t="n"/>
      <c r="M68" s="67" t="n"/>
      <c r="N68" s="67">
        <f>IF($M68="","",$M68+IF($K68="",Dashboard!$M$9,INDEX(Dashboard!$M$5:$M$9,$K68)))</f>
        <v/>
      </c>
      <c r="O68" s="61">
        <f>IF(OR($J68="Attempted",$J68="Revisit"),"DUE",IF($N68="","",IF($N68&lt;=TODAY(),"DUE","")))</f>
        <v/>
      </c>
      <c r="P68" s="61" t="inlineStr">
        <is>
          <t>v3 addition</t>
        </is>
      </c>
    </row>
    <row r="69" ht="15" customHeight="1" s="32">
      <c r="A69" s="61" t="n">
        <v>68</v>
      </c>
      <c r="B69" s="61" t="inlineStr">
        <is>
          <t>1. Foundations - Core</t>
        </is>
      </c>
      <c r="C69" s="61" t="inlineStr">
        <is>
          <t>05. Prefix Sum &amp; Kadane</t>
        </is>
      </c>
      <c r="D69" s="61" t="inlineStr">
        <is>
          <t>Kadane</t>
        </is>
      </c>
      <c r="E69" s="61" t="inlineStr">
        <is>
          <t>Best Time to Buy and Sell Stock</t>
        </is>
      </c>
      <c r="F69" s="61" t="inlineStr">
        <is>
          <t>Easy</t>
        </is>
      </c>
      <c r="G69" s="61" t="inlineStr">
        <is>
          <t>Core</t>
        </is>
      </c>
      <c r="H69" s="61" t="inlineStr">
        <is>
          <t>LeetCode</t>
        </is>
      </c>
      <c r="I69" s="61" t="inlineStr">
        <is>
          <t>https://leetcode.com/problems/best-time-to-buy-and-sell-stock/</t>
        </is>
      </c>
      <c r="J69" s="61" t="inlineStr">
        <is>
          <t>Not Started</t>
        </is>
      </c>
      <c r="K69" s="61" t="n"/>
      <c r="L69" s="61" t="n"/>
      <c r="M69" s="67" t="n"/>
      <c r="N69" s="67">
        <f>IF($M69="","",$M69+IF($K69="",Dashboard!$M$9,INDEX(Dashboard!$M$5:$M$9,$K69)))</f>
        <v/>
      </c>
      <c r="O69" s="61">
        <f>IF(OR($J69="Attempted",$J69="Revisit"),"DUE",IF($N69="","",IF($N69&lt;=TODAY(),"DUE","")))</f>
        <v/>
      </c>
      <c r="P69" s="61" t="inlineStr">
        <is>
          <t>v3 addition</t>
        </is>
      </c>
    </row>
    <row r="70" ht="15" customHeight="1" s="32">
      <c r="A70" s="61" t="n">
        <v>69</v>
      </c>
      <c r="B70" s="61" t="inlineStr">
        <is>
          <t>1. Foundations - Core</t>
        </is>
      </c>
      <c r="C70" s="61" t="inlineStr">
        <is>
          <t>05. Prefix Sum &amp; Kadane</t>
        </is>
      </c>
      <c r="D70" s="61" t="inlineStr">
        <is>
          <t>Kadane</t>
        </is>
      </c>
      <c r="E70" s="61" t="inlineStr">
        <is>
          <t>Smallest Sum Contiguous Subarray</t>
        </is>
      </c>
      <c r="F70" s="61" t="inlineStr">
        <is>
          <t>Easy</t>
        </is>
      </c>
      <c r="G70" s="61" t="inlineStr">
        <is>
          <t>Core</t>
        </is>
      </c>
      <c r="H70" s="61" t="inlineStr">
        <is>
          <t>GeeksforGeeks</t>
        </is>
      </c>
      <c r="I70" s="61" t="inlineStr">
        <is>
          <t>https://www.geeksforgeeks.org/problems/smallest-sum-contiguous-subarray/1</t>
        </is>
      </c>
      <c r="J70" s="61" t="inlineStr">
        <is>
          <t>Not Started</t>
        </is>
      </c>
      <c r="K70" s="61" t="n"/>
      <c r="L70" s="61" t="n"/>
      <c r="M70" s="67" t="n"/>
      <c r="N70" s="67">
        <f>IF($M70="","",$M70+IF($K70="",Dashboard!$M$9,INDEX(Dashboard!$M$5:$M$9,$K70)))</f>
        <v/>
      </c>
      <c r="O70" s="61">
        <f>IF(OR($J70="Attempted",$J70="Revisit"),"DUE",IF($N70="","",IF($N70&lt;=TODAY(),"DUE","")))</f>
        <v/>
      </c>
      <c r="P70" s="61" t="n"/>
    </row>
    <row r="71" ht="15" customHeight="1" s="32">
      <c r="A71" s="61" t="n">
        <v>70</v>
      </c>
      <c r="B71" s="61" t="inlineStr">
        <is>
          <t>1. Foundations - Core</t>
        </is>
      </c>
      <c r="C71" s="61" t="inlineStr">
        <is>
          <t>05. Prefix Sum &amp; Kadane</t>
        </is>
      </c>
      <c r="D71" s="61" t="inlineStr">
        <is>
          <t>Kadane</t>
        </is>
      </c>
      <c r="E71" s="61" t="inlineStr">
        <is>
          <t>Maximum Product Subarray</t>
        </is>
      </c>
      <c r="F71" s="61" t="inlineStr">
        <is>
          <t>Medium</t>
        </is>
      </c>
      <c r="G71" s="61" t="inlineStr">
        <is>
          <t>Core</t>
        </is>
      </c>
      <c r="H71" s="61" t="inlineStr">
        <is>
          <t>LeetCode</t>
        </is>
      </c>
      <c r="I71" s="61" t="inlineStr">
        <is>
          <t>https://leetcode.com/problems/maximum-product-subarray/</t>
        </is>
      </c>
      <c r="J71" s="61" t="inlineStr">
        <is>
          <t>Not Started</t>
        </is>
      </c>
      <c r="K71" s="61" t="n"/>
      <c r="L71" s="61" t="n"/>
      <c r="M71" s="67" t="n"/>
      <c r="N71" s="67">
        <f>IF($M71="","",$M71+IF($K71="",Dashboard!$M$9,INDEX(Dashboard!$M$5:$M$9,$K71)))</f>
        <v/>
      </c>
      <c r="O71" s="61">
        <f>IF(OR($J71="Attempted",$J71="Revisit"),"DUE",IF($N71="","",IF($N71&lt;=TODAY(),"DUE","")))</f>
        <v/>
      </c>
      <c r="P71" s="61" t="n"/>
    </row>
    <row r="72" ht="15" customHeight="1" s="32">
      <c r="A72" s="61" t="n">
        <v>71</v>
      </c>
      <c r="B72" s="61" t="inlineStr">
        <is>
          <t>1. Foundations - Core</t>
        </is>
      </c>
      <c r="C72" s="61" t="inlineStr">
        <is>
          <t>05. Prefix Sum &amp; Kadane</t>
        </is>
      </c>
      <c r="D72" s="61" t="inlineStr">
        <is>
          <t>Prefix + HashMap</t>
        </is>
      </c>
      <c r="E72" s="61" t="inlineStr">
        <is>
          <t>Subarray Sum Equals K</t>
        </is>
      </c>
      <c r="F72" s="61" t="inlineStr">
        <is>
          <t>Medium</t>
        </is>
      </c>
      <c r="G72" s="61" t="inlineStr">
        <is>
          <t>Core</t>
        </is>
      </c>
      <c r="H72" s="61" t="inlineStr">
        <is>
          <t>LeetCode</t>
        </is>
      </c>
      <c r="I72" s="61" t="inlineStr">
        <is>
          <t>https://leetcode.com/problems/subarray-sum-equals-k/</t>
        </is>
      </c>
      <c r="J72" s="61" t="inlineStr">
        <is>
          <t>Not Started</t>
        </is>
      </c>
      <c r="K72" s="61" t="n"/>
      <c r="L72" s="61" t="n"/>
      <c r="M72" s="67" t="n"/>
      <c r="N72" s="67">
        <f>IF($M72="","",$M72+IF($K72="",Dashboard!$M$9,INDEX(Dashboard!$M$5:$M$9,$K72)))</f>
        <v/>
      </c>
      <c r="O72" s="61">
        <f>IF(OR($J72="Attempted",$J72="Revisit"),"DUE",IF($N72="","",IF($N72&lt;=TODAY(),"DUE","")))</f>
        <v/>
      </c>
      <c r="P72" s="61" t="n"/>
    </row>
    <row r="73" ht="15" customHeight="1" s="32">
      <c r="A73" s="61" t="n">
        <v>72</v>
      </c>
      <c r="B73" s="61" t="inlineStr">
        <is>
          <t>1. Foundations - Core</t>
        </is>
      </c>
      <c r="C73" s="61" t="inlineStr">
        <is>
          <t>05. Prefix Sum &amp; Kadane</t>
        </is>
      </c>
      <c r="D73" s="61" t="inlineStr">
        <is>
          <t>Prefix + HashMap</t>
        </is>
      </c>
      <c r="E73" s="61" t="inlineStr">
        <is>
          <t>Subarray Sums Divisible by K</t>
        </is>
      </c>
      <c r="F73" s="61" t="inlineStr">
        <is>
          <t>Medium</t>
        </is>
      </c>
      <c r="G73" s="61" t="inlineStr">
        <is>
          <t>Core</t>
        </is>
      </c>
      <c r="H73" s="61" t="inlineStr">
        <is>
          <t>LeetCode</t>
        </is>
      </c>
      <c r="I73" s="61" t="inlineStr">
        <is>
          <t>https://leetcode.com/problems/subarray-sums-divisible-by-k/</t>
        </is>
      </c>
      <c r="J73" s="61" t="inlineStr">
        <is>
          <t>Not Started</t>
        </is>
      </c>
      <c r="K73" s="61" t="n"/>
      <c r="L73" s="61" t="n"/>
      <c r="M73" s="67" t="n"/>
      <c r="N73" s="67">
        <f>IF($M73="","",$M73+IF($K73="",Dashboard!$M$9,INDEX(Dashboard!$M$5:$M$9,$K73)))</f>
        <v/>
      </c>
      <c r="O73" s="61">
        <f>IF(OR($J73="Attempted",$J73="Revisit"),"DUE",IF($N73="","",IF($N73&lt;=TODAY(),"DUE","")))</f>
        <v/>
      </c>
      <c r="P73" s="61" t="n"/>
    </row>
    <row r="74" ht="15" customHeight="1" s="32">
      <c r="A74" s="61" t="n">
        <v>73</v>
      </c>
      <c r="B74" s="61" t="inlineStr">
        <is>
          <t>1. Foundations - Core</t>
        </is>
      </c>
      <c r="C74" s="61" t="inlineStr">
        <is>
          <t>05. Prefix Sum &amp; Kadane</t>
        </is>
      </c>
      <c r="D74" s="61" t="inlineStr">
        <is>
          <t>Difference array</t>
        </is>
      </c>
      <c r="E74" s="61" t="inlineStr">
        <is>
          <t>Maximum Population Year</t>
        </is>
      </c>
      <c r="F74" s="61" t="inlineStr">
        <is>
          <t>Easy</t>
        </is>
      </c>
      <c r="G74" s="61" t="inlineStr">
        <is>
          <t>Core</t>
        </is>
      </c>
      <c r="H74" s="61" t="inlineStr">
        <is>
          <t>LeetCode</t>
        </is>
      </c>
      <c r="I74" s="61" t="inlineStr">
        <is>
          <t>https://leetcode.com/problems/maximum-population-year/</t>
        </is>
      </c>
      <c r="J74" s="61" t="inlineStr">
        <is>
          <t>Not Started</t>
        </is>
      </c>
      <c r="K74" s="61" t="n"/>
      <c r="L74" s="61" t="n"/>
      <c r="M74" s="67" t="n"/>
      <c r="N74" s="67">
        <f>IF($M74="","",$M74+IF($K74="",Dashboard!$M$9,INDEX(Dashboard!$M$5:$M$9,$K74)))</f>
        <v/>
      </c>
      <c r="O74" s="61">
        <f>IF(OR($J74="Attempted",$J74="Revisit"),"DUE",IF($N74="","",IF($N74&lt;=TODAY(),"DUE","")))</f>
        <v/>
      </c>
      <c r="P74" s="61" t="n"/>
    </row>
    <row r="75" ht="15" customHeight="1" s="32">
      <c r="A75" s="61" t="n">
        <v>74</v>
      </c>
      <c r="B75" s="61" t="inlineStr">
        <is>
          <t>1. Foundations - Core</t>
        </is>
      </c>
      <c r="C75" s="61" t="inlineStr">
        <is>
          <t>05. Prefix Sum &amp; Kadane</t>
        </is>
      </c>
      <c r="D75" s="61" t="inlineStr">
        <is>
          <t>Difference array</t>
        </is>
      </c>
      <c r="E75" s="61" t="inlineStr">
        <is>
          <t>Corporate Flight Bookings</t>
        </is>
      </c>
      <c r="F75" s="61" t="inlineStr">
        <is>
          <t>Medium</t>
        </is>
      </c>
      <c r="G75" s="61" t="inlineStr">
        <is>
          <t>Core</t>
        </is>
      </c>
      <c r="H75" s="61" t="inlineStr">
        <is>
          <t>LeetCode</t>
        </is>
      </c>
      <c r="I75" s="61" t="inlineStr">
        <is>
          <t>https://leetcode.com/problems/corporate-flight-bookings/</t>
        </is>
      </c>
      <c r="J75" s="61" t="inlineStr">
        <is>
          <t>Not Started</t>
        </is>
      </c>
      <c r="K75" s="61" t="n"/>
      <c r="L75" s="61" t="n"/>
      <c r="M75" s="67" t="n"/>
      <c r="N75" s="67">
        <f>IF($M75="","",$M75+IF($K75="",Dashboard!$M$9,INDEX(Dashboard!$M$5:$M$9,$K75)))</f>
        <v/>
      </c>
      <c r="O75" s="61">
        <f>IF(OR($J75="Attempted",$J75="Revisit"),"DUE",IF($N75="","",IF($N75&lt;=TODAY(),"DUE","")))</f>
        <v/>
      </c>
      <c r="P75" s="61" t="n"/>
    </row>
    <row r="76" ht="15" customHeight="1" s="32">
      <c r="A76" s="61" t="n">
        <v>75</v>
      </c>
      <c r="B76" s="61" t="inlineStr">
        <is>
          <t>1. Foundations - Core</t>
        </is>
      </c>
      <c r="C76" s="61" t="inlineStr">
        <is>
          <t>05. Prefix Sum &amp; Kadane</t>
        </is>
      </c>
      <c r="D76" s="61" t="inlineStr">
        <is>
          <t>Difference array</t>
        </is>
      </c>
      <c r="E76" s="61" t="inlineStr">
        <is>
          <t>Car Pooling</t>
        </is>
      </c>
      <c r="F76" s="61" t="inlineStr">
        <is>
          <t>Medium</t>
        </is>
      </c>
      <c r="G76" s="61" t="inlineStr">
        <is>
          <t>Core</t>
        </is>
      </c>
      <c r="H76" s="61" t="inlineStr">
        <is>
          <t>LeetCode</t>
        </is>
      </c>
      <c r="I76" s="61" t="inlineStr">
        <is>
          <t>https://leetcode.com/problems/car-pooling/</t>
        </is>
      </c>
      <c r="J76" s="61" t="inlineStr">
        <is>
          <t>Not Started</t>
        </is>
      </c>
      <c r="K76" s="61" t="n"/>
      <c r="L76" s="61" t="n"/>
      <c r="M76" s="67" t="n"/>
      <c r="N76" s="67">
        <f>IF($M76="","",$M76+IF($K76="",Dashboard!$M$9,INDEX(Dashboard!$M$5:$M$9,$K76)))</f>
        <v/>
      </c>
      <c r="O76" s="61">
        <f>IF(OR($J76="Attempted",$J76="Revisit"),"DUE",IF($N76="","",IF($N76&lt;=TODAY(),"DUE","")))</f>
        <v/>
      </c>
      <c r="P76" s="61" t="n"/>
    </row>
    <row r="77" ht="15" customHeight="1" s="32">
      <c r="A77" s="61" t="n">
        <v>76</v>
      </c>
      <c r="B77" s="61" t="inlineStr">
        <is>
          <t>1. Foundations - Core</t>
        </is>
      </c>
      <c r="C77" s="61" t="inlineStr">
        <is>
          <t>06. Sliding Window</t>
        </is>
      </c>
      <c r="D77" s="61" t="inlineStr">
        <is>
          <t>Fixed window</t>
        </is>
      </c>
      <c r="E77" s="61" t="inlineStr">
        <is>
          <t>Maximum Average Subarray I</t>
        </is>
      </c>
      <c r="F77" s="61" t="inlineStr">
        <is>
          <t>Easy</t>
        </is>
      </c>
      <c r="G77" s="61" t="inlineStr">
        <is>
          <t>Core</t>
        </is>
      </c>
      <c r="H77" s="61" t="inlineStr">
        <is>
          <t>LeetCode</t>
        </is>
      </c>
      <c r="I77" s="61" t="inlineStr">
        <is>
          <t>https://leetcode.com/problems/maximum-average-subarray-i/</t>
        </is>
      </c>
      <c r="J77" s="61" t="inlineStr">
        <is>
          <t>Not Started</t>
        </is>
      </c>
      <c r="K77" s="61" t="n"/>
      <c r="L77" s="61" t="n"/>
      <c r="M77" s="67" t="n"/>
      <c r="N77" s="67">
        <f>IF($M77="","",$M77+IF($K77="",Dashboard!$M$9,INDEX(Dashboard!$M$5:$M$9,$K77)))</f>
        <v/>
      </c>
      <c r="O77" s="61">
        <f>IF(OR($J77="Attempted",$J77="Revisit"),"DUE",IF($N77="","",IF($N77&lt;=TODAY(),"DUE","")))</f>
        <v/>
      </c>
      <c r="P77" s="61" t="n"/>
    </row>
    <row r="78" ht="15" customHeight="1" s="32">
      <c r="A78" s="61" t="n">
        <v>77</v>
      </c>
      <c r="B78" s="61" t="inlineStr">
        <is>
          <t>1. Foundations - Core</t>
        </is>
      </c>
      <c r="C78" s="61" t="inlineStr">
        <is>
          <t>06. Sliding Window</t>
        </is>
      </c>
      <c r="D78" s="61" t="inlineStr">
        <is>
          <t>Fixed window</t>
        </is>
      </c>
      <c r="E78" s="61" t="inlineStr">
        <is>
          <t>Max Sum Subarray of Size K</t>
        </is>
      </c>
      <c r="F78" s="61" t="inlineStr">
        <is>
          <t>Easy</t>
        </is>
      </c>
      <c r="G78" s="61" t="inlineStr">
        <is>
          <t>Core</t>
        </is>
      </c>
      <c r="H78" s="61" t="inlineStr">
        <is>
          <t>GeeksforGeeks</t>
        </is>
      </c>
      <c r="I78" s="61" t="inlineStr">
        <is>
          <t>https://www.geeksforgeeks.org/problems/max-sum-subarray-of-size-k5313/1</t>
        </is>
      </c>
      <c r="J78" s="61" t="inlineStr">
        <is>
          <t>Not Started</t>
        </is>
      </c>
      <c r="K78" s="61" t="n"/>
      <c r="L78" s="61" t="n"/>
      <c r="M78" s="67" t="n"/>
      <c r="N78" s="67">
        <f>IF($M78="","",$M78+IF($K78="",Dashboard!$M$9,INDEX(Dashboard!$M$5:$M$9,$K78)))</f>
        <v/>
      </c>
      <c r="O78" s="61">
        <f>IF(OR($J78="Attempted",$J78="Revisit"),"DUE",IF($N78="","",IF($N78&lt;=TODAY(),"DUE","")))</f>
        <v/>
      </c>
      <c r="P78" s="61" t="n"/>
    </row>
    <row r="79" ht="15" customHeight="1" s="32">
      <c r="A79" s="61" t="n">
        <v>78</v>
      </c>
      <c r="B79" s="61" t="inlineStr">
        <is>
          <t>1. Foundations - Core</t>
        </is>
      </c>
      <c r="C79" s="61" t="inlineStr">
        <is>
          <t>06. Sliding Window</t>
        </is>
      </c>
      <c r="D79" s="61" t="inlineStr">
        <is>
          <t>Fixed window</t>
        </is>
      </c>
      <c r="E79" s="61" t="inlineStr">
        <is>
          <t>Substrings of Size Three with Distinct Characters</t>
        </is>
      </c>
      <c r="F79" s="61" t="inlineStr">
        <is>
          <t>Easy</t>
        </is>
      </c>
      <c r="G79" s="61" t="inlineStr">
        <is>
          <t>Core</t>
        </is>
      </c>
      <c r="H79" s="61" t="inlineStr">
        <is>
          <t>LeetCode</t>
        </is>
      </c>
      <c r="I79" s="61" t="inlineStr">
        <is>
          <t>https://leetcode.com/problems/substrings-of-size-three-with-distinct-characters/</t>
        </is>
      </c>
      <c r="J79" s="61" t="inlineStr">
        <is>
          <t>Not Started</t>
        </is>
      </c>
      <c r="K79" s="61" t="n"/>
      <c r="L79" s="61" t="n"/>
      <c r="M79" s="67" t="n"/>
      <c r="N79" s="67">
        <f>IF($M79="","",$M79+IF($K79="",Dashboard!$M$9,INDEX(Dashboard!$M$5:$M$9,$K79)))</f>
        <v/>
      </c>
      <c r="O79" s="61">
        <f>IF(OR($J79="Attempted",$J79="Revisit"),"DUE",IF($N79="","",IF($N79&lt;=TODAY(),"DUE","")))</f>
        <v/>
      </c>
      <c r="P79" s="61" t="n"/>
    </row>
    <row r="80" ht="15" customHeight="1" s="32">
      <c r="A80" s="61" t="n">
        <v>79</v>
      </c>
      <c r="B80" s="61" t="inlineStr">
        <is>
          <t>1. Foundations - Core</t>
        </is>
      </c>
      <c r="C80" s="61" t="inlineStr">
        <is>
          <t>06. Sliding Window</t>
        </is>
      </c>
      <c r="D80" s="61" t="inlineStr">
        <is>
          <t>Variable window</t>
        </is>
      </c>
      <c r="E80" s="61" t="inlineStr">
        <is>
          <t>Minimum Size Subarray Sum</t>
        </is>
      </c>
      <c r="F80" s="61" t="inlineStr">
        <is>
          <t>Medium</t>
        </is>
      </c>
      <c r="G80" s="61" t="inlineStr">
        <is>
          <t>Core</t>
        </is>
      </c>
      <c r="H80" s="61" t="inlineStr">
        <is>
          <t>LeetCode</t>
        </is>
      </c>
      <c r="I80" s="61" t="inlineStr">
        <is>
          <t>https://leetcode.com/problems/minimum-size-subarray-sum/</t>
        </is>
      </c>
      <c r="J80" s="61" t="inlineStr">
        <is>
          <t>Not Started</t>
        </is>
      </c>
      <c r="K80" s="61" t="n"/>
      <c r="L80" s="61" t="n"/>
      <c r="M80" s="67" t="n"/>
      <c r="N80" s="67">
        <f>IF($M80="","",$M80+IF($K80="",Dashboard!$M$9,INDEX(Dashboard!$M$5:$M$9,$K80)))</f>
        <v/>
      </c>
      <c r="O80" s="61">
        <f>IF(OR($J80="Attempted",$J80="Revisit"),"DUE",IF($N80="","",IF($N80&lt;=TODAY(),"DUE","")))</f>
        <v/>
      </c>
      <c r="P80" s="61" t="n"/>
    </row>
    <row r="81" ht="15" customHeight="1" s="32">
      <c r="A81" s="61" t="n">
        <v>80</v>
      </c>
      <c r="B81" s="61" t="inlineStr">
        <is>
          <t>1. Foundations - Core</t>
        </is>
      </c>
      <c r="C81" s="61" t="inlineStr">
        <is>
          <t>06. Sliding Window</t>
        </is>
      </c>
      <c r="D81" s="61" t="inlineStr">
        <is>
          <t>Variable window</t>
        </is>
      </c>
      <c r="E81" s="61" t="inlineStr">
        <is>
          <t>Longest Substring Without Repeating Characters</t>
        </is>
      </c>
      <c r="F81" s="61" t="inlineStr">
        <is>
          <t>Medium</t>
        </is>
      </c>
      <c r="G81" s="61" t="inlineStr">
        <is>
          <t>Core</t>
        </is>
      </c>
      <c r="H81" s="61" t="inlineStr">
        <is>
          <t>LeetCode</t>
        </is>
      </c>
      <c r="I81" s="61" t="inlineStr">
        <is>
          <t>https://leetcode.com/problems/longest-substring-without-repeating-characters/</t>
        </is>
      </c>
      <c r="J81" s="61" t="inlineStr">
        <is>
          <t>Not Started</t>
        </is>
      </c>
      <c r="K81" s="61" t="n"/>
      <c r="L81" s="61" t="n"/>
      <c r="M81" s="67" t="n"/>
      <c r="N81" s="67">
        <f>IF($M81="","",$M81+IF($K81="",Dashboard!$M$9,INDEX(Dashboard!$M$5:$M$9,$K81)))</f>
        <v/>
      </c>
      <c r="O81" s="61">
        <f>IF(OR($J81="Attempted",$J81="Revisit"),"DUE",IF($N81="","",IF($N81&lt;=TODAY(),"DUE","")))</f>
        <v/>
      </c>
      <c r="P81" s="61" t="n"/>
    </row>
    <row r="82" ht="15" customHeight="1" s="32">
      <c r="A82" s="61" t="n">
        <v>81</v>
      </c>
      <c r="B82" s="61" t="inlineStr">
        <is>
          <t>1. Foundations - Core</t>
        </is>
      </c>
      <c r="C82" s="61" t="inlineStr">
        <is>
          <t>06. Sliding Window</t>
        </is>
      </c>
      <c r="D82" s="61" t="inlineStr">
        <is>
          <t>Variable window</t>
        </is>
      </c>
      <c r="E82" s="61" t="inlineStr">
        <is>
          <t>Longest Repeating Character Replacement</t>
        </is>
      </c>
      <c r="F82" s="61" t="inlineStr">
        <is>
          <t>Medium</t>
        </is>
      </c>
      <c r="G82" s="61" t="inlineStr">
        <is>
          <t>Core</t>
        </is>
      </c>
      <c r="H82" s="61" t="inlineStr">
        <is>
          <t>LeetCode</t>
        </is>
      </c>
      <c r="I82" s="61" t="inlineStr">
        <is>
          <t>https://leetcode.com/problems/longest-repeating-character-replacement/</t>
        </is>
      </c>
      <c r="J82" s="61" t="inlineStr">
        <is>
          <t>Not Started</t>
        </is>
      </c>
      <c r="K82" s="61" t="n"/>
      <c r="L82" s="61" t="n"/>
      <c r="M82" s="67" t="n"/>
      <c r="N82" s="67">
        <f>IF($M82="","",$M82+IF($K82="",Dashboard!$M$9,INDEX(Dashboard!$M$5:$M$9,$K82)))</f>
        <v/>
      </c>
      <c r="O82" s="61">
        <f>IF(OR($J82="Attempted",$J82="Revisit"),"DUE",IF($N82="","",IF($N82&lt;=TODAY(),"DUE","")))</f>
        <v/>
      </c>
      <c r="P82" s="61" t="n"/>
    </row>
    <row r="83" ht="15" customHeight="1" s="32">
      <c r="A83" s="61" t="n">
        <v>82</v>
      </c>
      <c r="B83" s="61" t="inlineStr">
        <is>
          <t>1. Foundations - Core</t>
        </is>
      </c>
      <c r="C83" s="61" t="inlineStr">
        <is>
          <t>06. Sliding Window</t>
        </is>
      </c>
      <c r="D83" s="61" t="inlineStr">
        <is>
          <t>Variable window</t>
        </is>
      </c>
      <c r="E83" s="61" t="inlineStr">
        <is>
          <t>Max Consecutive Ones III</t>
        </is>
      </c>
      <c r="F83" s="61" t="inlineStr">
        <is>
          <t>Medium</t>
        </is>
      </c>
      <c r="G83" s="61" t="inlineStr">
        <is>
          <t>Core</t>
        </is>
      </c>
      <c r="H83" s="61" t="inlineStr">
        <is>
          <t>LeetCode</t>
        </is>
      </c>
      <c r="I83" s="61" t="inlineStr">
        <is>
          <t>https://leetcode.com/problems/max-consecutive-ones-iii/</t>
        </is>
      </c>
      <c r="J83" s="61" t="inlineStr">
        <is>
          <t>Not Started</t>
        </is>
      </c>
      <c r="K83" s="61" t="n"/>
      <c r="L83" s="61" t="n"/>
      <c r="M83" s="67" t="n"/>
      <c r="N83" s="67">
        <f>IF($M83="","",$M83+IF($K83="",Dashboard!$M$9,INDEX(Dashboard!$M$5:$M$9,$K83)))</f>
        <v/>
      </c>
      <c r="O83" s="61">
        <f>IF(OR($J83="Attempted",$J83="Revisit"),"DUE",IF($N83="","",IF($N83&lt;=TODAY(),"DUE","")))</f>
        <v/>
      </c>
      <c r="P83" s="61" t="n"/>
    </row>
    <row r="84" ht="15" customHeight="1" s="32">
      <c r="A84" s="61" t="n">
        <v>83</v>
      </c>
      <c r="B84" s="61" t="inlineStr">
        <is>
          <t>1. Foundations - Core</t>
        </is>
      </c>
      <c r="C84" s="61" t="inlineStr">
        <is>
          <t>06. Sliding Window</t>
        </is>
      </c>
      <c r="D84" s="61" t="inlineStr">
        <is>
          <t>Anagram window</t>
        </is>
      </c>
      <c r="E84" s="61" t="inlineStr">
        <is>
          <t>Permutation in String</t>
        </is>
      </c>
      <c r="F84" s="61" t="inlineStr">
        <is>
          <t>Medium</t>
        </is>
      </c>
      <c r="G84" s="61" t="inlineStr">
        <is>
          <t>Core</t>
        </is>
      </c>
      <c r="H84" s="61" t="inlineStr">
        <is>
          <t>LeetCode</t>
        </is>
      </c>
      <c r="I84" s="61" t="inlineStr">
        <is>
          <t>https://leetcode.com/problems/permutation-in-string/</t>
        </is>
      </c>
      <c r="J84" s="61" t="inlineStr">
        <is>
          <t>Not Started</t>
        </is>
      </c>
      <c r="K84" s="61" t="n"/>
      <c r="L84" s="61" t="n"/>
      <c r="M84" s="67" t="n"/>
      <c r="N84" s="67">
        <f>IF($M84="","",$M84+IF($K84="",Dashboard!$M$9,INDEX(Dashboard!$M$5:$M$9,$K84)))</f>
        <v/>
      </c>
      <c r="O84" s="61">
        <f>IF(OR($J84="Attempted",$J84="Revisit"),"DUE",IF($N84="","",IF($N84&lt;=TODAY(),"DUE","")))</f>
        <v/>
      </c>
      <c r="P84" s="61" t="inlineStr">
        <is>
          <t>v3 addition</t>
        </is>
      </c>
    </row>
    <row r="85" ht="15" customHeight="1" s="32">
      <c r="A85" s="61" t="n">
        <v>84</v>
      </c>
      <c r="B85" s="61" t="inlineStr">
        <is>
          <t>1. Foundations - Core</t>
        </is>
      </c>
      <c r="C85" s="61" t="inlineStr">
        <is>
          <t>06. Sliding Window</t>
        </is>
      </c>
      <c r="D85" s="61" t="inlineStr">
        <is>
          <t>Anagram window</t>
        </is>
      </c>
      <c r="E85" s="61" t="inlineStr">
        <is>
          <t>Find All Anagrams in a String</t>
        </is>
      </c>
      <c r="F85" s="61" t="inlineStr">
        <is>
          <t>Medium</t>
        </is>
      </c>
      <c r="G85" s="61" t="inlineStr">
        <is>
          <t>Core</t>
        </is>
      </c>
      <c r="H85" s="61" t="inlineStr">
        <is>
          <t>LeetCode</t>
        </is>
      </c>
      <c r="I85" s="61" t="inlineStr">
        <is>
          <t>https://leetcode.com/problems/find-all-anagrams-in-a-string/</t>
        </is>
      </c>
      <c r="J85" s="61" t="inlineStr">
        <is>
          <t>Not Started</t>
        </is>
      </c>
      <c r="K85" s="61" t="n"/>
      <c r="L85" s="61" t="n"/>
      <c r="M85" s="67" t="n"/>
      <c r="N85" s="67">
        <f>IF($M85="","",$M85+IF($K85="",Dashboard!$M$9,INDEX(Dashboard!$M$5:$M$9,$K85)))</f>
        <v/>
      </c>
      <c r="O85" s="61">
        <f>IF(OR($J85="Attempted",$J85="Revisit"),"DUE",IF($N85="","",IF($N85&lt;=TODAY(),"DUE","")))</f>
        <v/>
      </c>
      <c r="P85" s="61" t="inlineStr">
        <is>
          <t>v3 addition</t>
        </is>
      </c>
    </row>
    <row r="86" ht="15" customHeight="1" s="32">
      <c r="A86" s="61" t="n">
        <v>85</v>
      </c>
      <c r="B86" s="61" t="inlineStr">
        <is>
          <t>1. Foundations - Core</t>
        </is>
      </c>
      <c r="C86" s="61" t="inlineStr">
        <is>
          <t>06. Sliding Window</t>
        </is>
      </c>
      <c r="D86" s="61" t="inlineStr">
        <is>
          <t>Count exactly-K trick</t>
        </is>
      </c>
      <c r="E86" s="61" t="inlineStr">
        <is>
          <t>Binary Subarrays With Sum</t>
        </is>
      </c>
      <c r="F86" s="61" t="inlineStr">
        <is>
          <t>Medium</t>
        </is>
      </c>
      <c r="G86" s="61" t="inlineStr">
        <is>
          <t>Core</t>
        </is>
      </c>
      <c r="H86" s="61" t="inlineStr">
        <is>
          <t>LeetCode</t>
        </is>
      </c>
      <c r="I86" s="61" t="inlineStr">
        <is>
          <t>https://leetcode.com/problems/binary-subarrays-with-sum/</t>
        </is>
      </c>
      <c r="J86" s="61" t="inlineStr">
        <is>
          <t>Not Started</t>
        </is>
      </c>
      <c r="K86" s="61" t="n"/>
      <c r="L86" s="61" t="n"/>
      <c r="M86" s="67" t="n"/>
      <c r="N86" s="67">
        <f>IF($M86="","",$M86+IF($K86="",Dashboard!$M$9,INDEX(Dashboard!$M$5:$M$9,$K86)))</f>
        <v/>
      </c>
      <c r="O86" s="61">
        <f>IF(OR($J86="Attempted",$J86="Revisit"),"DUE",IF($N86="","",IF($N86&lt;=TODAY(),"DUE","")))</f>
        <v/>
      </c>
      <c r="P86" s="61" t="inlineStr">
        <is>
          <t>v3 addition</t>
        </is>
      </c>
    </row>
    <row r="87" ht="15" customHeight="1" s="32">
      <c r="A87" s="61" t="n">
        <v>86</v>
      </c>
      <c r="B87" s="61" t="inlineStr">
        <is>
          <t>1. Foundations - Core</t>
        </is>
      </c>
      <c r="C87" s="61" t="inlineStr">
        <is>
          <t>06. Sliding Window</t>
        </is>
      </c>
      <c r="D87" s="61" t="inlineStr">
        <is>
          <t>Count exactly-K trick</t>
        </is>
      </c>
      <c r="E87" s="61" t="inlineStr">
        <is>
          <t>Count Number of Nice Subarrays</t>
        </is>
      </c>
      <c r="F87" s="61" t="inlineStr">
        <is>
          <t>Medium</t>
        </is>
      </c>
      <c r="G87" s="61" t="inlineStr">
        <is>
          <t>Core</t>
        </is>
      </c>
      <c r="H87" s="61" t="inlineStr">
        <is>
          <t>LeetCode</t>
        </is>
      </c>
      <c r="I87" s="61" t="inlineStr">
        <is>
          <t>https://leetcode.com/problems/count-number-of-nice-subarrays/</t>
        </is>
      </c>
      <c r="J87" s="61" t="inlineStr">
        <is>
          <t>Not Started</t>
        </is>
      </c>
      <c r="K87" s="61" t="n"/>
      <c r="L87" s="61" t="n"/>
      <c r="M87" s="67" t="n"/>
      <c r="N87" s="67">
        <f>IF($M87="","",$M87+IF($K87="",Dashboard!$M$9,INDEX(Dashboard!$M$5:$M$9,$K87)))</f>
        <v/>
      </c>
      <c r="O87" s="61">
        <f>IF(OR($J87="Attempted",$J87="Revisit"),"DUE",IF($N87="","",IF($N87&lt;=TODAY(),"DUE","")))</f>
        <v/>
      </c>
      <c r="P87" s="61" t="n"/>
    </row>
    <row r="88" ht="15" customHeight="1" s="32">
      <c r="A88" s="61" t="n">
        <v>87</v>
      </c>
      <c r="B88" s="61" t="inlineStr">
        <is>
          <t>1. Foundations - Core</t>
        </is>
      </c>
      <c r="C88" s="61" t="inlineStr">
        <is>
          <t>06. Sliding Window</t>
        </is>
      </c>
      <c r="D88" s="61" t="inlineStr">
        <is>
          <t>Hard window</t>
        </is>
      </c>
      <c r="E88" s="61" t="inlineStr">
        <is>
          <t>Minimum Window Substring</t>
        </is>
      </c>
      <c r="F88" s="61" t="inlineStr">
        <is>
          <t>Hard</t>
        </is>
      </c>
      <c r="G88" s="61" t="inlineStr">
        <is>
          <t>Core</t>
        </is>
      </c>
      <c r="H88" s="61" t="inlineStr">
        <is>
          <t>LeetCode</t>
        </is>
      </c>
      <c r="I88" s="61" t="inlineStr">
        <is>
          <t>https://leetcode.com/problems/minimum-window-substring/</t>
        </is>
      </c>
      <c r="J88" s="61" t="inlineStr">
        <is>
          <t>Not Started</t>
        </is>
      </c>
      <c r="K88" s="61" t="n"/>
      <c r="L88" s="61" t="n"/>
      <c r="M88" s="67" t="n"/>
      <c r="N88" s="67">
        <f>IF($M88="","",$M88+IF($K88="",Dashboard!$M$9,INDEX(Dashboard!$M$5:$M$9,$K88)))</f>
        <v/>
      </c>
      <c r="O88" s="61">
        <f>IF(OR($J88="Attempted",$J88="Revisit"),"DUE",IF($N88="","",IF($N88&lt;=TODAY(),"DUE","")))</f>
        <v/>
      </c>
      <c r="P88" s="61" t="n"/>
    </row>
    <row r="89" ht="15" customHeight="1" s="32">
      <c r="A89" s="61" t="n">
        <v>88</v>
      </c>
      <c r="B89" s="61" t="inlineStr">
        <is>
          <t>1. Foundations - Depth</t>
        </is>
      </c>
      <c r="C89" s="61" t="inlineStr">
        <is>
          <t>02. Arrays &amp; Two Pointers</t>
        </is>
      </c>
      <c r="D89" s="61" t="inlineStr">
        <is>
          <t>Two pointers</t>
        </is>
      </c>
      <c r="E89" s="61" t="inlineStr">
        <is>
          <t>Squares of a Sorted Array</t>
        </is>
      </c>
      <c r="F89" s="61" t="inlineStr">
        <is>
          <t>Easy</t>
        </is>
      </c>
      <c r="G89" s="61" t="inlineStr">
        <is>
          <t>Depth</t>
        </is>
      </c>
      <c r="H89" s="61" t="inlineStr">
        <is>
          <t>LeetCode</t>
        </is>
      </c>
      <c r="I89" s="61" t="inlineStr">
        <is>
          <t>https://leetcode.com/problems/squares-of-a-sorted-array/</t>
        </is>
      </c>
      <c r="J89" s="61" t="inlineStr">
        <is>
          <t>Not Started</t>
        </is>
      </c>
      <c r="K89" s="61" t="n"/>
      <c r="L89" s="61" t="n"/>
      <c r="M89" s="67" t="n"/>
      <c r="N89" s="67">
        <f>IF($M89="","",$M89+IF($K89="",Dashboard!$M$9,INDEX(Dashboard!$M$5:$M$9,$K89)))</f>
        <v/>
      </c>
      <c r="O89" s="61">
        <f>IF(OR($J89="Attempted",$J89="Revisit"),"DUE",IF($N89="","",IF($N89&lt;=TODAY(),"DUE","")))</f>
        <v/>
      </c>
      <c r="P89" s="61" t="inlineStr">
        <is>
          <t>v3 addition</t>
        </is>
      </c>
    </row>
    <row r="90" ht="15" customHeight="1" s="32">
      <c r="A90" s="61" t="n">
        <v>89</v>
      </c>
      <c r="B90" s="61" t="inlineStr">
        <is>
          <t>1. Foundations - Depth</t>
        </is>
      </c>
      <c r="C90" s="61" t="inlineStr">
        <is>
          <t>02. Arrays &amp; Two Pointers</t>
        </is>
      </c>
      <c r="D90" s="61" t="inlineStr">
        <is>
          <t>Two pointers</t>
        </is>
      </c>
      <c r="E90" s="61" t="inlineStr">
        <is>
          <t>Merge Sorted Array</t>
        </is>
      </c>
      <c r="F90" s="61" t="inlineStr">
        <is>
          <t>Easy</t>
        </is>
      </c>
      <c r="G90" s="61" t="inlineStr">
        <is>
          <t>Depth</t>
        </is>
      </c>
      <c r="H90" s="61" t="inlineStr">
        <is>
          <t>LeetCode</t>
        </is>
      </c>
      <c r="I90" s="61" t="inlineStr">
        <is>
          <t>https://leetcode.com/problems/merge-sorted-array/</t>
        </is>
      </c>
      <c r="J90" s="61" t="inlineStr">
        <is>
          <t>Not Started</t>
        </is>
      </c>
      <c r="K90" s="61" t="n"/>
      <c r="L90" s="61" t="n"/>
      <c r="M90" s="67" t="n"/>
      <c r="N90" s="67">
        <f>IF($M90="","",$M90+IF($K90="",Dashboard!$M$9,INDEX(Dashboard!$M$5:$M$9,$K90)))</f>
        <v/>
      </c>
      <c r="O90" s="61">
        <f>IF(OR($J90="Attempted",$J90="Revisit"),"DUE",IF($N90="","",IF($N90&lt;=TODAY(),"DUE","")))</f>
        <v/>
      </c>
      <c r="P90" s="61" t="n"/>
    </row>
    <row r="91" ht="15" customHeight="1" s="32">
      <c r="A91" s="61" t="n">
        <v>90</v>
      </c>
      <c r="B91" s="61" t="inlineStr">
        <is>
          <t>1. Foundations - Depth</t>
        </is>
      </c>
      <c r="C91" s="61" t="inlineStr">
        <is>
          <t>02. Arrays &amp; Two Pointers</t>
        </is>
      </c>
      <c r="D91" s="61" t="inlineStr">
        <is>
          <t>Two pointers</t>
        </is>
      </c>
      <c r="E91" s="61" t="inlineStr">
        <is>
          <t>Valid Palindrome</t>
        </is>
      </c>
      <c r="F91" s="61" t="inlineStr">
        <is>
          <t>Easy</t>
        </is>
      </c>
      <c r="G91" s="61" t="inlineStr">
        <is>
          <t>Depth</t>
        </is>
      </c>
      <c r="H91" s="61" t="inlineStr">
        <is>
          <t>LeetCode</t>
        </is>
      </c>
      <c r="I91" s="61" t="inlineStr">
        <is>
          <t>https://leetcode.com/problems/valid-palindrome/</t>
        </is>
      </c>
      <c r="J91" s="61" t="inlineStr">
        <is>
          <t>Not Started</t>
        </is>
      </c>
      <c r="K91" s="61" t="n"/>
      <c r="L91" s="61" t="n"/>
      <c r="M91" s="67" t="n"/>
      <c r="N91" s="67">
        <f>IF($M91="","",$M91+IF($K91="",Dashboard!$M$9,INDEX(Dashboard!$M$5:$M$9,$K91)))</f>
        <v/>
      </c>
      <c r="O91" s="61">
        <f>IF(OR($J91="Attempted",$J91="Revisit"),"DUE",IF($N91="","",IF($N91&lt;=TODAY(),"DUE","")))</f>
        <v/>
      </c>
      <c r="P91" s="61" t="n"/>
    </row>
    <row r="92" ht="15" customHeight="1" s="32">
      <c r="A92" s="61" t="n">
        <v>91</v>
      </c>
      <c r="B92" s="61" t="inlineStr">
        <is>
          <t>1. Foundations - Depth</t>
        </is>
      </c>
      <c r="C92" s="61" t="inlineStr">
        <is>
          <t>02. Arrays &amp; Two Pointers</t>
        </is>
      </c>
      <c r="D92" s="61" t="inlineStr">
        <is>
          <t>Two pointers</t>
        </is>
      </c>
      <c r="E92" s="61" t="inlineStr">
        <is>
          <t>Valid Palindrome II</t>
        </is>
      </c>
      <c r="F92" s="61" t="inlineStr">
        <is>
          <t>Easy</t>
        </is>
      </c>
      <c r="G92" s="61" t="inlineStr">
        <is>
          <t>Depth</t>
        </is>
      </c>
      <c r="H92" s="61" t="inlineStr">
        <is>
          <t>LeetCode</t>
        </is>
      </c>
      <c r="I92" s="61" t="inlineStr">
        <is>
          <t>https://leetcode.com/problems/valid-palindrome-ii/</t>
        </is>
      </c>
      <c r="J92" s="61" t="inlineStr">
        <is>
          <t>Not Started</t>
        </is>
      </c>
      <c r="K92" s="61" t="n"/>
      <c r="L92" s="61" t="n"/>
      <c r="M92" s="67" t="n"/>
      <c r="N92" s="67">
        <f>IF($M92="","",$M92+IF($K92="",Dashboard!$M$9,INDEX(Dashboard!$M$5:$M$9,$K92)))</f>
        <v/>
      </c>
      <c r="O92" s="61">
        <f>IF(OR($J92="Attempted",$J92="Revisit"),"DUE",IF($N92="","",IF($N92&lt;=TODAY(),"DUE","")))</f>
        <v/>
      </c>
      <c r="P92" s="61" t="n"/>
    </row>
    <row r="93" ht="15" customHeight="1" s="32">
      <c r="A93" s="61" t="n">
        <v>92</v>
      </c>
      <c r="B93" s="61" t="inlineStr">
        <is>
          <t>1. Foundations - Depth</t>
        </is>
      </c>
      <c r="C93" s="61" t="inlineStr">
        <is>
          <t>02. Arrays &amp; Two Pointers</t>
        </is>
      </c>
      <c r="D93" s="61" t="inlineStr">
        <is>
          <t>Two pointers</t>
        </is>
      </c>
      <c r="E93" s="61" t="inlineStr">
        <is>
          <t>Backspace String Compare</t>
        </is>
      </c>
      <c r="F93" s="61" t="inlineStr">
        <is>
          <t>Easy</t>
        </is>
      </c>
      <c r="G93" s="61" t="inlineStr">
        <is>
          <t>Depth</t>
        </is>
      </c>
      <c r="H93" s="61" t="inlineStr">
        <is>
          <t>LeetCode</t>
        </is>
      </c>
      <c r="I93" s="61" t="inlineStr">
        <is>
          <t>https://leetcode.com/problems/backspace-string-compare/</t>
        </is>
      </c>
      <c r="J93" s="61" t="inlineStr">
        <is>
          <t>Not Started</t>
        </is>
      </c>
      <c r="K93" s="61" t="n"/>
      <c r="L93" s="61" t="n"/>
      <c r="M93" s="67" t="n"/>
      <c r="N93" s="67">
        <f>IF($M93="","",$M93+IF($K93="",Dashboard!$M$9,INDEX(Dashboard!$M$5:$M$9,$K93)))</f>
        <v/>
      </c>
      <c r="O93" s="61">
        <f>IF(OR($J93="Attempted",$J93="Revisit"),"DUE",IF($N93="","",IF($N93&lt;=TODAY(),"DUE","")))</f>
        <v/>
      </c>
      <c r="P93" s="61" t="inlineStr">
        <is>
          <t>v3 addition</t>
        </is>
      </c>
    </row>
    <row r="94" ht="15" customHeight="1" s="32">
      <c r="A94" s="61" t="n">
        <v>93</v>
      </c>
      <c r="B94" s="61" t="inlineStr">
        <is>
          <t>1. Foundations - Depth</t>
        </is>
      </c>
      <c r="C94" s="61" t="inlineStr">
        <is>
          <t>02. Arrays &amp; Two Pointers</t>
        </is>
      </c>
      <c r="D94" s="61" t="inlineStr">
        <is>
          <t>Two pointers</t>
        </is>
      </c>
      <c r="E94" s="61" t="inlineStr">
        <is>
          <t>Remove Duplicates from Sorted Array II</t>
        </is>
      </c>
      <c r="F94" s="61" t="inlineStr">
        <is>
          <t>Medium</t>
        </is>
      </c>
      <c r="G94" s="61" t="inlineStr">
        <is>
          <t>Depth</t>
        </is>
      </c>
      <c r="H94" s="61" t="inlineStr">
        <is>
          <t>LeetCode</t>
        </is>
      </c>
      <c r="I94" s="61" t="inlineStr">
        <is>
          <t>https://leetcode.com/problems/remove-duplicates-from-sorted-array-ii/</t>
        </is>
      </c>
      <c r="J94" s="61" t="inlineStr">
        <is>
          <t>Not Started</t>
        </is>
      </c>
      <c r="K94" s="61" t="n"/>
      <c r="L94" s="61" t="n"/>
      <c r="M94" s="67" t="n"/>
      <c r="N94" s="67">
        <f>IF($M94="","",$M94+IF($K94="",Dashboard!$M$9,INDEX(Dashboard!$M$5:$M$9,$K94)))</f>
        <v/>
      </c>
      <c r="O94" s="61">
        <f>IF(OR($J94="Attempted",$J94="Revisit"),"DUE",IF($N94="","",IF($N94&lt;=TODAY(),"DUE","")))</f>
        <v/>
      </c>
      <c r="P94" s="61" t="n"/>
    </row>
    <row r="95" ht="15" customHeight="1" s="32">
      <c r="A95" s="61" t="n">
        <v>94</v>
      </c>
      <c r="B95" s="61" t="inlineStr">
        <is>
          <t>1. Foundations - Depth</t>
        </is>
      </c>
      <c r="C95" s="61" t="inlineStr">
        <is>
          <t>02. Arrays &amp; Two Pointers</t>
        </is>
      </c>
      <c r="D95" s="61" t="inlineStr">
        <is>
          <t>Two pointers</t>
        </is>
      </c>
      <c r="E95" s="61" t="inlineStr">
        <is>
          <t>Container With Most Water</t>
        </is>
      </c>
      <c r="F95" s="61" t="inlineStr">
        <is>
          <t>Medium</t>
        </is>
      </c>
      <c r="G95" s="61" t="inlineStr">
        <is>
          <t>Depth</t>
        </is>
      </c>
      <c r="H95" s="61" t="inlineStr">
        <is>
          <t>LeetCode</t>
        </is>
      </c>
      <c r="I95" s="61" t="inlineStr">
        <is>
          <t>https://leetcode.com/problems/container-with-most-water/</t>
        </is>
      </c>
      <c r="J95" s="61" t="inlineStr">
        <is>
          <t>Not Started</t>
        </is>
      </c>
      <c r="K95" s="61" t="n"/>
      <c r="L95" s="61" t="n"/>
      <c r="M95" s="67" t="n"/>
      <c r="N95" s="67">
        <f>IF($M95="","",$M95+IF($K95="",Dashboard!$M$9,INDEX(Dashboard!$M$5:$M$9,$K95)))</f>
        <v/>
      </c>
      <c r="O95" s="61">
        <f>IF(OR($J95="Attempted",$J95="Revisit"),"DUE",IF($N95="","",IF($N95&lt;=TODAY(),"DUE","")))</f>
        <v/>
      </c>
      <c r="P95" s="61" t="n"/>
    </row>
    <row r="96" ht="15" customHeight="1" s="32">
      <c r="A96" s="61" t="n">
        <v>95</v>
      </c>
      <c r="B96" s="61" t="inlineStr">
        <is>
          <t>1. Foundations - Depth</t>
        </is>
      </c>
      <c r="C96" s="61" t="inlineStr">
        <is>
          <t>02. Arrays &amp; Two Pointers</t>
        </is>
      </c>
      <c r="D96" s="61" t="inlineStr">
        <is>
          <t>Two pointers</t>
        </is>
      </c>
      <c r="E96" s="61" t="inlineStr">
        <is>
          <t>Subarray Product Less Than K</t>
        </is>
      </c>
      <c r="F96" s="61" t="inlineStr">
        <is>
          <t>Medium</t>
        </is>
      </c>
      <c r="G96" s="61" t="inlineStr">
        <is>
          <t>Depth</t>
        </is>
      </c>
      <c r="H96" s="61" t="inlineStr">
        <is>
          <t>LeetCode</t>
        </is>
      </c>
      <c r="I96" s="61" t="inlineStr">
        <is>
          <t>https://leetcode.com/problems/subarray-product-less-than-k/</t>
        </is>
      </c>
      <c r="J96" s="61" t="inlineStr">
        <is>
          <t>Not Started</t>
        </is>
      </c>
      <c r="K96" s="61" t="n"/>
      <c r="L96" s="61" t="n"/>
      <c r="M96" s="67" t="n"/>
      <c r="N96" s="67">
        <f>IF($M96="","",$M96+IF($K96="",Dashboard!$M$9,INDEX(Dashboard!$M$5:$M$9,$K96)))</f>
        <v/>
      </c>
      <c r="O96" s="61">
        <f>IF(OR($J96="Attempted",$J96="Revisit"),"DUE",IF($N96="","",IF($N96&lt;=TODAY(),"DUE","")))</f>
        <v/>
      </c>
      <c r="P96" s="61" t="n"/>
    </row>
    <row r="97" ht="15" customHeight="1" s="32">
      <c r="A97" s="61" t="n">
        <v>96</v>
      </c>
      <c r="B97" s="61" t="inlineStr">
        <is>
          <t>1. Foundations - Depth</t>
        </is>
      </c>
      <c r="C97" s="61" t="inlineStr">
        <is>
          <t>02. Arrays &amp; Two Pointers</t>
        </is>
      </c>
      <c r="D97" s="61" t="inlineStr">
        <is>
          <t>Two pointers</t>
        </is>
      </c>
      <c r="E97" s="61" t="inlineStr">
        <is>
          <t>Boats to Save People</t>
        </is>
      </c>
      <c r="F97" s="61" t="inlineStr">
        <is>
          <t>Medium</t>
        </is>
      </c>
      <c r="G97" s="61" t="inlineStr">
        <is>
          <t>Depth</t>
        </is>
      </c>
      <c r="H97" s="61" t="inlineStr">
        <is>
          <t>LeetCode</t>
        </is>
      </c>
      <c r="I97" s="61" t="inlineStr">
        <is>
          <t>https://leetcode.com/problems/boats-to-save-people/</t>
        </is>
      </c>
      <c r="J97" s="61" t="inlineStr">
        <is>
          <t>Not Started</t>
        </is>
      </c>
      <c r="K97" s="61" t="n"/>
      <c r="L97" s="61" t="n"/>
      <c r="M97" s="67" t="n"/>
      <c r="N97" s="67">
        <f>IF($M97="","",$M97+IF($K97="",Dashboard!$M$9,INDEX(Dashboard!$M$5:$M$9,$K97)))</f>
        <v/>
      </c>
      <c r="O97" s="61">
        <f>IF(OR($J97="Attempted",$J97="Revisit"),"DUE",IF($N97="","",IF($N97&lt;=TODAY(),"DUE","")))</f>
        <v/>
      </c>
      <c r="P97" s="61" t="n"/>
    </row>
    <row r="98" ht="15" customHeight="1" s="32">
      <c r="A98" s="61" t="n">
        <v>97</v>
      </c>
      <c r="B98" s="61" t="inlineStr">
        <is>
          <t>1. Foundations - Depth</t>
        </is>
      </c>
      <c r="C98" s="61" t="inlineStr">
        <is>
          <t>02. Arrays &amp; Two Pointers</t>
        </is>
      </c>
      <c r="D98" s="61" t="inlineStr">
        <is>
          <t>Two pointers</t>
        </is>
      </c>
      <c r="E98" s="61" t="inlineStr">
        <is>
          <t>Longest Mountain in Array</t>
        </is>
      </c>
      <c r="F98" s="61" t="inlineStr">
        <is>
          <t>Medium</t>
        </is>
      </c>
      <c r="G98" s="61" t="inlineStr">
        <is>
          <t>Depth</t>
        </is>
      </c>
      <c r="H98" s="61" t="inlineStr">
        <is>
          <t>LeetCode</t>
        </is>
      </c>
      <c r="I98" s="61" t="inlineStr">
        <is>
          <t>https://leetcode.com/problems/longest-mountain-in-array/</t>
        </is>
      </c>
      <c r="J98" s="61" t="inlineStr">
        <is>
          <t>Not Started</t>
        </is>
      </c>
      <c r="K98" s="61" t="n"/>
      <c r="L98" s="61" t="n"/>
      <c r="M98" s="67" t="n"/>
      <c r="N98" s="67">
        <f>IF($M98="","",$M98+IF($K98="",Dashboard!$M$9,INDEX(Dashboard!$M$5:$M$9,$K98)))</f>
        <v/>
      </c>
      <c r="O98" s="61">
        <f>IF(OR($J98="Attempted",$J98="Revisit"),"DUE",IF($N98="","",IF($N98&lt;=TODAY(),"DUE","")))</f>
        <v/>
      </c>
      <c r="P98" s="61" t="n"/>
    </row>
    <row r="99" ht="15" customHeight="1" s="32">
      <c r="A99" s="61" t="n">
        <v>98</v>
      </c>
      <c r="B99" s="61" t="inlineStr">
        <is>
          <t>1. Foundations - Depth</t>
        </is>
      </c>
      <c r="C99" s="61" t="inlineStr">
        <is>
          <t>02. Arrays &amp; Two Pointers</t>
        </is>
      </c>
      <c r="D99" s="61" t="inlineStr">
        <is>
          <t>Dutch National Flag</t>
        </is>
      </c>
      <c r="E99" s="61" t="inlineStr">
        <is>
          <t>Sort Array By Parity II</t>
        </is>
      </c>
      <c r="F99" s="61" t="inlineStr">
        <is>
          <t>Easy</t>
        </is>
      </c>
      <c r="G99" s="61" t="inlineStr">
        <is>
          <t>Depth</t>
        </is>
      </c>
      <c r="H99" s="61" t="inlineStr">
        <is>
          <t>LeetCode</t>
        </is>
      </c>
      <c r="I99" s="61" t="inlineStr">
        <is>
          <t>https://leetcode.com/problems/sort-array-by-parity-ii/</t>
        </is>
      </c>
      <c r="J99" s="61" t="inlineStr">
        <is>
          <t>Not Started</t>
        </is>
      </c>
      <c r="K99" s="61" t="n"/>
      <c r="L99" s="61" t="n"/>
      <c r="M99" s="67" t="n"/>
      <c r="N99" s="67">
        <f>IF($M99="","",$M99+IF($K99="",Dashboard!$M$9,INDEX(Dashboard!$M$5:$M$9,$K99)))</f>
        <v/>
      </c>
      <c r="O99" s="61">
        <f>IF(OR($J99="Attempted",$J99="Revisit"),"DUE",IF($N99="","",IF($N99&lt;=TODAY(),"DUE","")))</f>
        <v/>
      </c>
      <c r="P99" s="61" t="n"/>
    </row>
    <row r="100" ht="15" customHeight="1" s="32">
      <c r="A100" s="61" t="n">
        <v>99</v>
      </c>
      <c r="B100" s="61" t="inlineStr">
        <is>
          <t>1. Foundations - Depth</t>
        </is>
      </c>
      <c r="C100" s="61" t="inlineStr">
        <is>
          <t>02. Arrays &amp; Two Pointers</t>
        </is>
      </c>
      <c r="D100" s="61" t="inlineStr">
        <is>
          <t>Dutch National Flag</t>
        </is>
      </c>
      <c r="E100" s="61" t="inlineStr">
        <is>
          <t>Partition Array According to Given Pivot</t>
        </is>
      </c>
      <c r="F100" s="61" t="inlineStr">
        <is>
          <t>Medium</t>
        </is>
      </c>
      <c r="G100" s="61" t="inlineStr">
        <is>
          <t>Depth</t>
        </is>
      </c>
      <c r="H100" s="61" t="inlineStr">
        <is>
          <t>LeetCode</t>
        </is>
      </c>
      <c r="I100" s="61" t="inlineStr">
        <is>
          <t>https://leetcode.com/problems/partition-array-according-to-given-pivot/</t>
        </is>
      </c>
      <c r="J100" s="61" t="inlineStr">
        <is>
          <t>Not Started</t>
        </is>
      </c>
      <c r="K100" s="61" t="n"/>
      <c r="L100" s="61" t="n"/>
      <c r="M100" s="67" t="n"/>
      <c r="N100" s="67">
        <f>IF($M100="","",$M100+IF($K100="",Dashboard!$M$9,INDEX(Dashboard!$M$5:$M$9,$K100)))</f>
        <v/>
      </c>
      <c r="O100" s="61">
        <f>IF(OR($J100="Attempted",$J100="Revisit"),"DUE",IF($N100="","",IF($N100&lt;=TODAY(),"DUE","")))</f>
        <v/>
      </c>
      <c r="P100" s="61" t="inlineStr">
        <is>
          <t>v3 addition</t>
        </is>
      </c>
    </row>
    <row r="101" ht="15" customHeight="1" s="32">
      <c r="A101" s="61" t="n">
        <v>100</v>
      </c>
      <c r="B101" s="61" t="inlineStr">
        <is>
          <t>1. Foundations - Depth</t>
        </is>
      </c>
      <c r="C101" s="61" t="inlineStr">
        <is>
          <t>02. Arrays &amp; Two Pointers</t>
        </is>
      </c>
      <c r="D101" s="61" t="inlineStr">
        <is>
          <t>Rearrangement</t>
        </is>
      </c>
      <c r="E101" s="61" t="inlineStr">
        <is>
          <t>Rearrange Array Elements by Sign</t>
        </is>
      </c>
      <c r="F101" s="61" t="inlineStr">
        <is>
          <t>Medium</t>
        </is>
      </c>
      <c r="G101" s="61" t="inlineStr">
        <is>
          <t>Depth</t>
        </is>
      </c>
      <c r="H101" s="61" t="inlineStr">
        <is>
          <t>LeetCode</t>
        </is>
      </c>
      <c r="I101" s="61" t="inlineStr">
        <is>
          <t>https://leetcode.com/problems/rearrange-array-elements-by-sign/</t>
        </is>
      </c>
      <c r="J101" s="61" t="inlineStr">
        <is>
          <t>Not Started</t>
        </is>
      </c>
      <c r="K101" s="61" t="n"/>
      <c r="L101" s="61" t="n"/>
      <c r="M101" s="67" t="n"/>
      <c r="N101" s="67">
        <f>IF($M101="","",$M101+IF($K101="",Dashboard!$M$9,INDEX(Dashboard!$M$5:$M$9,$K101)))</f>
        <v/>
      </c>
      <c r="O101" s="61">
        <f>IF(OR($J101="Attempted",$J101="Revisit"),"DUE",IF($N101="","",IF($N101&lt;=TODAY(),"DUE","")))</f>
        <v/>
      </c>
      <c r="P101" s="61" t="inlineStr">
        <is>
          <t>v3 addition</t>
        </is>
      </c>
    </row>
    <row r="102" ht="15" customHeight="1" s="32">
      <c r="A102" s="61" t="n">
        <v>101</v>
      </c>
      <c r="B102" s="61" t="inlineStr">
        <is>
          <t>1. Foundations - Depth</t>
        </is>
      </c>
      <c r="C102" s="61" t="inlineStr">
        <is>
          <t>02. Arrays &amp; Two Pointers</t>
        </is>
      </c>
      <c r="D102" s="61" t="inlineStr">
        <is>
          <t>Rearrangement</t>
        </is>
      </c>
      <c r="E102" s="61" t="inlineStr">
        <is>
          <t>Shortest Unsorted Continuous Subarray</t>
        </is>
      </c>
      <c r="F102" s="61" t="inlineStr">
        <is>
          <t>Medium</t>
        </is>
      </c>
      <c r="G102" s="61" t="inlineStr">
        <is>
          <t>Depth</t>
        </is>
      </c>
      <c r="H102" s="61" t="inlineStr">
        <is>
          <t>LeetCode</t>
        </is>
      </c>
      <c r="I102" s="61" t="inlineStr">
        <is>
          <t>https://leetcode.com/problems/shortest-unsorted-continuous-subarray/</t>
        </is>
      </c>
      <c r="J102" s="61" t="inlineStr">
        <is>
          <t>Not Started</t>
        </is>
      </c>
      <c r="K102" s="61" t="n"/>
      <c r="L102" s="61" t="n"/>
      <c r="M102" s="67" t="n"/>
      <c r="N102" s="67">
        <f>IF($M102="","",$M102+IF($K102="",Dashboard!$M$9,INDEX(Dashboard!$M$5:$M$9,$K102)))</f>
        <v/>
      </c>
      <c r="O102" s="61">
        <f>IF(OR($J102="Attempted",$J102="Revisit"),"DUE",IF($N102="","",IF($N102&lt;=TODAY(),"DUE","")))</f>
        <v/>
      </c>
      <c r="P102" s="61" t="inlineStr">
        <is>
          <t>v3 addition</t>
        </is>
      </c>
    </row>
    <row r="103" ht="15" customHeight="1" s="32">
      <c r="A103" s="61" t="n">
        <v>102</v>
      </c>
      <c r="B103" s="61" t="inlineStr">
        <is>
          <t>1. Foundations - Depth</t>
        </is>
      </c>
      <c r="C103" s="61" t="inlineStr">
        <is>
          <t>02. Arrays &amp; Two Pointers</t>
        </is>
      </c>
      <c r="D103" s="61" t="inlineStr">
        <is>
          <t>Rearrangement</t>
        </is>
      </c>
      <c r="E103" s="61" t="inlineStr">
        <is>
          <t>Rearrange Array Alternately</t>
        </is>
      </c>
      <c r="F103" s="61" t="inlineStr">
        <is>
          <t>Medium</t>
        </is>
      </c>
      <c r="G103" s="61" t="inlineStr">
        <is>
          <t>Depth</t>
        </is>
      </c>
      <c r="H103" s="61" t="inlineStr">
        <is>
          <t>GeeksforGeeks</t>
        </is>
      </c>
      <c r="I103" s="61" t="inlineStr">
        <is>
          <t>https://www.geeksforgeeks.org/search/?q=Rearrange+Array+Alternately</t>
        </is>
      </c>
      <c r="J103" s="61" t="inlineStr">
        <is>
          <t>Not Started</t>
        </is>
      </c>
      <c r="K103" s="61" t="n"/>
      <c r="L103" s="61" t="n"/>
      <c r="M103" s="67" t="n"/>
      <c r="N103" s="67">
        <f>IF($M103="","",$M103+IF($K103="",Dashboard!$M$9,INDEX(Dashboard!$M$5:$M$9,$K103)))</f>
        <v/>
      </c>
      <c r="O103" s="61">
        <f>IF(OR($J103="Attempted",$J103="Revisit"),"DUE",IF($N103="","",IF($N103&lt;=TODAY(),"DUE","")))</f>
        <v/>
      </c>
      <c r="P103" s="61" t="n"/>
    </row>
    <row r="104" ht="15" customHeight="1" s="32">
      <c r="A104" s="61" t="n">
        <v>103</v>
      </c>
      <c r="B104" s="61" t="inlineStr">
        <is>
          <t>1. Foundations - Depth</t>
        </is>
      </c>
      <c r="C104" s="61" t="inlineStr">
        <is>
          <t>02. Arrays &amp; Two Pointers</t>
        </is>
      </c>
      <c r="D104" s="61" t="inlineStr">
        <is>
          <t>K-Sum</t>
        </is>
      </c>
      <c r="E104" s="61" t="inlineStr">
        <is>
          <t>4Sum</t>
        </is>
      </c>
      <c r="F104" s="61" t="inlineStr">
        <is>
          <t>Medium</t>
        </is>
      </c>
      <c r="G104" s="61" t="inlineStr">
        <is>
          <t>Depth</t>
        </is>
      </c>
      <c r="H104" s="61" t="inlineStr">
        <is>
          <t>LeetCode</t>
        </is>
      </c>
      <c r="I104" s="61" t="inlineStr">
        <is>
          <t>https://leetcode.com/problems/4sum/</t>
        </is>
      </c>
      <c r="J104" s="61" t="inlineStr">
        <is>
          <t>Not Started</t>
        </is>
      </c>
      <c r="K104" s="61" t="n"/>
      <c r="L104" s="61" t="n"/>
      <c r="M104" s="67" t="n"/>
      <c r="N104" s="67">
        <f>IF($M104="","",$M104+IF($K104="",Dashboard!$M$9,INDEX(Dashboard!$M$5:$M$9,$K104)))</f>
        <v/>
      </c>
      <c r="O104" s="61">
        <f>IF(OR($J104="Attempted",$J104="Revisit"),"DUE",IF($N104="","",IF($N104&lt;=TODAY(),"DUE","")))</f>
        <v/>
      </c>
      <c r="P104" s="61" t="inlineStr">
        <is>
          <t>v3 addition</t>
        </is>
      </c>
    </row>
    <row r="105" ht="15" customHeight="1" s="32">
      <c r="A105" s="61" t="n">
        <v>104</v>
      </c>
      <c r="B105" s="61" t="inlineStr">
        <is>
          <t>1. Foundations - Depth</t>
        </is>
      </c>
      <c r="C105" s="61" t="inlineStr">
        <is>
          <t>02. Arrays &amp; Two Pointers</t>
        </is>
      </c>
      <c r="D105" s="61" t="inlineStr">
        <is>
          <t>K-Sum</t>
        </is>
      </c>
      <c r="E105" s="61" t="inlineStr">
        <is>
          <t>Count Triplets with Sum Smaller than X</t>
        </is>
      </c>
      <c r="F105" s="61" t="inlineStr">
        <is>
          <t>Medium</t>
        </is>
      </c>
      <c r="G105" s="61" t="inlineStr">
        <is>
          <t>Depth</t>
        </is>
      </c>
      <c r="H105" s="61" t="inlineStr">
        <is>
          <t>GeeksforGeeks</t>
        </is>
      </c>
      <c r="I105" s="61" t="inlineStr">
        <is>
          <t>https://www.geeksforgeeks.org/problems/count-triplets-with-sum-smaller-than-x5549/1</t>
        </is>
      </c>
      <c r="J105" s="61" t="inlineStr">
        <is>
          <t>Not Started</t>
        </is>
      </c>
      <c r="K105" s="61" t="n"/>
      <c r="L105" s="61" t="n"/>
      <c r="M105" s="67" t="n"/>
      <c r="N105" s="67">
        <f>IF($M105="","",$M105+IF($K105="",Dashboard!$M$9,INDEX(Dashboard!$M$5:$M$9,$K105)))</f>
        <v/>
      </c>
      <c r="O105" s="61">
        <f>IF(OR($J105="Attempted",$J105="Revisit"),"DUE",IF($N105="","",IF($N105&lt;=TODAY(),"DUE","")))</f>
        <v/>
      </c>
      <c r="P105" s="61" t="inlineStr">
        <is>
          <t>v3 addition</t>
        </is>
      </c>
    </row>
    <row r="106" ht="15" customHeight="1" s="32">
      <c r="A106" s="61" t="n">
        <v>105</v>
      </c>
      <c r="B106" s="61" t="inlineStr">
        <is>
          <t>1. Foundations - Depth</t>
        </is>
      </c>
      <c r="C106" s="61" t="inlineStr">
        <is>
          <t>02. Arrays &amp; Two Pointers</t>
        </is>
      </c>
      <c r="D106" s="61" t="inlineStr">
        <is>
          <t>Index cycles</t>
        </is>
      </c>
      <c r="E106" s="61" t="inlineStr">
        <is>
          <t>Circular Array Loop</t>
        </is>
      </c>
      <c r="F106" s="61" t="inlineStr">
        <is>
          <t>Medium</t>
        </is>
      </c>
      <c r="G106" s="61" t="inlineStr">
        <is>
          <t>Depth</t>
        </is>
      </c>
      <c r="H106" s="61" t="inlineStr">
        <is>
          <t>LeetCode</t>
        </is>
      </c>
      <c r="I106" s="61" t="inlineStr">
        <is>
          <t>https://leetcode.com/problems/circular-array-loop/</t>
        </is>
      </c>
      <c r="J106" s="61" t="inlineStr">
        <is>
          <t>Not Started</t>
        </is>
      </c>
      <c r="K106" s="61" t="n"/>
      <c r="L106" s="61" t="n"/>
      <c r="M106" s="67" t="n"/>
      <c r="N106" s="67">
        <f>IF($M106="","",$M106+IF($K106="",Dashboard!$M$9,INDEX(Dashboard!$M$5:$M$9,$K106)))</f>
        <v/>
      </c>
      <c r="O106" s="61">
        <f>IF(OR($J106="Attempted",$J106="Revisit"),"DUE",IF($N106="","",IF($N106&lt;=TODAY(),"DUE","")))</f>
        <v/>
      </c>
      <c r="P106" s="61" t="inlineStr">
        <is>
          <t>v3 addition</t>
        </is>
      </c>
    </row>
    <row r="107" ht="15" customHeight="1" s="32">
      <c r="A107" s="61" t="n">
        <v>106</v>
      </c>
      <c r="B107" s="61" t="inlineStr">
        <is>
          <t>1. Foundations - Depth</t>
        </is>
      </c>
      <c r="C107" s="61" t="inlineStr">
        <is>
          <t>02. Arrays &amp; Two Pointers</t>
        </is>
      </c>
      <c r="D107" s="61" t="inlineStr">
        <is>
          <t>Index cycles</t>
        </is>
      </c>
      <c r="E107" s="61" t="inlineStr">
        <is>
          <t>Array Nesting</t>
        </is>
      </c>
      <c r="F107" s="61" t="inlineStr">
        <is>
          <t>Medium</t>
        </is>
      </c>
      <c r="G107" s="61" t="inlineStr">
        <is>
          <t>Depth</t>
        </is>
      </c>
      <c r="H107" s="61" t="inlineStr">
        <is>
          <t>LeetCode</t>
        </is>
      </c>
      <c r="I107" s="61" t="inlineStr">
        <is>
          <t>https://leetcode.com/problems/array-nesting/</t>
        </is>
      </c>
      <c r="J107" s="61" t="inlineStr">
        <is>
          <t>Not Started</t>
        </is>
      </c>
      <c r="K107" s="61" t="n"/>
      <c r="L107" s="61" t="n"/>
      <c r="M107" s="67" t="n"/>
      <c r="N107" s="67">
        <f>IF($M107="","",$M107+IF($K107="",Dashboard!$M$9,INDEX(Dashboard!$M$5:$M$9,$K107)))</f>
        <v/>
      </c>
      <c r="O107" s="61">
        <f>IF(OR($J107="Attempted",$J107="Revisit"),"DUE",IF($N107="","",IF($N107&lt;=TODAY(),"DUE","")))</f>
        <v/>
      </c>
      <c r="P107" s="61" t="inlineStr">
        <is>
          <t>v3 addition</t>
        </is>
      </c>
    </row>
    <row r="108" ht="15" customHeight="1" s="32">
      <c r="A108" s="61" t="n">
        <v>107</v>
      </c>
      <c r="B108" s="61" t="inlineStr">
        <is>
          <t>1. Foundations - Depth</t>
        </is>
      </c>
      <c r="C108" s="61" t="inlineStr">
        <is>
          <t>03. Sorting &amp; Cyclic Sort</t>
        </is>
      </c>
      <c r="D108" s="61" t="inlineStr">
        <is>
          <t>Custom comparator</t>
        </is>
      </c>
      <c r="E108" s="61" t="inlineStr">
        <is>
          <t>Sort Characters By Frequency</t>
        </is>
      </c>
      <c r="F108" s="61" t="inlineStr">
        <is>
          <t>Medium</t>
        </is>
      </c>
      <c r="G108" s="61" t="inlineStr">
        <is>
          <t>Depth</t>
        </is>
      </c>
      <c r="H108" s="61" t="inlineStr">
        <is>
          <t>LeetCode</t>
        </is>
      </c>
      <c r="I108" s="61" t="inlineStr">
        <is>
          <t>https://leetcode.com/problems/sort-characters-by-frequency/</t>
        </is>
      </c>
      <c r="J108" s="61" t="inlineStr">
        <is>
          <t>Not Started</t>
        </is>
      </c>
      <c r="K108" s="61" t="n"/>
      <c r="L108" s="61" t="n"/>
      <c r="M108" s="67" t="n"/>
      <c r="N108" s="67">
        <f>IF($M108="","",$M108+IF($K108="",Dashboard!$M$9,INDEX(Dashboard!$M$5:$M$9,$K108)))</f>
        <v/>
      </c>
      <c r="O108" s="61">
        <f>IF(OR($J108="Attempted",$J108="Revisit"),"DUE",IF($N108="","",IF($N108&lt;=TODAY(),"DUE","")))</f>
        <v/>
      </c>
      <c r="P108" s="61" t="inlineStr">
        <is>
          <t>v3 addition</t>
        </is>
      </c>
    </row>
    <row r="109" ht="15" customHeight="1" s="32">
      <c r="A109" s="61" t="n">
        <v>108</v>
      </c>
      <c r="B109" s="61" t="inlineStr">
        <is>
          <t>1. Foundations - Depth</t>
        </is>
      </c>
      <c r="C109" s="61" t="inlineStr">
        <is>
          <t>03. Sorting &amp; Cyclic Sort</t>
        </is>
      </c>
      <c r="D109" s="61" t="inlineStr">
        <is>
          <t>Custom comparator</t>
        </is>
      </c>
      <c r="E109" s="61" t="inlineStr">
        <is>
          <t>Custom Sort String</t>
        </is>
      </c>
      <c r="F109" s="61" t="inlineStr">
        <is>
          <t>Medium</t>
        </is>
      </c>
      <c r="G109" s="61" t="inlineStr">
        <is>
          <t>Depth</t>
        </is>
      </c>
      <c r="H109" s="61" t="inlineStr">
        <is>
          <t>LeetCode</t>
        </is>
      </c>
      <c r="I109" s="61" t="inlineStr">
        <is>
          <t>https://leetcode.com/problems/custom-sort-string/</t>
        </is>
      </c>
      <c r="J109" s="61" t="inlineStr">
        <is>
          <t>Not Started</t>
        </is>
      </c>
      <c r="K109" s="61" t="n"/>
      <c r="L109" s="61" t="n"/>
      <c r="M109" s="67" t="n"/>
      <c r="N109" s="67">
        <f>IF($M109="","",$M109+IF($K109="",Dashboard!$M$9,INDEX(Dashboard!$M$5:$M$9,$K109)))</f>
        <v/>
      </c>
      <c r="O109" s="61">
        <f>IF(OR($J109="Attempted",$J109="Revisit"),"DUE",IF($N109="","",IF($N109&lt;=TODAY(),"DUE","")))</f>
        <v/>
      </c>
      <c r="P109" s="61" t="n"/>
    </row>
    <row r="110" ht="15" customHeight="1" s="32">
      <c r="A110" s="61" t="n">
        <v>109</v>
      </c>
      <c r="B110" s="61" t="inlineStr">
        <is>
          <t>1. Foundations - Depth</t>
        </is>
      </c>
      <c r="C110" s="61" t="inlineStr">
        <is>
          <t>03. Sorting &amp; Cyclic Sort</t>
        </is>
      </c>
      <c r="D110" s="61" t="inlineStr">
        <is>
          <t>Counting sort</t>
        </is>
      </c>
      <c r="E110" s="61" t="inlineStr">
        <is>
          <t>Minimum Time Difference</t>
        </is>
      </c>
      <c r="F110" s="61" t="inlineStr">
        <is>
          <t>Medium</t>
        </is>
      </c>
      <c r="G110" s="61" t="inlineStr">
        <is>
          <t>Depth</t>
        </is>
      </c>
      <c r="H110" s="61" t="inlineStr">
        <is>
          <t>LeetCode</t>
        </is>
      </c>
      <c r="I110" s="61" t="inlineStr">
        <is>
          <t>https://leetcode.com/problems/minimum-time-difference/</t>
        </is>
      </c>
      <c r="J110" s="61" t="inlineStr">
        <is>
          <t>Not Started</t>
        </is>
      </c>
      <c r="K110" s="61" t="n"/>
      <c r="L110" s="61" t="n"/>
      <c r="M110" s="67" t="n"/>
      <c r="N110" s="67">
        <f>IF($M110="","",$M110+IF($K110="",Dashboard!$M$9,INDEX(Dashboard!$M$5:$M$9,$K110)))</f>
        <v/>
      </c>
      <c r="O110" s="61">
        <f>IF(OR($J110="Attempted",$J110="Revisit"),"DUE",IF($N110="","",IF($N110&lt;=TODAY(),"DUE","")))</f>
        <v/>
      </c>
      <c r="P110" s="61" t="n"/>
    </row>
    <row r="111" ht="15" customHeight="1" s="32">
      <c r="A111" s="61" t="n">
        <v>110</v>
      </c>
      <c r="B111" s="61" t="inlineStr">
        <is>
          <t>1. Foundations - Depth</t>
        </is>
      </c>
      <c r="C111" s="61" t="inlineStr">
        <is>
          <t>03. Sorting &amp; Cyclic Sort</t>
        </is>
      </c>
      <c r="D111" s="61" t="inlineStr">
        <is>
          <t>Cyclic sort</t>
        </is>
      </c>
      <c r="E111" s="61" t="inlineStr">
        <is>
          <t>Set Mismatch</t>
        </is>
      </c>
      <c r="F111" s="61" t="inlineStr">
        <is>
          <t>Easy</t>
        </is>
      </c>
      <c r="G111" s="61" t="inlineStr">
        <is>
          <t>Depth</t>
        </is>
      </c>
      <c r="H111" s="61" t="inlineStr">
        <is>
          <t>LeetCode</t>
        </is>
      </c>
      <c r="I111" s="61" t="inlineStr">
        <is>
          <t>https://leetcode.com/problems/set-mismatch/</t>
        </is>
      </c>
      <c r="J111" s="61" t="inlineStr">
        <is>
          <t>Not Started</t>
        </is>
      </c>
      <c r="K111" s="61" t="n"/>
      <c r="L111" s="61" t="n"/>
      <c r="M111" s="67" t="n"/>
      <c r="N111" s="67">
        <f>IF($M111="","",$M111+IF($K111="",Dashboard!$M$9,INDEX(Dashboard!$M$5:$M$9,$K111)))</f>
        <v/>
      </c>
      <c r="O111" s="61">
        <f>IF(OR($J111="Attempted",$J111="Revisit"),"DUE",IF($N111="","",IF($N111&lt;=TODAY(),"DUE","")))</f>
        <v/>
      </c>
      <c r="P111" s="61" t="n"/>
    </row>
    <row r="112" ht="15" customHeight="1" s="32">
      <c r="A112" s="61" t="n">
        <v>111</v>
      </c>
      <c r="B112" s="61" t="inlineStr">
        <is>
          <t>1. Foundations - Depth</t>
        </is>
      </c>
      <c r="C112" s="61" t="inlineStr">
        <is>
          <t>03. Sorting &amp; Cyclic Sort</t>
        </is>
      </c>
      <c r="D112" s="61" t="inlineStr">
        <is>
          <t>Cyclic sort</t>
        </is>
      </c>
      <c r="E112" s="61" t="inlineStr">
        <is>
          <t>Find All Duplicates in an Array</t>
        </is>
      </c>
      <c r="F112" s="61" t="inlineStr">
        <is>
          <t>Medium</t>
        </is>
      </c>
      <c r="G112" s="61" t="inlineStr">
        <is>
          <t>Depth</t>
        </is>
      </c>
      <c r="H112" s="61" t="inlineStr">
        <is>
          <t>LeetCode</t>
        </is>
      </c>
      <c r="I112" s="61" t="inlineStr">
        <is>
          <t>https://leetcode.com/problems/find-all-duplicates-in-an-array/</t>
        </is>
      </c>
      <c r="J112" s="61" t="inlineStr">
        <is>
          <t>Not Started</t>
        </is>
      </c>
      <c r="K112" s="61" t="n"/>
      <c r="L112" s="61" t="n"/>
      <c r="M112" s="67" t="n"/>
      <c r="N112" s="67">
        <f>IF($M112="","",$M112+IF($K112="",Dashboard!$M$9,INDEX(Dashboard!$M$5:$M$9,$K112)))</f>
        <v/>
      </c>
      <c r="O112" s="61">
        <f>IF(OR($J112="Attempted",$J112="Revisit"),"DUE",IF($N112="","",IF($N112&lt;=TODAY(),"DUE","")))</f>
        <v/>
      </c>
      <c r="P112" s="61" t="n"/>
    </row>
    <row r="113" ht="15" customHeight="1" s="32">
      <c r="A113" s="61" t="n">
        <v>112</v>
      </c>
      <c r="B113" s="61" t="inlineStr">
        <is>
          <t>1. Foundations - Depth</t>
        </is>
      </c>
      <c r="C113" s="61" t="inlineStr">
        <is>
          <t>03. Sorting &amp; Cyclic Sort</t>
        </is>
      </c>
      <c r="D113" s="61" t="inlineStr">
        <is>
          <t>Cyclic sort</t>
        </is>
      </c>
      <c r="E113" s="61" t="inlineStr">
        <is>
          <t>Find the Duplicate Number</t>
        </is>
      </c>
      <c r="F113" s="61" t="inlineStr">
        <is>
          <t>Medium</t>
        </is>
      </c>
      <c r="G113" s="61" t="inlineStr">
        <is>
          <t>Depth</t>
        </is>
      </c>
      <c r="H113" s="61" t="inlineStr">
        <is>
          <t>LeetCode</t>
        </is>
      </c>
      <c r="I113" s="61" t="inlineStr">
        <is>
          <t>https://leetcode.com/problems/find-the-duplicate-number/</t>
        </is>
      </c>
      <c r="J113" s="61" t="inlineStr">
        <is>
          <t>Not Started</t>
        </is>
      </c>
      <c r="K113" s="61" t="n"/>
      <c r="L113" s="61" t="n"/>
      <c r="M113" s="67" t="n"/>
      <c r="N113" s="67">
        <f>IF($M113="","",$M113+IF($K113="",Dashboard!$M$9,INDEX(Dashboard!$M$5:$M$9,$K113)))</f>
        <v/>
      </c>
      <c r="O113" s="61">
        <f>IF(OR($J113="Attempted",$J113="Revisit"),"DUE",IF($N113="","",IF($N113&lt;=TODAY(),"DUE","")))</f>
        <v/>
      </c>
      <c r="P113" s="61" t="n"/>
    </row>
    <row r="114" ht="15" customHeight="1" s="32">
      <c r="A114" s="61" t="n">
        <v>113</v>
      </c>
      <c r="B114" s="61" t="inlineStr">
        <is>
          <t>1. Foundations - Depth</t>
        </is>
      </c>
      <c r="C114" s="61" t="inlineStr">
        <is>
          <t>03. Sorting &amp; Cyclic Sort</t>
        </is>
      </c>
      <c r="D114" s="61" t="inlineStr">
        <is>
          <t>Sorting application</t>
        </is>
      </c>
      <c r="E114" s="61" t="inlineStr">
        <is>
          <t>Maximum Gap</t>
        </is>
      </c>
      <c r="F114" s="61" t="inlineStr">
        <is>
          <t>Medium</t>
        </is>
      </c>
      <c r="G114" s="61" t="inlineStr">
        <is>
          <t>Depth</t>
        </is>
      </c>
      <c r="H114" s="61" t="inlineStr">
        <is>
          <t>LeetCode</t>
        </is>
      </c>
      <c r="I114" s="61" t="inlineStr">
        <is>
          <t>https://leetcode.com/problems/maximum-gap/</t>
        </is>
      </c>
      <c r="J114" s="61" t="inlineStr">
        <is>
          <t>Not Started</t>
        </is>
      </c>
      <c r="K114" s="61" t="n"/>
      <c r="L114" s="61" t="n"/>
      <c r="M114" s="67" t="n"/>
      <c r="N114" s="67">
        <f>IF($M114="","",$M114+IF($K114="",Dashboard!$M$9,INDEX(Dashboard!$M$5:$M$9,$K114)))</f>
        <v/>
      </c>
      <c r="O114" s="61">
        <f>IF(OR($J114="Attempted",$J114="Revisit"),"DUE",IF($N114="","",IF($N114&lt;=TODAY(),"DUE","")))</f>
        <v/>
      </c>
      <c r="P114" s="61" t="n"/>
    </row>
    <row r="115" ht="15" customHeight="1" s="32">
      <c r="A115" s="61" t="n">
        <v>114</v>
      </c>
      <c r="B115" s="61" t="inlineStr">
        <is>
          <t>1. Foundations - Depth</t>
        </is>
      </c>
      <c r="C115" s="61" t="inlineStr">
        <is>
          <t>04. Hashing</t>
        </is>
      </c>
      <c r="D115" s="61" t="inlineStr">
        <is>
          <t>Set basics</t>
        </is>
      </c>
      <c r="E115" s="61" t="inlineStr">
        <is>
          <t>Intersection of Two Arrays</t>
        </is>
      </c>
      <c r="F115" s="61" t="inlineStr">
        <is>
          <t>Easy</t>
        </is>
      </c>
      <c r="G115" s="61" t="inlineStr">
        <is>
          <t>Depth</t>
        </is>
      </c>
      <c r="H115" s="61" t="inlineStr">
        <is>
          <t>LeetCode</t>
        </is>
      </c>
      <c r="I115" s="61" t="inlineStr">
        <is>
          <t>https://leetcode.com/problems/intersection-of-two-arrays/</t>
        </is>
      </c>
      <c r="J115" s="61" t="inlineStr">
        <is>
          <t>Not Started</t>
        </is>
      </c>
      <c r="K115" s="61" t="n"/>
      <c r="L115" s="61" t="n"/>
      <c r="M115" s="67" t="n"/>
      <c r="N115" s="67">
        <f>IF($M115="","",$M115+IF($K115="",Dashboard!$M$9,INDEX(Dashboard!$M$5:$M$9,$K115)))</f>
        <v/>
      </c>
      <c r="O115" s="61">
        <f>IF(OR($J115="Attempted",$J115="Revisit"),"DUE",IF($N115="","",IF($N115&lt;=TODAY(),"DUE","")))</f>
        <v/>
      </c>
      <c r="P115" s="61" t="n"/>
    </row>
    <row r="116" ht="15" customHeight="1" s="32">
      <c r="A116" s="61" t="n">
        <v>115</v>
      </c>
      <c r="B116" s="61" t="inlineStr">
        <is>
          <t>1. Foundations - Depth</t>
        </is>
      </c>
      <c r="C116" s="61" t="inlineStr">
        <is>
          <t>04. Hashing</t>
        </is>
      </c>
      <c r="D116" s="61" t="inlineStr">
        <is>
          <t>Set basics</t>
        </is>
      </c>
      <c r="E116" s="61" t="inlineStr">
        <is>
          <t>Intersection of Two Arrays II</t>
        </is>
      </c>
      <c r="F116" s="61" t="inlineStr">
        <is>
          <t>Easy</t>
        </is>
      </c>
      <c r="G116" s="61" t="inlineStr">
        <is>
          <t>Depth</t>
        </is>
      </c>
      <c r="H116" s="61" t="inlineStr">
        <is>
          <t>LeetCode</t>
        </is>
      </c>
      <c r="I116" s="61" t="inlineStr">
        <is>
          <t>https://leetcode.com/problems/intersection-of-two-arrays-ii/</t>
        </is>
      </c>
      <c r="J116" s="61" t="inlineStr">
        <is>
          <t>Not Started</t>
        </is>
      </c>
      <c r="K116" s="61" t="n"/>
      <c r="L116" s="61" t="n"/>
      <c r="M116" s="67" t="n"/>
      <c r="N116" s="67">
        <f>IF($M116="","",$M116+IF($K116="",Dashboard!$M$9,INDEX(Dashboard!$M$5:$M$9,$K116)))</f>
        <v/>
      </c>
      <c r="O116" s="61">
        <f>IF(OR($J116="Attempted",$J116="Revisit"),"DUE",IF($N116="","",IF($N116&lt;=TODAY(),"DUE","")))</f>
        <v/>
      </c>
      <c r="P116" s="61" t="n"/>
    </row>
    <row r="117" ht="15" customHeight="1" s="32">
      <c r="A117" s="61" t="n">
        <v>116</v>
      </c>
      <c r="B117" s="61" t="inlineStr">
        <is>
          <t>1. Foundations - Depth</t>
        </is>
      </c>
      <c r="C117" s="61" t="inlineStr">
        <is>
          <t>04. Hashing</t>
        </is>
      </c>
      <c r="D117" s="61" t="inlineStr">
        <is>
          <t>Frequency map</t>
        </is>
      </c>
      <c r="E117" s="61" t="inlineStr">
        <is>
          <t>Maximum Number of Balloons</t>
        </is>
      </c>
      <c r="F117" s="61" t="inlineStr">
        <is>
          <t>Easy</t>
        </is>
      </c>
      <c r="G117" s="61" t="inlineStr">
        <is>
          <t>Depth</t>
        </is>
      </c>
      <c r="H117" s="61" t="inlineStr">
        <is>
          <t>LeetCode</t>
        </is>
      </c>
      <c r="I117" s="61" t="inlineStr">
        <is>
          <t>https://leetcode.com/problems/maximum-number-of-balloons/</t>
        </is>
      </c>
      <c r="J117" s="61" t="inlineStr">
        <is>
          <t>Not Started</t>
        </is>
      </c>
      <c r="K117" s="61" t="n"/>
      <c r="L117" s="61" t="n"/>
      <c r="M117" s="67" t="n"/>
      <c r="N117" s="67">
        <f>IF($M117="","",$M117+IF($K117="",Dashboard!$M$9,INDEX(Dashboard!$M$5:$M$9,$K117)))</f>
        <v/>
      </c>
      <c r="O117" s="61">
        <f>IF(OR($J117="Attempted",$J117="Revisit"),"DUE",IF($N117="","",IF($N117&lt;=TODAY(),"DUE","")))</f>
        <v/>
      </c>
      <c r="P117" s="61" t="n"/>
    </row>
    <row r="118" ht="15" customHeight="1" s="32">
      <c r="A118" s="61" t="n">
        <v>117</v>
      </c>
      <c r="B118" s="61" t="inlineStr">
        <is>
          <t>1. Foundations - Depth</t>
        </is>
      </c>
      <c r="C118" s="61" t="inlineStr">
        <is>
          <t>04. Hashing</t>
        </is>
      </c>
      <c r="D118" s="61" t="inlineStr">
        <is>
          <t>Frequency map</t>
        </is>
      </c>
      <c r="E118" s="61" t="inlineStr">
        <is>
          <t>Longest Palindrome</t>
        </is>
      </c>
      <c r="F118" s="61" t="inlineStr">
        <is>
          <t>Easy</t>
        </is>
      </c>
      <c r="G118" s="61" t="inlineStr">
        <is>
          <t>Depth</t>
        </is>
      </c>
      <c r="H118" s="61" t="inlineStr">
        <is>
          <t>LeetCode</t>
        </is>
      </c>
      <c r="I118" s="61" t="inlineStr">
        <is>
          <t>https://leetcode.com/problems/longest-palindrome/</t>
        </is>
      </c>
      <c r="J118" s="61" t="inlineStr">
        <is>
          <t>Not Started</t>
        </is>
      </c>
      <c r="K118" s="61" t="n"/>
      <c r="L118" s="61" t="n"/>
      <c r="M118" s="67" t="n"/>
      <c r="N118" s="67">
        <f>IF($M118="","",$M118+IF($K118="",Dashboard!$M$9,INDEX(Dashboard!$M$5:$M$9,$K118)))</f>
        <v/>
      </c>
      <c r="O118" s="61">
        <f>IF(OR($J118="Attempted",$J118="Revisit"),"DUE",IF($N118="","",IF($N118&lt;=TODAY(),"DUE","")))</f>
        <v/>
      </c>
      <c r="P118" s="61" t="n"/>
    </row>
    <row r="119" ht="15" customHeight="1" s="32">
      <c r="A119" s="61" t="n">
        <v>118</v>
      </c>
      <c r="B119" s="61" t="inlineStr">
        <is>
          <t>1. Foundations - Depth</t>
        </is>
      </c>
      <c r="C119" s="61" t="inlineStr">
        <is>
          <t>04. Hashing</t>
        </is>
      </c>
      <c r="D119" s="61" t="inlineStr">
        <is>
          <t>Frequency map</t>
        </is>
      </c>
      <c r="E119" s="61" t="inlineStr">
        <is>
          <t>Number of Good Pairs</t>
        </is>
      </c>
      <c r="F119" s="61" t="inlineStr">
        <is>
          <t>Easy</t>
        </is>
      </c>
      <c r="G119" s="61" t="inlineStr">
        <is>
          <t>Depth</t>
        </is>
      </c>
      <c r="H119" s="61" t="inlineStr">
        <is>
          <t>LeetCode</t>
        </is>
      </c>
      <c r="I119" s="61" t="inlineStr">
        <is>
          <t>https://leetcode.com/problems/number-of-good-pairs/</t>
        </is>
      </c>
      <c r="J119" s="61" t="inlineStr">
        <is>
          <t>Not Started</t>
        </is>
      </c>
      <c r="K119" s="61" t="n"/>
      <c r="L119" s="61" t="n"/>
      <c r="M119" s="67" t="n"/>
      <c r="N119" s="67">
        <f>IF($M119="","",$M119+IF($K119="",Dashboard!$M$9,INDEX(Dashboard!$M$5:$M$9,$K119)))</f>
        <v/>
      </c>
      <c r="O119" s="61">
        <f>IF(OR($J119="Attempted",$J119="Revisit"),"DUE",IF($N119="","",IF($N119&lt;=TODAY(),"DUE","")))</f>
        <v/>
      </c>
      <c r="P119" s="61" t="inlineStr">
        <is>
          <t>v3 addition</t>
        </is>
      </c>
    </row>
    <row r="120" ht="15" customHeight="1" s="32">
      <c r="A120" s="61" t="n">
        <v>119</v>
      </c>
      <c r="B120" s="61" t="inlineStr">
        <is>
          <t>1. Foundations - Depth</t>
        </is>
      </c>
      <c r="C120" s="61" t="inlineStr">
        <is>
          <t>04. Hashing</t>
        </is>
      </c>
      <c r="D120" s="61" t="inlineStr">
        <is>
          <t>Frequency map</t>
        </is>
      </c>
      <c r="E120" s="61" t="inlineStr">
        <is>
          <t>Minimum Index Sum of Two Lists</t>
        </is>
      </c>
      <c r="F120" s="61" t="inlineStr">
        <is>
          <t>Easy</t>
        </is>
      </c>
      <c r="G120" s="61" t="inlineStr">
        <is>
          <t>Depth</t>
        </is>
      </c>
      <c r="H120" s="61" t="inlineStr">
        <is>
          <t>LeetCode</t>
        </is>
      </c>
      <c r="I120" s="61" t="inlineStr">
        <is>
          <t>https://leetcode.com/problems/minimum-index-sum-of-two-lists/</t>
        </is>
      </c>
      <c r="J120" s="61" t="inlineStr">
        <is>
          <t>Not Started</t>
        </is>
      </c>
      <c r="K120" s="61" t="n"/>
      <c r="L120" s="61" t="n"/>
      <c r="M120" s="67" t="n"/>
      <c r="N120" s="67">
        <f>IF($M120="","",$M120+IF($K120="",Dashboard!$M$9,INDEX(Dashboard!$M$5:$M$9,$K120)))</f>
        <v/>
      </c>
      <c r="O120" s="61">
        <f>IF(OR($J120="Attempted",$J120="Revisit"),"DUE",IF($N120="","",IF($N120&lt;=TODAY(),"DUE","")))</f>
        <v/>
      </c>
      <c r="P120" s="61" t="inlineStr">
        <is>
          <t>v3 addition</t>
        </is>
      </c>
    </row>
    <row r="121" ht="15" customHeight="1" s="32">
      <c r="A121" s="61" t="n">
        <v>120</v>
      </c>
      <c r="B121" s="61" t="inlineStr">
        <is>
          <t>1. Foundations - Depth</t>
        </is>
      </c>
      <c r="C121" s="61" t="inlineStr">
        <is>
          <t>04. Hashing</t>
        </is>
      </c>
      <c r="D121" s="61" t="inlineStr">
        <is>
          <t>Frequency map</t>
        </is>
      </c>
      <c r="E121" s="61" t="inlineStr">
        <is>
          <t>Check If Array Pairs Are Divisible by k</t>
        </is>
      </c>
      <c r="F121" s="61" t="inlineStr">
        <is>
          <t>Medium</t>
        </is>
      </c>
      <c r="G121" s="61" t="inlineStr">
        <is>
          <t>Depth</t>
        </is>
      </c>
      <c r="H121" s="61" t="inlineStr">
        <is>
          <t>LeetCode</t>
        </is>
      </c>
      <c r="I121" s="61" t="inlineStr">
        <is>
          <t>https://leetcode.com/problems/check-if-array-pairs-are-divisible-by-k/</t>
        </is>
      </c>
      <c r="J121" s="61" t="inlineStr">
        <is>
          <t>Not Started</t>
        </is>
      </c>
      <c r="K121" s="61" t="n"/>
      <c r="L121" s="61" t="n"/>
      <c r="M121" s="67" t="n"/>
      <c r="N121" s="67">
        <f>IF($M121="","",$M121+IF($K121="",Dashboard!$M$9,INDEX(Dashboard!$M$5:$M$9,$K121)))</f>
        <v/>
      </c>
      <c r="O121" s="61">
        <f>IF(OR($J121="Attempted",$J121="Revisit"),"DUE",IF($N121="","",IF($N121&lt;=TODAY(),"DUE","")))</f>
        <v/>
      </c>
      <c r="P121" s="61" t="inlineStr">
        <is>
          <t>v3 addition</t>
        </is>
      </c>
    </row>
    <row r="122" ht="15" customHeight="1" s="32">
      <c r="A122" s="61" t="n">
        <v>121</v>
      </c>
      <c r="B122" s="61" t="inlineStr">
        <is>
          <t>1. Foundations - Depth</t>
        </is>
      </c>
      <c r="C122" s="61" t="inlineStr">
        <is>
          <t>04. Hashing</t>
        </is>
      </c>
      <c r="D122" s="61" t="inlineStr">
        <is>
          <t>Set + scan</t>
        </is>
      </c>
      <c r="E122" s="61" t="inlineStr">
        <is>
          <t>Find All Lonely Numbers in the Array</t>
        </is>
      </c>
      <c r="F122" s="61" t="inlineStr">
        <is>
          <t>Medium</t>
        </is>
      </c>
      <c r="G122" s="61" t="inlineStr">
        <is>
          <t>Depth</t>
        </is>
      </c>
      <c r="H122" s="61" t="inlineStr">
        <is>
          <t>LeetCode</t>
        </is>
      </c>
      <c r="I122" s="61" t="inlineStr">
        <is>
          <t>https://leetcode.com/problems/find-all-lonely-numbers-in-the-array/</t>
        </is>
      </c>
      <c r="J122" s="61" t="inlineStr">
        <is>
          <t>Not Started</t>
        </is>
      </c>
      <c r="K122" s="61" t="n"/>
      <c r="L122" s="61" t="n"/>
      <c r="M122" s="67" t="n"/>
      <c r="N122" s="67">
        <f>IF($M122="","",$M122+IF($K122="",Dashboard!$M$9,INDEX(Dashboard!$M$5:$M$9,$K122)))</f>
        <v/>
      </c>
      <c r="O122" s="61">
        <f>IF(OR($J122="Attempted",$J122="Revisit"),"DUE",IF($N122="","",IF($N122&lt;=TODAY(),"DUE","")))</f>
        <v/>
      </c>
      <c r="P122" s="61" t="inlineStr">
        <is>
          <t>v3 addition</t>
        </is>
      </c>
    </row>
    <row r="123" ht="15" customHeight="1" s="32">
      <c r="A123" s="61" t="n">
        <v>122</v>
      </c>
      <c r="B123" s="61" t="inlineStr">
        <is>
          <t>1. Foundations - Depth</t>
        </is>
      </c>
      <c r="C123" s="61" t="inlineStr">
        <is>
          <t>04. Hashing</t>
        </is>
      </c>
      <c r="D123" s="61" t="inlineStr">
        <is>
          <t>Grid hashing</t>
        </is>
      </c>
      <c r="E123" s="61" t="inlineStr">
        <is>
          <t>Number of Boomerangs</t>
        </is>
      </c>
      <c r="F123" s="61" t="inlineStr">
        <is>
          <t>Medium</t>
        </is>
      </c>
      <c r="G123" s="61" t="inlineStr">
        <is>
          <t>Depth</t>
        </is>
      </c>
      <c r="H123" s="61" t="inlineStr">
        <is>
          <t>LeetCode</t>
        </is>
      </c>
      <c r="I123" s="61" t="inlineStr">
        <is>
          <t>https://leetcode.com/problems/number-of-boomerangs/</t>
        </is>
      </c>
      <c r="J123" s="61" t="inlineStr">
        <is>
          <t>Not Started</t>
        </is>
      </c>
      <c r="K123" s="61" t="n"/>
      <c r="L123" s="61" t="n"/>
      <c r="M123" s="67" t="n"/>
      <c r="N123" s="67">
        <f>IF($M123="","",$M123+IF($K123="",Dashboard!$M$9,INDEX(Dashboard!$M$5:$M$9,$K123)))</f>
        <v/>
      </c>
      <c r="O123" s="61">
        <f>IF(OR($J123="Attempted",$J123="Revisit"),"DUE",IF($N123="","",IF($N123&lt;=TODAY(),"DUE","")))</f>
        <v/>
      </c>
      <c r="P123" s="61" t="inlineStr">
        <is>
          <t>v3 addition</t>
        </is>
      </c>
    </row>
    <row r="124" ht="15" customHeight="1" s="32">
      <c r="A124" s="61" t="n">
        <v>123</v>
      </c>
      <c r="B124" s="61" t="inlineStr">
        <is>
          <t>1. Foundations - Depth</t>
        </is>
      </c>
      <c r="C124" s="61" t="inlineStr">
        <is>
          <t>04. Hashing</t>
        </is>
      </c>
      <c r="D124" s="61" t="inlineStr">
        <is>
          <t>Grid hashing</t>
        </is>
      </c>
      <c r="E124" s="61" t="inlineStr">
        <is>
          <t>Detect Squares</t>
        </is>
      </c>
      <c r="F124" s="61" t="inlineStr">
        <is>
          <t>Medium</t>
        </is>
      </c>
      <c r="G124" s="61" t="inlineStr">
        <is>
          <t>Depth</t>
        </is>
      </c>
      <c r="H124" s="61" t="inlineStr">
        <is>
          <t>LeetCode</t>
        </is>
      </c>
      <c r="I124" s="61" t="inlineStr">
        <is>
          <t>https://leetcode.com/problems/detect-squares/</t>
        </is>
      </c>
      <c r="J124" s="61" t="inlineStr">
        <is>
          <t>Not Started</t>
        </is>
      </c>
      <c r="K124" s="61" t="n"/>
      <c r="L124" s="61" t="n"/>
      <c r="M124" s="67" t="n"/>
      <c r="N124" s="67">
        <f>IF($M124="","",$M124+IF($K124="",Dashboard!$M$9,INDEX(Dashboard!$M$5:$M$9,$K124)))</f>
        <v/>
      </c>
      <c r="O124" s="61">
        <f>IF(OR($J124="Attempted",$J124="Revisit"),"DUE",IF($N124="","",IF($N124&lt;=TODAY(),"DUE","")))</f>
        <v/>
      </c>
      <c r="P124" s="61" t="inlineStr">
        <is>
          <t>v3 addition</t>
        </is>
      </c>
    </row>
    <row r="125" ht="15" customHeight="1" s="32">
      <c r="A125" s="61" t="n">
        <v>124</v>
      </c>
      <c r="B125" s="61" t="inlineStr">
        <is>
          <t>1. Foundations - Depth</t>
        </is>
      </c>
      <c r="C125" s="61" t="inlineStr">
        <is>
          <t>04. Hashing</t>
        </is>
      </c>
      <c r="D125" s="61" t="inlineStr">
        <is>
          <t>Line hashing</t>
        </is>
      </c>
      <c r="E125" s="61" t="inlineStr">
        <is>
          <t>Line Reflection</t>
        </is>
      </c>
      <c r="F125" s="61" t="inlineStr">
        <is>
          <t>Medium</t>
        </is>
      </c>
      <c r="G125" s="61" t="inlineStr">
        <is>
          <t>Depth</t>
        </is>
      </c>
      <c r="H125" s="61" t="inlineStr">
        <is>
          <t>GeeksforGeeks</t>
        </is>
      </c>
      <c r="I125" s="61" t="inlineStr">
        <is>
          <t>https://www.geeksforgeeks.org/search/?q=Line+Reflection</t>
        </is>
      </c>
      <c r="J125" s="61" t="inlineStr">
        <is>
          <t>Not Started</t>
        </is>
      </c>
      <c r="K125" s="61" t="n"/>
      <c r="L125" s="61" t="n"/>
      <c r="M125" s="67" t="n"/>
      <c r="N125" s="67">
        <f>IF($M125="","",$M125+IF($K125="",Dashboard!$M$9,INDEX(Dashboard!$M$5:$M$9,$K125)))</f>
        <v/>
      </c>
      <c r="O125" s="61">
        <f>IF(OR($J125="Attempted",$J125="Revisit"),"DUE",IF($N125="","",IF($N125&lt;=TODAY(),"DUE","")))</f>
        <v/>
      </c>
      <c r="P125" s="61" t="n"/>
    </row>
    <row r="126" ht="15" customHeight="1" s="32">
      <c r="A126" s="61" t="n">
        <v>125</v>
      </c>
      <c r="B126" s="61" t="inlineStr">
        <is>
          <t>1. Foundations - Depth</t>
        </is>
      </c>
      <c r="C126" s="61" t="inlineStr">
        <is>
          <t>04. Hashing</t>
        </is>
      </c>
      <c r="D126" s="61" t="inlineStr">
        <is>
          <t>Line hashing</t>
        </is>
      </c>
      <c r="E126" s="61" t="inlineStr">
        <is>
          <t>Minimum Lines to Represent a Line Chart</t>
        </is>
      </c>
      <c r="F126" s="61" t="inlineStr">
        <is>
          <t>Medium</t>
        </is>
      </c>
      <c r="G126" s="61" t="inlineStr">
        <is>
          <t>Depth</t>
        </is>
      </c>
      <c r="H126" s="61" t="inlineStr">
        <is>
          <t>LeetCode</t>
        </is>
      </c>
      <c r="I126" s="61" t="inlineStr">
        <is>
          <t>https://leetcode.com/problems/minimum-lines-to-represent-a-line-chart/</t>
        </is>
      </c>
      <c r="J126" s="61" t="inlineStr">
        <is>
          <t>Not Started</t>
        </is>
      </c>
      <c r="K126" s="61" t="n"/>
      <c r="L126" s="61" t="n"/>
      <c r="M126" s="67" t="n"/>
      <c r="N126" s="67">
        <f>IF($M126="","",$M126+IF($K126="",Dashboard!$M$9,INDEX(Dashboard!$M$5:$M$9,$K126)))</f>
        <v/>
      </c>
      <c r="O126" s="61">
        <f>IF(OR($J126="Attempted",$J126="Revisit"),"DUE",IF($N126="","",IF($N126&lt;=TODAY(),"DUE","")))</f>
        <v/>
      </c>
      <c r="P126" s="61" t="n"/>
    </row>
    <row r="127" ht="15" customHeight="1" s="32">
      <c r="A127" s="61" t="n">
        <v>126</v>
      </c>
      <c r="B127" s="61" t="inlineStr">
        <is>
          <t>1. Foundations - Depth</t>
        </is>
      </c>
      <c r="C127" s="61" t="inlineStr">
        <is>
          <t>04. Hashing</t>
        </is>
      </c>
      <c r="D127" s="61" t="inlineStr">
        <is>
          <t>Line hashing</t>
        </is>
      </c>
      <c r="E127" s="61" t="inlineStr">
        <is>
          <t>Max Points on a Line</t>
        </is>
      </c>
      <c r="F127" s="61" t="inlineStr">
        <is>
          <t>Hard</t>
        </is>
      </c>
      <c r="G127" s="61" t="inlineStr">
        <is>
          <t>Depth</t>
        </is>
      </c>
      <c r="H127" s="61" t="inlineStr">
        <is>
          <t>LeetCode</t>
        </is>
      </c>
      <c r="I127" s="61" t="inlineStr">
        <is>
          <t>https://leetcode.com/problems/max-points-on-a-line/</t>
        </is>
      </c>
      <c r="J127" s="61" t="inlineStr">
        <is>
          <t>Not Started</t>
        </is>
      </c>
      <c r="K127" s="61" t="n"/>
      <c r="L127" s="61" t="n"/>
      <c r="M127" s="67" t="n"/>
      <c r="N127" s="67">
        <f>IF($M127="","",$M127+IF($K127="",Dashboard!$M$9,INDEX(Dashboard!$M$5:$M$9,$K127)))</f>
        <v/>
      </c>
      <c r="O127" s="61">
        <f>IF(OR($J127="Attempted",$J127="Revisit"),"DUE",IF($N127="","",IF($N127&lt;=TODAY(),"DUE","")))</f>
        <v/>
      </c>
      <c r="P127" s="61" t="inlineStr">
        <is>
          <t>v3 addition</t>
        </is>
      </c>
    </row>
    <row r="128" ht="15" customHeight="1" s="32">
      <c r="A128" s="61" t="n">
        <v>127</v>
      </c>
      <c r="B128" s="61" t="inlineStr">
        <is>
          <t>1. Foundations - Depth</t>
        </is>
      </c>
      <c r="C128" s="61" t="inlineStr">
        <is>
          <t>04. Hashing</t>
        </is>
      </c>
      <c r="D128" s="61" t="inlineStr">
        <is>
          <t>Meet in the middle</t>
        </is>
      </c>
      <c r="E128" s="61" t="inlineStr">
        <is>
          <t>Tuple with Same Product</t>
        </is>
      </c>
      <c r="F128" s="61" t="inlineStr">
        <is>
          <t>Medium</t>
        </is>
      </c>
      <c r="G128" s="61" t="inlineStr">
        <is>
          <t>Depth</t>
        </is>
      </c>
      <c r="H128" s="61" t="inlineStr">
        <is>
          <t>LeetCode</t>
        </is>
      </c>
      <c r="I128" s="61" t="inlineStr">
        <is>
          <t>https://leetcode.com/problems/tuple-with-same-product/</t>
        </is>
      </c>
      <c r="J128" s="61" t="inlineStr">
        <is>
          <t>Not Started</t>
        </is>
      </c>
      <c r="K128" s="61" t="n"/>
      <c r="L128" s="61" t="n"/>
      <c r="M128" s="67" t="n"/>
      <c r="N128" s="67">
        <f>IF($M128="","",$M128+IF($K128="",Dashboard!$M$9,INDEX(Dashboard!$M$5:$M$9,$K128)))</f>
        <v/>
      </c>
      <c r="O128" s="61">
        <f>IF(OR($J128="Attempted",$J128="Revisit"),"DUE",IF($N128="","",IF($N128&lt;=TODAY(),"DUE","")))</f>
        <v/>
      </c>
      <c r="P128" s="61" t="n"/>
    </row>
    <row r="129" ht="15" customHeight="1" s="32">
      <c r="A129" s="61" t="n">
        <v>128</v>
      </c>
      <c r="B129" s="61" t="inlineStr">
        <is>
          <t>1. Foundations - Depth</t>
        </is>
      </c>
      <c r="C129" s="61" t="inlineStr">
        <is>
          <t>05. Prefix Sum &amp; Kadane</t>
        </is>
      </c>
      <c r="D129" s="61" t="inlineStr">
        <is>
          <t>Prefix basics</t>
        </is>
      </c>
      <c r="E129" s="61" t="inlineStr">
        <is>
          <t>Range Sum Query - Immutable</t>
        </is>
      </c>
      <c r="F129" s="61" t="inlineStr">
        <is>
          <t>Easy</t>
        </is>
      </c>
      <c r="G129" s="61" t="inlineStr">
        <is>
          <t>Depth</t>
        </is>
      </c>
      <c r="H129" s="61" t="inlineStr">
        <is>
          <t>LeetCode</t>
        </is>
      </c>
      <c r="I129" s="61" t="inlineStr">
        <is>
          <t>https://leetcode.com/problems/range-sum-query-immutable/</t>
        </is>
      </c>
      <c r="J129" s="61" t="inlineStr">
        <is>
          <t>Not Started</t>
        </is>
      </c>
      <c r="K129" s="61" t="n"/>
      <c r="L129" s="61" t="n"/>
      <c r="M129" s="67" t="n"/>
      <c r="N129" s="67">
        <f>IF($M129="","",$M129+IF($K129="",Dashboard!$M$9,INDEX(Dashboard!$M$5:$M$9,$K129)))</f>
        <v/>
      </c>
      <c r="O129" s="61">
        <f>IF(OR($J129="Attempted",$J129="Revisit"),"DUE",IF($N129="","",IF($N129&lt;=TODAY(),"DUE","")))</f>
        <v/>
      </c>
      <c r="P129" s="61" t="n"/>
    </row>
    <row r="130" ht="15" customHeight="1" s="32">
      <c r="A130" s="61" t="n">
        <v>129</v>
      </c>
      <c r="B130" s="61" t="inlineStr">
        <is>
          <t>1. Foundations - Depth</t>
        </is>
      </c>
      <c r="C130" s="61" t="inlineStr">
        <is>
          <t>05. Prefix Sum &amp; Kadane</t>
        </is>
      </c>
      <c r="D130" s="61" t="inlineStr">
        <is>
          <t>Prefix basics</t>
        </is>
      </c>
      <c r="E130" s="61" t="inlineStr">
        <is>
          <t>Range Sum Query 2D - Immutable</t>
        </is>
      </c>
      <c r="F130" s="61" t="inlineStr">
        <is>
          <t>Medium</t>
        </is>
      </c>
      <c r="G130" s="61" t="inlineStr">
        <is>
          <t>Depth</t>
        </is>
      </c>
      <c r="H130" s="61" t="inlineStr">
        <is>
          <t>LeetCode</t>
        </is>
      </c>
      <c r="I130" s="61" t="inlineStr">
        <is>
          <t>https://leetcode.com/problems/range-sum-query-2d-immutable/</t>
        </is>
      </c>
      <c r="J130" s="61" t="inlineStr">
        <is>
          <t>Not Started</t>
        </is>
      </c>
      <c r="K130" s="61" t="n"/>
      <c r="L130" s="61" t="n"/>
      <c r="M130" s="67" t="n"/>
      <c r="N130" s="67">
        <f>IF($M130="","",$M130+IF($K130="",Dashboard!$M$9,INDEX(Dashboard!$M$5:$M$9,$K130)))</f>
        <v/>
      </c>
      <c r="O130" s="61">
        <f>IF(OR($J130="Attempted",$J130="Revisit"),"DUE",IF($N130="","",IF($N130&lt;=TODAY(),"DUE","")))</f>
        <v/>
      </c>
      <c r="P130" s="61" t="n"/>
    </row>
    <row r="131" ht="15" customHeight="1" s="32">
      <c r="A131" s="61" t="n">
        <v>130</v>
      </c>
      <c r="B131" s="61" t="inlineStr">
        <is>
          <t>1. Foundations - Depth</t>
        </is>
      </c>
      <c r="C131" s="61" t="inlineStr">
        <is>
          <t>05. Prefix Sum &amp; Kadane</t>
        </is>
      </c>
      <c r="D131" s="61" t="inlineStr">
        <is>
          <t>Kadane</t>
        </is>
      </c>
      <c r="E131" s="61" t="inlineStr">
        <is>
          <t>Maximum Sum Circular Subarray</t>
        </is>
      </c>
      <c r="F131" s="61" t="inlineStr">
        <is>
          <t>Medium</t>
        </is>
      </c>
      <c r="G131" s="61" t="inlineStr">
        <is>
          <t>Depth</t>
        </is>
      </c>
      <c r="H131" s="61" t="inlineStr">
        <is>
          <t>LeetCode</t>
        </is>
      </c>
      <c r="I131" s="61" t="inlineStr">
        <is>
          <t>https://leetcode.com/problems/maximum-sum-circular-subarray/</t>
        </is>
      </c>
      <c r="J131" s="61" t="inlineStr">
        <is>
          <t>Not Started</t>
        </is>
      </c>
      <c r="K131" s="61" t="n"/>
      <c r="L131" s="61" t="n"/>
      <c r="M131" s="67" t="n"/>
      <c r="N131" s="67">
        <f>IF($M131="","",$M131+IF($K131="",Dashboard!$M$9,INDEX(Dashboard!$M$5:$M$9,$K131)))</f>
        <v/>
      </c>
      <c r="O131" s="61">
        <f>IF(OR($J131="Attempted",$J131="Revisit"),"DUE",IF($N131="","",IF($N131&lt;=TODAY(),"DUE","")))</f>
        <v/>
      </c>
      <c r="P131" s="61" t="n"/>
    </row>
    <row r="132" ht="15" customHeight="1" s="32">
      <c r="A132" s="61" t="n">
        <v>131</v>
      </c>
      <c r="B132" s="61" t="inlineStr">
        <is>
          <t>1. Foundations - Depth</t>
        </is>
      </c>
      <c r="C132" s="61" t="inlineStr">
        <is>
          <t>05. Prefix Sum &amp; Kadane</t>
        </is>
      </c>
      <c r="D132" s="61" t="inlineStr">
        <is>
          <t>Kadane</t>
        </is>
      </c>
      <c r="E132" s="61" t="inlineStr">
        <is>
          <t>Maximum Absolute Sum of Any Subarray</t>
        </is>
      </c>
      <c r="F132" s="61" t="inlineStr">
        <is>
          <t>Medium</t>
        </is>
      </c>
      <c r="G132" s="61" t="inlineStr">
        <is>
          <t>Depth</t>
        </is>
      </c>
      <c r="H132" s="61" t="inlineStr">
        <is>
          <t>LeetCode</t>
        </is>
      </c>
      <c r="I132" s="61" t="inlineStr">
        <is>
          <t>https://leetcode.com/problems/maximum-absolute-sum-of-any-subarray/</t>
        </is>
      </c>
      <c r="J132" s="61" t="inlineStr">
        <is>
          <t>Not Started</t>
        </is>
      </c>
      <c r="K132" s="61" t="n"/>
      <c r="L132" s="61" t="n"/>
      <c r="M132" s="67" t="n"/>
      <c r="N132" s="67">
        <f>IF($M132="","",$M132+IF($K132="",Dashboard!$M$9,INDEX(Dashboard!$M$5:$M$9,$K132)))</f>
        <v/>
      </c>
      <c r="O132" s="61">
        <f>IF(OR($J132="Attempted",$J132="Revisit"),"DUE",IF($N132="","",IF($N132&lt;=TODAY(),"DUE","")))</f>
        <v/>
      </c>
      <c r="P132" s="61" t="n"/>
    </row>
    <row r="133" ht="15" customHeight="1" s="32">
      <c r="A133" s="61" t="n">
        <v>132</v>
      </c>
      <c r="B133" s="61" t="inlineStr">
        <is>
          <t>1. Foundations - Depth</t>
        </is>
      </c>
      <c r="C133" s="61" t="inlineStr">
        <is>
          <t>05. Prefix Sum &amp; Kadane</t>
        </is>
      </c>
      <c r="D133" s="61" t="inlineStr">
        <is>
          <t>Kadane</t>
        </is>
      </c>
      <c r="E133" s="61" t="inlineStr">
        <is>
          <t>Maximum Subarray Sum with One Deletion</t>
        </is>
      </c>
      <c r="F133" s="61" t="inlineStr">
        <is>
          <t>Medium</t>
        </is>
      </c>
      <c r="G133" s="61" t="inlineStr">
        <is>
          <t>Depth</t>
        </is>
      </c>
      <c r="H133" s="61" t="inlineStr">
        <is>
          <t>LeetCode</t>
        </is>
      </c>
      <c r="I133" s="61" t="inlineStr">
        <is>
          <t>https://leetcode.com/problems/maximum-subarray-sum-with-one-deletion/</t>
        </is>
      </c>
      <c r="J133" s="61" t="inlineStr">
        <is>
          <t>Not Started</t>
        </is>
      </c>
      <c r="K133" s="61" t="n"/>
      <c r="L133" s="61" t="n"/>
      <c r="M133" s="67" t="n"/>
      <c r="N133" s="67">
        <f>IF($M133="","",$M133+IF($K133="",Dashboard!$M$9,INDEX(Dashboard!$M$5:$M$9,$K133)))</f>
        <v/>
      </c>
      <c r="O133" s="61">
        <f>IF(OR($J133="Attempted",$J133="Revisit"),"DUE",IF($N133="","",IF($N133&lt;=TODAY(),"DUE","")))</f>
        <v/>
      </c>
      <c r="P133" s="61" t="n"/>
    </row>
    <row r="134" ht="15" customHeight="1" s="32">
      <c r="A134" s="61" t="n">
        <v>133</v>
      </c>
      <c r="B134" s="61" t="inlineStr">
        <is>
          <t>1. Foundations - Depth</t>
        </is>
      </c>
      <c r="C134" s="61" t="inlineStr">
        <is>
          <t>05. Prefix Sum &amp; Kadane</t>
        </is>
      </c>
      <c r="D134" s="61" t="inlineStr">
        <is>
          <t>Prefix + HashMap</t>
        </is>
      </c>
      <c r="E134" s="61" t="inlineStr">
        <is>
          <t>Contiguous Array</t>
        </is>
      </c>
      <c r="F134" s="61" t="inlineStr">
        <is>
          <t>Medium</t>
        </is>
      </c>
      <c r="G134" s="61" t="inlineStr">
        <is>
          <t>Depth</t>
        </is>
      </c>
      <c r="H134" s="61" t="inlineStr">
        <is>
          <t>LeetCode</t>
        </is>
      </c>
      <c r="I134" s="61" t="inlineStr">
        <is>
          <t>https://leetcode.com/problems/contiguous-array/</t>
        </is>
      </c>
      <c r="J134" s="61" t="inlineStr">
        <is>
          <t>Not Started</t>
        </is>
      </c>
      <c r="K134" s="61" t="n"/>
      <c r="L134" s="61" t="n"/>
      <c r="M134" s="67" t="n"/>
      <c r="N134" s="67">
        <f>IF($M134="","",$M134+IF($K134="",Dashboard!$M$9,INDEX(Dashboard!$M$5:$M$9,$K134)))</f>
        <v/>
      </c>
      <c r="O134" s="61">
        <f>IF(OR($J134="Attempted",$J134="Revisit"),"DUE",IF($N134="","",IF($N134&lt;=TODAY(),"DUE","")))</f>
        <v/>
      </c>
      <c r="P134" s="61" t="inlineStr">
        <is>
          <t>v3 addition</t>
        </is>
      </c>
    </row>
    <row r="135" ht="15" customHeight="1" s="32">
      <c r="A135" s="61" t="n">
        <v>134</v>
      </c>
      <c r="B135" s="61" t="inlineStr">
        <is>
          <t>1. Foundations - Depth</t>
        </is>
      </c>
      <c r="C135" s="61" t="inlineStr">
        <is>
          <t>05. Prefix Sum &amp; Kadane</t>
        </is>
      </c>
      <c r="D135" s="61" t="inlineStr">
        <is>
          <t>Prefix + HashMap</t>
        </is>
      </c>
      <c r="E135" s="61" t="inlineStr">
        <is>
          <t>Continuous Subarray Sum</t>
        </is>
      </c>
      <c r="F135" s="61" t="inlineStr">
        <is>
          <t>Medium</t>
        </is>
      </c>
      <c r="G135" s="61" t="inlineStr">
        <is>
          <t>Depth</t>
        </is>
      </c>
      <c r="H135" s="61" t="inlineStr">
        <is>
          <t>LeetCode</t>
        </is>
      </c>
      <c r="I135" s="61" t="inlineStr">
        <is>
          <t>https://leetcode.com/problems/continuous-subarray-sum/</t>
        </is>
      </c>
      <c r="J135" s="61" t="inlineStr">
        <is>
          <t>Not Started</t>
        </is>
      </c>
      <c r="K135" s="61" t="n"/>
      <c r="L135" s="61" t="n"/>
      <c r="M135" s="67" t="n"/>
      <c r="N135" s="67">
        <f>IF($M135="","",$M135+IF($K135="",Dashboard!$M$9,INDEX(Dashboard!$M$5:$M$9,$K135)))</f>
        <v/>
      </c>
      <c r="O135" s="61">
        <f>IF(OR($J135="Attempted",$J135="Revisit"),"DUE",IF($N135="","",IF($N135&lt;=TODAY(),"DUE","")))</f>
        <v/>
      </c>
      <c r="P135" s="61" t="inlineStr">
        <is>
          <t>v3 addition</t>
        </is>
      </c>
    </row>
    <row r="136" ht="15" customHeight="1" s="32">
      <c r="A136" s="61" t="n">
        <v>135</v>
      </c>
      <c r="B136" s="61" t="inlineStr">
        <is>
          <t>1. Foundations - Depth</t>
        </is>
      </c>
      <c r="C136" s="61" t="inlineStr">
        <is>
          <t>05. Prefix Sum &amp; Kadane</t>
        </is>
      </c>
      <c r="D136" s="61" t="inlineStr">
        <is>
          <t>Prefix + HashMap</t>
        </is>
      </c>
      <c r="E136" s="61" t="inlineStr">
        <is>
          <t>Longest Sub-Array with Sum K</t>
        </is>
      </c>
      <c r="F136" s="61" t="inlineStr">
        <is>
          <t>Medium</t>
        </is>
      </c>
      <c r="G136" s="61" t="inlineStr">
        <is>
          <t>Depth</t>
        </is>
      </c>
      <c r="H136" s="61" t="inlineStr">
        <is>
          <t>GeeksforGeeks</t>
        </is>
      </c>
      <c r="I136" s="61" t="inlineStr">
        <is>
          <t>https://www.geeksforgeeks.org/problems/longest-sub-array-with-sum-k0809/1</t>
        </is>
      </c>
      <c r="J136" s="61" t="inlineStr">
        <is>
          <t>Not Started</t>
        </is>
      </c>
      <c r="K136" s="61" t="n"/>
      <c r="L136" s="61" t="n"/>
      <c r="M136" s="67" t="n"/>
      <c r="N136" s="67">
        <f>IF($M136="","",$M136+IF($K136="",Dashboard!$M$9,INDEX(Dashboard!$M$5:$M$9,$K136)))</f>
        <v/>
      </c>
      <c r="O136" s="61">
        <f>IF(OR($J136="Attempted",$J136="Revisit"),"DUE",IF($N136="","",IF($N136&lt;=TODAY(),"DUE","")))</f>
        <v/>
      </c>
      <c r="P136" s="61" t="inlineStr">
        <is>
          <t>v3 addition</t>
        </is>
      </c>
    </row>
    <row r="137" ht="15" customHeight="1" s="32">
      <c r="A137" s="61" t="n">
        <v>136</v>
      </c>
      <c r="B137" s="61" t="inlineStr">
        <is>
          <t>1. Foundations - Depth</t>
        </is>
      </c>
      <c r="C137" s="61" t="inlineStr">
        <is>
          <t>05. Prefix Sum &amp; Kadane</t>
        </is>
      </c>
      <c r="D137" s="61" t="inlineStr">
        <is>
          <t>Difference array</t>
        </is>
      </c>
      <c r="E137" s="61" t="inlineStr">
        <is>
          <t>Shifting Letters II</t>
        </is>
      </c>
      <c r="F137" s="61" t="inlineStr">
        <is>
          <t>Medium</t>
        </is>
      </c>
      <c r="G137" s="61" t="inlineStr">
        <is>
          <t>Depth</t>
        </is>
      </c>
      <c r="H137" s="61" t="inlineStr">
        <is>
          <t>LeetCode</t>
        </is>
      </c>
      <c r="I137" s="61" t="inlineStr">
        <is>
          <t>https://leetcode.com/problems/shifting-letters-ii/</t>
        </is>
      </c>
      <c r="J137" s="61" t="inlineStr">
        <is>
          <t>Not Started</t>
        </is>
      </c>
      <c r="K137" s="61" t="n"/>
      <c r="L137" s="61" t="n"/>
      <c r="M137" s="67" t="n"/>
      <c r="N137" s="67">
        <f>IF($M137="","",$M137+IF($K137="",Dashboard!$M$9,INDEX(Dashboard!$M$5:$M$9,$K137)))</f>
        <v/>
      </c>
      <c r="O137" s="61">
        <f>IF(OR($J137="Attempted",$J137="Revisit"),"DUE",IF($N137="","",IF($N137&lt;=TODAY(),"DUE","")))</f>
        <v/>
      </c>
      <c r="P137" s="61" t="inlineStr">
        <is>
          <t>v3 addition</t>
        </is>
      </c>
    </row>
    <row r="138" ht="15" customHeight="1" s="32">
      <c r="A138" s="61" t="n">
        <v>137</v>
      </c>
      <c r="B138" s="61" t="inlineStr">
        <is>
          <t>1. Foundations - Depth</t>
        </is>
      </c>
      <c r="C138" s="61" t="inlineStr">
        <is>
          <t>05. Prefix Sum &amp; Kadane</t>
        </is>
      </c>
      <c r="D138" s="61" t="inlineStr">
        <is>
          <t>Prefix applications</t>
        </is>
      </c>
      <c r="E138" s="61" t="inlineStr">
        <is>
          <t>K Radius Subarray Averages</t>
        </is>
      </c>
      <c r="F138" s="61" t="inlineStr">
        <is>
          <t>Medium</t>
        </is>
      </c>
      <c r="G138" s="61" t="inlineStr">
        <is>
          <t>Depth</t>
        </is>
      </c>
      <c r="H138" s="61" t="inlineStr">
        <is>
          <t>LeetCode</t>
        </is>
      </c>
      <c r="I138" s="61" t="inlineStr">
        <is>
          <t>https://leetcode.com/problems/k-radius-subarray-averages/</t>
        </is>
      </c>
      <c r="J138" s="61" t="inlineStr">
        <is>
          <t>Not Started</t>
        </is>
      </c>
      <c r="K138" s="61" t="n"/>
      <c r="L138" s="61" t="n"/>
      <c r="M138" s="67" t="n"/>
      <c r="N138" s="67">
        <f>IF($M138="","",$M138+IF($K138="",Dashboard!$M$9,INDEX(Dashboard!$M$5:$M$9,$K138)))</f>
        <v/>
      </c>
      <c r="O138" s="61">
        <f>IF(OR($J138="Attempted",$J138="Revisit"),"DUE",IF($N138="","",IF($N138&lt;=TODAY(),"DUE","")))</f>
        <v/>
      </c>
      <c r="P138" s="61" t="inlineStr">
        <is>
          <t>v3 addition</t>
        </is>
      </c>
    </row>
    <row r="139" ht="15" customHeight="1" s="32">
      <c r="A139" s="61" t="n">
        <v>138</v>
      </c>
      <c r="B139" s="61" t="inlineStr">
        <is>
          <t>1. Foundations - Depth</t>
        </is>
      </c>
      <c r="C139" s="61" t="inlineStr">
        <is>
          <t>05. Prefix Sum &amp; Kadane</t>
        </is>
      </c>
      <c r="D139" s="61" t="inlineStr">
        <is>
          <t>Prefix applications</t>
        </is>
      </c>
      <c r="E139" s="61" t="inlineStr">
        <is>
          <t>Number of Ways to Split Array</t>
        </is>
      </c>
      <c r="F139" s="61" t="inlineStr">
        <is>
          <t>Medium</t>
        </is>
      </c>
      <c r="G139" s="61" t="inlineStr">
        <is>
          <t>Depth</t>
        </is>
      </c>
      <c r="H139" s="61" t="inlineStr">
        <is>
          <t>LeetCode</t>
        </is>
      </c>
      <c r="I139" s="61" t="inlineStr">
        <is>
          <t>https://leetcode.com/problems/number-of-ways-to-split-array/</t>
        </is>
      </c>
      <c r="J139" s="61" t="inlineStr">
        <is>
          <t>Not Started</t>
        </is>
      </c>
      <c r="K139" s="61" t="n"/>
      <c r="L139" s="61" t="n"/>
      <c r="M139" s="67" t="n"/>
      <c r="N139" s="67">
        <f>IF($M139="","",$M139+IF($K139="",Dashboard!$M$9,INDEX(Dashboard!$M$5:$M$9,$K139)))</f>
        <v/>
      </c>
      <c r="O139" s="61">
        <f>IF(OR($J139="Attempted",$J139="Revisit"),"DUE",IF($N139="","",IF($N139&lt;=TODAY(),"DUE","")))</f>
        <v/>
      </c>
      <c r="P139" s="61" t="inlineStr">
        <is>
          <t>v3 addition</t>
        </is>
      </c>
    </row>
    <row r="140" ht="15" customHeight="1" s="32">
      <c r="A140" s="61" t="n">
        <v>139</v>
      </c>
      <c r="B140" s="61" t="inlineStr">
        <is>
          <t>1. Foundations - Depth</t>
        </is>
      </c>
      <c r="C140" s="61" t="inlineStr">
        <is>
          <t>05. Prefix Sum &amp; Kadane</t>
        </is>
      </c>
      <c r="D140" s="61" t="inlineStr">
        <is>
          <t>Prefix applications</t>
        </is>
      </c>
      <c r="E140" s="61" t="inlineStr">
        <is>
          <t>Minimum Average Difference</t>
        </is>
      </c>
      <c r="F140" s="61" t="inlineStr">
        <is>
          <t>Medium</t>
        </is>
      </c>
      <c r="G140" s="61" t="inlineStr">
        <is>
          <t>Depth</t>
        </is>
      </c>
      <c r="H140" s="61" t="inlineStr">
        <is>
          <t>LeetCode</t>
        </is>
      </c>
      <c r="I140" s="61" t="inlineStr">
        <is>
          <t>https://leetcode.com/problems/minimum-average-difference/</t>
        </is>
      </c>
      <c r="J140" s="61" t="inlineStr">
        <is>
          <t>Not Started</t>
        </is>
      </c>
      <c r="K140" s="61" t="n"/>
      <c r="L140" s="61" t="n"/>
      <c r="M140" s="67" t="n"/>
      <c r="N140" s="67">
        <f>IF($M140="","",$M140+IF($K140="",Dashboard!$M$9,INDEX(Dashboard!$M$5:$M$9,$K140)))</f>
        <v/>
      </c>
      <c r="O140" s="61">
        <f>IF(OR($J140="Attempted",$J140="Revisit"),"DUE",IF($N140="","",IF($N140&lt;=TODAY(),"DUE","")))</f>
        <v/>
      </c>
      <c r="P140" s="61" t="inlineStr">
        <is>
          <t>v3 addition</t>
        </is>
      </c>
    </row>
    <row r="141" ht="15" customHeight="1" s="32">
      <c r="A141" s="61" t="n">
        <v>140</v>
      </c>
      <c r="B141" s="61" t="inlineStr">
        <is>
          <t>1. Foundations - Depth</t>
        </is>
      </c>
      <c r="C141" s="61" t="inlineStr">
        <is>
          <t>05. Prefix Sum &amp; Kadane</t>
        </is>
      </c>
      <c r="D141" s="61" t="inlineStr">
        <is>
          <t>Prefix applications</t>
        </is>
      </c>
      <c r="E141" s="61" t="inlineStr">
        <is>
          <t>Sum of Absolute Differences in a Sorted Array</t>
        </is>
      </c>
      <c r="F141" s="61" t="inlineStr">
        <is>
          <t>Medium</t>
        </is>
      </c>
      <c r="G141" s="61" t="inlineStr">
        <is>
          <t>Depth</t>
        </is>
      </c>
      <c r="H141" s="61" t="inlineStr">
        <is>
          <t>LeetCode</t>
        </is>
      </c>
      <c r="I141" s="61" t="inlineStr">
        <is>
          <t>https://leetcode.com/problems/sum-of-absolute-differences-in-a-sorted-array/</t>
        </is>
      </c>
      <c r="J141" s="61" t="inlineStr">
        <is>
          <t>Not Started</t>
        </is>
      </c>
      <c r="K141" s="61" t="n"/>
      <c r="L141" s="61" t="n"/>
      <c r="M141" s="67" t="n"/>
      <c r="N141" s="67">
        <f>IF($M141="","",$M141+IF($K141="",Dashboard!$M$9,INDEX(Dashboard!$M$5:$M$9,$K141)))</f>
        <v/>
      </c>
      <c r="O141" s="61">
        <f>IF(OR($J141="Attempted",$J141="Revisit"),"DUE",IF($N141="","",IF($N141&lt;=TODAY(),"DUE","")))</f>
        <v/>
      </c>
      <c r="P141" s="61" t="n"/>
    </row>
    <row r="142" ht="15" customHeight="1" s="32">
      <c r="A142" s="62" t="n">
        <v>141</v>
      </c>
      <c r="B142" s="62" t="inlineStr">
        <is>
          <t>1. Foundations - Depth</t>
        </is>
      </c>
      <c r="C142" s="62" t="inlineStr">
        <is>
          <t>06. Sliding Window</t>
        </is>
      </c>
      <c r="D142" s="62" t="inlineStr">
        <is>
          <t>Fixed window</t>
        </is>
      </c>
      <c r="E142" s="62" t="inlineStr">
        <is>
          <t>Maximum Points You Can Obtain from Cards</t>
        </is>
      </c>
      <c r="F142" s="62" t="inlineStr">
        <is>
          <t>Medium</t>
        </is>
      </c>
      <c r="G142" s="62" t="inlineStr">
        <is>
          <t>Depth</t>
        </is>
      </c>
      <c r="H142" s="62" t="inlineStr">
        <is>
          <t>LeetCode</t>
        </is>
      </c>
      <c r="I142" s="62" t="inlineStr">
        <is>
          <t>https://leetcode.com/problems/maximum-points-you-can-obtain-from-cards/</t>
        </is>
      </c>
      <c r="J142" s="62" t="inlineStr">
        <is>
          <t>Not Started</t>
        </is>
      </c>
      <c r="K142" s="62" t="n"/>
      <c r="L142" s="62" t="n"/>
      <c r="M142" s="68" t="n"/>
      <c r="N142" s="68">
        <f>IF($M142="","",$M142+IF($K142="",Dashboard!$M$9,INDEX(Dashboard!$M$5:$M$9,$K142)))</f>
        <v/>
      </c>
      <c r="O142" s="62">
        <f>IF(OR($J142="Attempted",$J142="Revisit"),"DUE",IF($N142="","",IF($N142&lt;=TODAY(),"DUE","")))</f>
        <v/>
      </c>
      <c r="P142" s="62" t="n"/>
    </row>
    <row r="143" ht="15" customHeight="1" s="32">
      <c r="A143" s="62" t="n">
        <v>142</v>
      </c>
      <c r="B143" s="62" t="inlineStr">
        <is>
          <t>1. Foundations - Depth</t>
        </is>
      </c>
      <c r="C143" s="62" t="inlineStr">
        <is>
          <t>06. Sliding Window</t>
        </is>
      </c>
      <c r="D143" s="62" t="inlineStr">
        <is>
          <t>Fixed window</t>
        </is>
      </c>
      <c r="E143" s="62" t="inlineStr">
        <is>
          <t>Grumpy Bookstore Owner</t>
        </is>
      </c>
      <c r="F143" s="62" t="inlineStr">
        <is>
          <t>Medium</t>
        </is>
      </c>
      <c r="G143" s="62" t="inlineStr">
        <is>
          <t>Depth</t>
        </is>
      </c>
      <c r="H143" s="62" t="inlineStr">
        <is>
          <t>LeetCode</t>
        </is>
      </c>
      <c r="I143" s="62" t="inlineStr">
        <is>
          <t>https://leetcode.com/problems/grumpy-bookstore-owner/</t>
        </is>
      </c>
      <c r="J143" s="62" t="inlineStr">
        <is>
          <t>Not Started</t>
        </is>
      </c>
      <c r="K143" s="62" t="n"/>
      <c r="L143" s="62" t="n"/>
      <c r="M143" s="68" t="n"/>
      <c r="N143" s="68">
        <f>IF($M143="","",$M143+IF($K143="",Dashboard!$M$9,INDEX(Dashboard!$M$5:$M$9,$K143)))</f>
        <v/>
      </c>
      <c r="O143" s="62">
        <f>IF(OR($J143="Attempted",$J143="Revisit"),"DUE",IF($N143="","",IF($N143&lt;=TODAY(),"DUE","")))</f>
        <v/>
      </c>
      <c r="P143" s="62" t="n"/>
    </row>
    <row r="144" ht="15" customHeight="1" s="32">
      <c r="A144" s="62" t="n">
        <v>143</v>
      </c>
      <c r="B144" s="62" t="inlineStr">
        <is>
          <t>1. Foundations - Depth</t>
        </is>
      </c>
      <c r="C144" s="62" t="inlineStr">
        <is>
          <t>06. Sliding Window</t>
        </is>
      </c>
      <c r="D144" s="62" t="inlineStr">
        <is>
          <t>Variable window</t>
        </is>
      </c>
      <c r="E144" s="62" t="inlineStr">
        <is>
          <t>Fruit Into Baskets</t>
        </is>
      </c>
      <c r="F144" s="62" t="inlineStr">
        <is>
          <t>Medium</t>
        </is>
      </c>
      <c r="G144" s="62" t="inlineStr">
        <is>
          <t>Depth</t>
        </is>
      </c>
      <c r="H144" s="62" t="inlineStr">
        <is>
          <t>LeetCode</t>
        </is>
      </c>
      <c r="I144" s="62" t="inlineStr">
        <is>
          <t>https://leetcode.com/problems/fruit-into-baskets/</t>
        </is>
      </c>
      <c r="J144" s="62" t="inlineStr">
        <is>
          <t>Not Started</t>
        </is>
      </c>
      <c r="K144" s="62" t="n"/>
      <c r="L144" s="62" t="n"/>
      <c r="M144" s="68" t="n"/>
      <c r="N144" s="68">
        <f>IF($M144="","",$M144+IF($K144="",Dashboard!$M$9,INDEX(Dashboard!$M$5:$M$9,$K144)))</f>
        <v/>
      </c>
      <c r="O144" s="62">
        <f>IF(OR($J144="Attempted",$J144="Revisit"),"DUE",IF($N144="","",IF($N144&lt;=TODAY(),"DUE","")))</f>
        <v/>
      </c>
      <c r="P144" s="62" t="inlineStr">
        <is>
          <t>v3 addition</t>
        </is>
      </c>
    </row>
    <row r="145" ht="15" customHeight="1" s="32">
      <c r="A145" s="62" t="n">
        <v>144</v>
      </c>
      <c r="B145" s="62" t="inlineStr">
        <is>
          <t>1. Foundations - Depth</t>
        </is>
      </c>
      <c r="C145" s="62" t="inlineStr">
        <is>
          <t>06. Sliding Window</t>
        </is>
      </c>
      <c r="D145" s="62" t="inlineStr">
        <is>
          <t>Variable window</t>
        </is>
      </c>
      <c r="E145" s="62" t="inlineStr">
        <is>
          <t>Longest K Unique Characters Substring</t>
        </is>
      </c>
      <c r="F145" s="62" t="inlineStr">
        <is>
          <t>Medium</t>
        </is>
      </c>
      <c r="G145" s="62" t="inlineStr">
        <is>
          <t>Depth</t>
        </is>
      </c>
      <c r="H145" s="62" t="inlineStr">
        <is>
          <t>GeeksforGeeks</t>
        </is>
      </c>
      <c r="I145" s="62" t="inlineStr">
        <is>
          <t>https://www.geeksforgeeks.org/problems/longest-k-unique-characters-substring0853/1</t>
        </is>
      </c>
      <c r="J145" s="62" t="inlineStr">
        <is>
          <t>Not Started</t>
        </is>
      </c>
      <c r="K145" s="62" t="n"/>
      <c r="L145" s="62" t="n"/>
      <c r="M145" s="68" t="n"/>
      <c r="N145" s="68">
        <f>IF($M145="","",$M145+IF($K145="",Dashboard!$M$9,INDEX(Dashboard!$M$5:$M$9,$K145)))</f>
        <v/>
      </c>
      <c r="O145" s="62">
        <f>IF(OR($J145="Attempted",$J145="Revisit"),"DUE",IF($N145="","",IF($N145&lt;=TODAY(),"DUE","")))</f>
        <v/>
      </c>
      <c r="P145" s="62" t="inlineStr">
        <is>
          <t>v3 addition</t>
        </is>
      </c>
    </row>
    <row r="146" ht="15" customHeight="1" s="32">
      <c r="A146" s="62" t="n">
        <v>145</v>
      </c>
      <c r="B146" s="62" t="inlineStr">
        <is>
          <t>1. Foundations - Depth</t>
        </is>
      </c>
      <c r="C146" s="62" t="inlineStr">
        <is>
          <t>06. Sliding Window</t>
        </is>
      </c>
      <c r="D146" s="62" t="inlineStr">
        <is>
          <t>Variable window</t>
        </is>
      </c>
      <c r="E146" s="62" t="inlineStr">
        <is>
          <t>Maximum Erasure Value</t>
        </is>
      </c>
      <c r="F146" s="62" t="inlineStr">
        <is>
          <t>Medium</t>
        </is>
      </c>
      <c r="G146" s="62" t="inlineStr">
        <is>
          <t>Depth</t>
        </is>
      </c>
      <c r="H146" s="62" t="inlineStr">
        <is>
          <t>LeetCode</t>
        </is>
      </c>
      <c r="I146" s="62" t="inlineStr">
        <is>
          <t>https://leetcode.com/problems/maximum-erasure-value/</t>
        </is>
      </c>
      <c r="J146" s="62" t="inlineStr">
        <is>
          <t>Not Started</t>
        </is>
      </c>
      <c r="K146" s="62" t="n"/>
      <c r="L146" s="62" t="n"/>
      <c r="M146" s="68" t="n"/>
      <c r="N146" s="68">
        <f>IF($M146="","",$M146+IF($K146="",Dashboard!$M$9,INDEX(Dashboard!$M$5:$M$9,$K146)))</f>
        <v/>
      </c>
      <c r="O146" s="62">
        <f>IF(OR($J146="Attempted",$J146="Revisit"),"DUE",IF($N146="","",IF($N146&lt;=TODAY(),"DUE","")))</f>
        <v/>
      </c>
      <c r="P146" s="62" t="inlineStr">
        <is>
          <t>v3 addition</t>
        </is>
      </c>
    </row>
    <row r="147" ht="15" customHeight="1" s="32">
      <c r="A147" s="62" t="n">
        <v>146</v>
      </c>
      <c r="B147" s="62" t="inlineStr">
        <is>
          <t>1. Foundations - Depth</t>
        </is>
      </c>
      <c r="C147" s="62" t="inlineStr">
        <is>
          <t>06. Sliding Window</t>
        </is>
      </c>
      <c r="D147" s="62" t="inlineStr">
        <is>
          <t>Variable window</t>
        </is>
      </c>
      <c r="E147" s="62" t="inlineStr">
        <is>
          <t>Frequency of the Most Frequent Element</t>
        </is>
      </c>
      <c r="F147" s="62" t="inlineStr">
        <is>
          <t>Medium</t>
        </is>
      </c>
      <c r="G147" s="62" t="inlineStr">
        <is>
          <t>Depth</t>
        </is>
      </c>
      <c r="H147" s="62" t="inlineStr">
        <is>
          <t>LeetCode</t>
        </is>
      </c>
      <c r="I147" s="62" t="inlineStr">
        <is>
          <t>https://leetcode.com/problems/frequency-of-the-most-frequent-element/</t>
        </is>
      </c>
      <c r="J147" s="62" t="inlineStr">
        <is>
          <t>Not Started</t>
        </is>
      </c>
      <c r="K147" s="62" t="n"/>
      <c r="L147" s="62" t="n"/>
      <c r="M147" s="68" t="n"/>
      <c r="N147" s="68">
        <f>IF($M147="","",$M147+IF($K147="",Dashboard!$M$9,INDEX(Dashboard!$M$5:$M$9,$K147)))</f>
        <v/>
      </c>
      <c r="O147" s="62">
        <f>IF(OR($J147="Attempted",$J147="Revisit"),"DUE",IF($N147="","",IF($N147&lt;=TODAY(),"DUE","")))</f>
        <v/>
      </c>
      <c r="P147" s="62" t="n"/>
    </row>
    <row r="148" ht="15" customHeight="1" s="32">
      <c r="A148" s="62" t="n">
        <v>147</v>
      </c>
      <c r="B148" s="62" t="inlineStr">
        <is>
          <t>1. Foundations - Depth</t>
        </is>
      </c>
      <c r="C148" s="62" t="inlineStr">
        <is>
          <t>06. Sliding Window</t>
        </is>
      </c>
      <c r="D148" s="62" t="inlineStr">
        <is>
          <t>Anagram window</t>
        </is>
      </c>
      <c r="E148" s="62" t="inlineStr">
        <is>
          <t>Smallest Window in a String Containing All Characters of Another String</t>
        </is>
      </c>
      <c r="F148" s="62" t="inlineStr">
        <is>
          <t>Medium</t>
        </is>
      </c>
      <c r="G148" s="62" t="inlineStr">
        <is>
          <t>Depth</t>
        </is>
      </c>
      <c r="H148" s="62" t="inlineStr">
        <is>
          <t>GeeksforGeeks</t>
        </is>
      </c>
      <c r="I148" s="62" t="inlineStr">
        <is>
          <t>https://www.geeksforgeeks.org/search/?q=Smallest+Window+in+a+String+Containing+All+Characters+of+Another+String</t>
        </is>
      </c>
      <c r="J148" s="62" t="inlineStr">
        <is>
          <t>Not Started</t>
        </is>
      </c>
      <c r="K148" s="62" t="n"/>
      <c r="L148" s="62" t="n"/>
      <c r="M148" s="68" t="n"/>
      <c r="N148" s="68">
        <f>IF($M148="","",$M148+IF($K148="",Dashboard!$M$9,INDEX(Dashboard!$M$5:$M$9,$K148)))</f>
        <v/>
      </c>
      <c r="O148" s="62">
        <f>IF(OR($J148="Attempted",$J148="Revisit"),"DUE",IF($N148="","",IF($N148&lt;=TODAY(),"DUE","")))</f>
        <v/>
      </c>
      <c r="P148" s="62" t="n"/>
    </row>
    <row r="149" ht="15" customHeight="1" s="32">
      <c r="A149" s="62" t="n">
        <v>148</v>
      </c>
      <c r="B149" s="62" t="inlineStr">
        <is>
          <t>1. Foundations - Depth</t>
        </is>
      </c>
      <c r="C149" s="62" t="inlineStr">
        <is>
          <t>06. Sliding Window</t>
        </is>
      </c>
      <c r="D149" s="62" t="inlineStr">
        <is>
          <t>Anagram window</t>
        </is>
      </c>
      <c r="E149" s="62" t="inlineStr">
        <is>
          <t>Count Occurrences of Anagrams</t>
        </is>
      </c>
      <c r="F149" s="62" t="inlineStr">
        <is>
          <t>Medium</t>
        </is>
      </c>
      <c r="G149" s="62" t="inlineStr">
        <is>
          <t>Depth</t>
        </is>
      </c>
      <c r="H149" s="62" t="inlineStr">
        <is>
          <t>GeeksforGeeks</t>
        </is>
      </c>
      <c r="I149" s="62" t="inlineStr">
        <is>
          <t>https://www.geeksforgeeks.org/search/?q=Count+Occurrences+of+Anagrams</t>
        </is>
      </c>
      <c r="J149" s="62" t="inlineStr">
        <is>
          <t>Not Started</t>
        </is>
      </c>
      <c r="K149" s="62" t="n"/>
      <c r="L149" s="62" t="n"/>
      <c r="M149" s="68" t="n"/>
      <c r="N149" s="68">
        <f>IF($M149="","",$M149+IF($K149="",Dashboard!$M$9,INDEX(Dashboard!$M$5:$M$9,$K149)))</f>
        <v/>
      </c>
      <c r="O149" s="62">
        <f>IF(OR($J149="Attempted",$J149="Revisit"),"DUE",IF($N149="","",IF($N149&lt;=TODAY(),"DUE","")))</f>
        <v/>
      </c>
      <c r="P149" s="62" t="inlineStr">
        <is>
          <t>v3 addition</t>
        </is>
      </c>
    </row>
    <row r="150" ht="15" customHeight="1" s="32">
      <c r="A150" s="62" t="n">
        <v>149</v>
      </c>
      <c r="B150" s="62" t="inlineStr">
        <is>
          <t>1. Foundations - Depth</t>
        </is>
      </c>
      <c r="C150" s="62" t="inlineStr">
        <is>
          <t>06. Sliding Window</t>
        </is>
      </c>
      <c r="D150" s="62" t="inlineStr">
        <is>
          <t>Anagram window</t>
        </is>
      </c>
      <c r="E150" s="62" t="inlineStr">
        <is>
          <t>Maximum Number of Occurrences of a Substring</t>
        </is>
      </c>
      <c r="F150" s="62" t="inlineStr">
        <is>
          <t>Medium</t>
        </is>
      </c>
      <c r="G150" s="62" t="inlineStr">
        <is>
          <t>Depth</t>
        </is>
      </c>
      <c r="H150" s="62" t="inlineStr">
        <is>
          <t>LeetCode</t>
        </is>
      </c>
      <c r="I150" s="62" t="inlineStr">
        <is>
          <t>https://leetcode.com/problems/maximum-number-of-occurrences-of-a-substring/</t>
        </is>
      </c>
      <c r="J150" s="62" t="inlineStr">
        <is>
          <t>Not Started</t>
        </is>
      </c>
      <c r="K150" s="62" t="n"/>
      <c r="L150" s="62" t="n"/>
      <c r="M150" s="68" t="n"/>
      <c r="N150" s="68">
        <f>IF($M150="","",$M150+IF($K150="",Dashboard!$M$9,INDEX(Dashboard!$M$5:$M$9,$K150)))</f>
        <v/>
      </c>
      <c r="O150" s="62">
        <f>IF(OR($J150="Attempted",$J150="Revisit"),"DUE",IF($N150="","",IF($N150&lt;=TODAY(),"DUE","")))</f>
        <v/>
      </c>
      <c r="P150" s="62" t="n"/>
    </row>
    <row r="151" ht="15" customHeight="1" s="32">
      <c r="A151" s="62" t="n">
        <v>150</v>
      </c>
      <c r="B151" s="62" t="inlineStr">
        <is>
          <t>1. Foundations - Depth</t>
        </is>
      </c>
      <c r="C151" s="62" t="inlineStr">
        <is>
          <t>06. Sliding Window</t>
        </is>
      </c>
      <c r="D151" s="62" t="inlineStr">
        <is>
          <t>Count exactly-K trick</t>
        </is>
      </c>
      <c r="E151" s="62" t="inlineStr">
        <is>
          <t>Number of Substrings Containing All Three Characters</t>
        </is>
      </c>
      <c r="F151" s="62" t="inlineStr">
        <is>
          <t>Medium</t>
        </is>
      </c>
      <c r="G151" s="62" t="inlineStr">
        <is>
          <t>Depth</t>
        </is>
      </c>
      <c r="H151" s="62" t="inlineStr">
        <is>
          <t>LeetCode</t>
        </is>
      </c>
      <c r="I151" s="62" t="inlineStr">
        <is>
          <t>https://leetcode.com/problems/number-of-substrings-containing-all-three-characters/</t>
        </is>
      </c>
      <c r="J151" s="62" t="inlineStr">
        <is>
          <t>Not Started</t>
        </is>
      </c>
      <c r="K151" s="62" t="n"/>
      <c r="L151" s="62" t="n"/>
      <c r="M151" s="68" t="n"/>
      <c r="N151" s="68">
        <f>IF($M151="","",$M151+IF($K151="",Dashboard!$M$9,INDEX(Dashboard!$M$5:$M$9,$K151)))</f>
        <v/>
      </c>
      <c r="O151" s="62">
        <f>IF(OR($J151="Attempted",$J151="Revisit"),"DUE",IF($N151="","",IF($N151&lt;=TODAY(),"DUE","")))</f>
        <v/>
      </c>
      <c r="P151" s="62" t="inlineStr">
        <is>
          <t>v3 addition</t>
        </is>
      </c>
    </row>
    <row r="152" ht="15" customHeight="1" s="32">
      <c r="A152" s="62" t="n">
        <v>151</v>
      </c>
      <c r="B152" s="62" t="inlineStr">
        <is>
          <t>1. Foundations - Depth</t>
        </is>
      </c>
      <c r="C152" s="62" t="inlineStr">
        <is>
          <t>06. Sliding Window</t>
        </is>
      </c>
      <c r="D152" s="62" t="inlineStr">
        <is>
          <t>Count exactly-K trick</t>
        </is>
      </c>
      <c r="E152" s="62" t="inlineStr">
        <is>
          <t>Number of Subarrays with Bounded Maximum</t>
        </is>
      </c>
      <c r="F152" s="62" t="inlineStr">
        <is>
          <t>Medium</t>
        </is>
      </c>
      <c r="G152" s="62" t="inlineStr">
        <is>
          <t>Depth</t>
        </is>
      </c>
      <c r="H152" s="62" t="inlineStr">
        <is>
          <t>LeetCode</t>
        </is>
      </c>
      <c r="I152" s="62" t="inlineStr">
        <is>
          <t>https://leetcode.com/problems/number-of-subarrays-with-bounded-maximum/</t>
        </is>
      </c>
      <c r="J152" s="62" t="inlineStr">
        <is>
          <t>Not Started</t>
        </is>
      </c>
      <c r="K152" s="62" t="n"/>
      <c r="L152" s="62" t="n"/>
      <c r="M152" s="68" t="n"/>
      <c r="N152" s="68">
        <f>IF($M152="","",$M152+IF($K152="",Dashboard!$M$9,INDEX(Dashboard!$M$5:$M$9,$K152)))</f>
        <v/>
      </c>
      <c r="O152" s="62">
        <f>IF(OR($J152="Attempted",$J152="Revisit"),"DUE",IF($N152="","",IF($N152&lt;=TODAY(),"DUE","")))</f>
        <v/>
      </c>
      <c r="P152" s="62" t="n"/>
    </row>
    <row r="153" ht="15" customHeight="1" s="32">
      <c r="A153" s="62" t="n">
        <v>152</v>
      </c>
      <c r="B153" s="62" t="inlineStr">
        <is>
          <t>1. Foundations - Depth</t>
        </is>
      </c>
      <c r="C153" s="62" t="inlineStr">
        <is>
          <t>06. Sliding Window</t>
        </is>
      </c>
      <c r="D153" s="62" t="inlineStr">
        <is>
          <t>Hard window</t>
        </is>
      </c>
      <c r="E153" s="62" t="inlineStr">
        <is>
          <t>Minimum Operations to Reduce X to Zero</t>
        </is>
      </c>
      <c r="F153" s="62" t="inlineStr">
        <is>
          <t>Medium</t>
        </is>
      </c>
      <c r="G153" s="62" t="inlineStr">
        <is>
          <t>Depth</t>
        </is>
      </c>
      <c r="H153" s="62" t="inlineStr">
        <is>
          <t>LeetCode</t>
        </is>
      </c>
      <c r="I153" s="62" t="inlineStr">
        <is>
          <t>https://leetcode.com/problems/minimum-operations-to-reduce-x-to-zero/</t>
        </is>
      </c>
      <c r="J153" s="62" t="inlineStr">
        <is>
          <t>Not Started</t>
        </is>
      </c>
      <c r="K153" s="62" t="n"/>
      <c r="L153" s="62" t="n"/>
      <c r="M153" s="68" t="n"/>
      <c r="N153" s="68">
        <f>IF($M153="","",$M153+IF($K153="",Dashboard!$M$9,INDEX(Dashboard!$M$5:$M$9,$K153)))</f>
        <v/>
      </c>
      <c r="O153" s="62">
        <f>IF(OR($J153="Attempted",$J153="Revisit"),"DUE",IF($N153="","",IF($N153&lt;=TODAY(),"DUE","")))</f>
        <v/>
      </c>
      <c r="P153" s="62" t="n"/>
    </row>
    <row r="154" ht="15" customHeight="1" s="32">
      <c r="A154" s="62" t="n">
        <v>153</v>
      </c>
      <c r="B154" s="62" t="inlineStr">
        <is>
          <t>1. Foundations - Depth</t>
        </is>
      </c>
      <c r="C154" s="62" t="inlineStr">
        <is>
          <t>06. Sliding Window</t>
        </is>
      </c>
      <c r="D154" s="62" t="inlineStr">
        <is>
          <t>Hard window</t>
        </is>
      </c>
      <c r="E154" s="62" t="inlineStr">
        <is>
          <t>Longest Nice Subarray</t>
        </is>
      </c>
      <c r="F154" s="62" t="inlineStr">
        <is>
          <t>Medium</t>
        </is>
      </c>
      <c r="G154" s="62" t="inlineStr">
        <is>
          <t>Depth</t>
        </is>
      </c>
      <c r="H154" s="62" t="inlineStr">
        <is>
          <t>LeetCode</t>
        </is>
      </c>
      <c r="I154" s="62" t="inlineStr">
        <is>
          <t>https://leetcode.com/problems/longest-nice-subarray/</t>
        </is>
      </c>
      <c r="J154" s="62" t="inlineStr">
        <is>
          <t>Not Started</t>
        </is>
      </c>
      <c r="K154" s="62" t="n"/>
      <c r="L154" s="62" t="n"/>
      <c r="M154" s="68" t="n"/>
      <c r="N154" s="68">
        <f>IF($M154="","",$M154+IF($K154="",Dashboard!$M$9,INDEX(Dashboard!$M$5:$M$9,$K154)))</f>
        <v/>
      </c>
      <c r="O154" s="62">
        <f>IF(OR($J154="Attempted",$J154="Revisit"),"DUE",IF($N154="","",IF($N154&lt;=TODAY(),"DUE","")))</f>
        <v/>
      </c>
      <c r="P154" s="62" t="inlineStr">
        <is>
          <t>v3 addition</t>
        </is>
      </c>
    </row>
    <row r="155" ht="15" customHeight="1" s="32">
      <c r="A155" s="62" t="n">
        <v>154</v>
      </c>
      <c r="B155" s="62" t="inlineStr">
        <is>
          <t>1. Foundations - Stretch</t>
        </is>
      </c>
      <c r="C155" s="62" t="inlineStr">
        <is>
          <t>02. Arrays &amp; Two Pointers</t>
        </is>
      </c>
      <c r="D155" s="62" t="inlineStr">
        <is>
          <t>Two pointers</t>
        </is>
      </c>
      <c r="E155" s="62" t="inlineStr">
        <is>
          <t>Trapping Rain Water</t>
        </is>
      </c>
      <c r="F155" s="62" t="inlineStr">
        <is>
          <t>Hard</t>
        </is>
      </c>
      <c r="G155" s="62" t="inlineStr">
        <is>
          <t>Stretch</t>
        </is>
      </c>
      <c r="H155" s="62" t="inlineStr">
        <is>
          <t>LeetCode</t>
        </is>
      </c>
      <c r="I155" s="62" t="inlineStr">
        <is>
          <t>https://leetcode.com/problems/trapping-rain-water/</t>
        </is>
      </c>
      <c r="J155" s="62" t="inlineStr">
        <is>
          <t>Not Started</t>
        </is>
      </c>
      <c r="K155" s="62" t="n"/>
      <c r="L155" s="62" t="n"/>
      <c r="M155" s="68" t="n"/>
      <c r="N155" s="68">
        <f>IF($M155="","",$M155+IF($K155="",Dashboard!$M$9,INDEX(Dashboard!$M$5:$M$9,$K155)))</f>
        <v/>
      </c>
      <c r="O155" s="62">
        <f>IF(OR($J155="Attempted",$J155="Revisit"),"DUE",IF($N155="","",IF($N155&lt;=TODAY(),"DUE","")))</f>
        <v/>
      </c>
      <c r="P155" s="62" t="n"/>
    </row>
    <row r="156" ht="15" customHeight="1" s="32">
      <c r="A156" s="62" t="n">
        <v>155</v>
      </c>
      <c r="B156" s="62" t="inlineStr">
        <is>
          <t>1. Foundations - Stretch</t>
        </is>
      </c>
      <c r="C156" s="62" t="inlineStr">
        <is>
          <t>03. Sorting &amp; Cyclic Sort</t>
        </is>
      </c>
      <c r="D156" s="62" t="inlineStr">
        <is>
          <t>Cyclic sort</t>
        </is>
      </c>
      <c r="E156" s="62" t="inlineStr">
        <is>
          <t>First Missing Positive</t>
        </is>
      </c>
      <c r="F156" s="62" t="inlineStr">
        <is>
          <t>Hard</t>
        </is>
      </c>
      <c r="G156" s="62" t="inlineStr">
        <is>
          <t>Stretch</t>
        </is>
      </c>
      <c r="H156" s="62" t="inlineStr">
        <is>
          <t>LeetCode</t>
        </is>
      </c>
      <c r="I156" s="62" t="inlineStr">
        <is>
          <t>https://leetcode.com/problems/first-missing-positive/</t>
        </is>
      </c>
      <c r="J156" s="62" t="inlineStr">
        <is>
          <t>Not Started</t>
        </is>
      </c>
      <c r="K156" s="62" t="n"/>
      <c r="L156" s="62" t="n"/>
      <c r="M156" s="68" t="n"/>
      <c r="N156" s="68">
        <f>IF($M156="","",$M156+IF($K156="",Dashboard!$M$9,INDEX(Dashboard!$M$5:$M$9,$K156)))</f>
        <v/>
      </c>
      <c r="O156" s="62">
        <f>IF(OR($J156="Attempted",$J156="Revisit"),"DUE",IF($N156="","",IF($N156&lt;=TODAY(),"DUE","")))</f>
        <v/>
      </c>
      <c r="P156" s="62" t="n"/>
    </row>
    <row r="157" ht="15" customHeight="1" s="32">
      <c r="A157" s="62" t="n">
        <v>156</v>
      </c>
      <c r="B157" s="62" t="inlineStr">
        <is>
          <t>1. Foundations - Stretch</t>
        </is>
      </c>
      <c r="C157" s="62" t="inlineStr">
        <is>
          <t>03. Sorting &amp; Cyclic Sort</t>
        </is>
      </c>
      <c r="D157" s="62" t="inlineStr">
        <is>
          <t>Sorting application</t>
        </is>
      </c>
      <c r="E157" s="62" t="inlineStr">
        <is>
          <t>Wiggle Sort II</t>
        </is>
      </c>
      <c r="F157" s="62" t="inlineStr">
        <is>
          <t>Medium</t>
        </is>
      </c>
      <c r="G157" s="62" t="inlineStr">
        <is>
          <t>Stretch</t>
        </is>
      </c>
      <c r="H157" s="62" t="inlineStr">
        <is>
          <t>LeetCode</t>
        </is>
      </c>
      <c r="I157" s="62" t="inlineStr">
        <is>
          <t>https://leetcode.com/problems/wiggle-sort-ii/</t>
        </is>
      </c>
      <c r="J157" s="62" t="inlineStr">
        <is>
          <t>Not Started</t>
        </is>
      </c>
      <c r="K157" s="62" t="n"/>
      <c r="L157" s="62" t="n"/>
      <c r="M157" s="68" t="n"/>
      <c r="N157" s="68">
        <f>IF($M157="","",$M157+IF($K157="",Dashboard!$M$9,INDEX(Dashboard!$M$5:$M$9,$K157)))</f>
        <v/>
      </c>
      <c r="O157" s="62">
        <f>IF(OR($J157="Attempted",$J157="Revisit"),"DUE",IF($N157="","",IF($N157&lt;=TODAY(),"DUE","")))</f>
        <v/>
      </c>
      <c r="P157" s="62" t="inlineStr">
        <is>
          <t>v3 addition</t>
        </is>
      </c>
    </row>
    <row r="158" ht="15" customHeight="1" s="32">
      <c r="A158" s="62" t="n">
        <v>157</v>
      </c>
      <c r="B158" s="62" t="inlineStr">
        <is>
          <t>1. Foundations - Stretch</t>
        </is>
      </c>
      <c r="C158" s="62" t="inlineStr">
        <is>
          <t>04. Hashing</t>
        </is>
      </c>
      <c r="D158" s="62" t="inlineStr">
        <is>
          <t>Meet in the middle</t>
        </is>
      </c>
      <c r="E158" s="62" t="inlineStr">
        <is>
          <t>Partition Array Into Two Arrays to Minimize Sum Difference</t>
        </is>
      </c>
      <c r="F158" s="62" t="inlineStr">
        <is>
          <t>Hard</t>
        </is>
      </c>
      <c r="G158" s="62" t="inlineStr">
        <is>
          <t>Stretch</t>
        </is>
      </c>
      <c r="H158" s="62" t="inlineStr">
        <is>
          <t>LeetCode</t>
        </is>
      </c>
      <c r="I158" s="62" t="inlineStr">
        <is>
          <t>https://leetcode.com/problems/partition-array-into-two-arrays-to-minimize-sum-difference/</t>
        </is>
      </c>
      <c r="J158" s="62" t="inlineStr">
        <is>
          <t>Not Started</t>
        </is>
      </c>
      <c r="K158" s="62" t="n"/>
      <c r="L158" s="62" t="n"/>
      <c r="M158" s="68" t="n"/>
      <c r="N158" s="68">
        <f>IF($M158="","",$M158+IF($K158="",Dashboard!$M$9,INDEX(Dashboard!$M$5:$M$9,$K158)))</f>
        <v/>
      </c>
      <c r="O158" s="62">
        <f>IF(OR($J158="Attempted",$J158="Revisit"),"DUE",IF($N158="","",IF($N158&lt;=TODAY(),"DUE","")))</f>
        <v/>
      </c>
      <c r="P158" s="62" t="inlineStr">
        <is>
          <t>v3 addition</t>
        </is>
      </c>
    </row>
    <row r="159" ht="15" customHeight="1" s="32">
      <c r="A159" s="62" t="n">
        <v>158</v>
      </c>
      <c r="B159" s="62" t="inlineStr">
        <is>
          <t>1. Foundations - Stretch</t>
        </is>
      </c>
      <c r="C159" s="62" t="inlineStr">
        <is>
          <t>04. Hashing</t>
        </is>
      </c>
      <c r="D159" s="62" t="inlineStr">
        <is>
          <t>Meet in the middle</t>
        </is>
      </c>
      <c r="E159" s="62" t="inlineStr">
        <is>
          <t>Closest Subsequence Sum</t>
        </is>
      </c>
      <c r="F159" s="62" t="inlineStr">
        <is>
          <t>Hard</t>
        </is>
      </c>
      <c r="G159" s="62" t="inlineStr">
        <is>
          <t>Stretch</t>
        </is>
      </c>
      <c r="H159" s="62" t="inlineStr">
        <is>
          <t>LeetCode</t>
        </is>
      </c>
      <c r="I159" s="62" t="inlineStr">
        <is>
          <t>https://leetcode.com/problems/closest-subsequence-sum/</t>
        </is>
      </c>
      <c r="J159" s="62" t="inlineStr">
        <is>
          <t>Not Started</t>
        </is>
      </c>
      <c r="K159" s="62" t="n"/>
      <c r="L159" s="62" t="n"/>
      <c r="M159" s="68" t="n"/>
      <c r="N159" s="68">
        <f>IF($M159="","",$M159+IF($K159="",Dashboard!$M$9,INDEX(Dashboard!$M$5:$M$9,$K159)))</f>
        <v/>
      </c>
      <c r="O159" s="62">
        <f>IF(OR($J159="Attempted",$J159="Revisit"),"DUE",IF($N159="","",IF($N159&lt;=TODAY(),"DUE","")))</f>
        <v/>
      </c>
      <c r="P159" s="62" t="inlineStr">
        <is>
          <t>v3 addition</t>
        </is>
      </c>
    </row>
    <row r="160" ht="15" customHeight="1" s="32">
      <c r="A160" s="62" t="n">
        <v>159</v>
      </c>
      <c r="B160" s="62" t="inlineStr">
        <is>
          <t>1. Foundations - Stretch</t>
        </is>
      </c>
      <c r="C160" s="62" t="inlineStr">
        <is>
          <t>04. Hashing</t>
        </is>
      </c>
      <c r="D160" s="62" t="inlineStr">
        <is>
          <t>Meet in the middle</t>
        </is>
      </c>
      <c r="E160" s="62" t="inlineStr">
        <is>
          <t>Split Array With Same Average</t>
        </is>
      </c>
      <c r="F160" s="62" t="inlineStr">
        <is>
          <t>Hard</t>
        </is>
      </c>
      <c r="G160" s="62" t="inlineStr">
        <is>
          <t>Stretch</t>
        </is>
      </c>
      <c r="H160" s="62" t="inlineStr">
        <is>
          <t>LeetCode</t>
        </is>
      </c>
      <c r="I160" s="62" t="inlineStr">
        <is>
          <t>https://leetcode.com/problems/split-array-with-same-average/</t>
        </is>
      </c>
      <c r="J160" s="62" t="inlineStr">
        <is>
          <t>Not Started</t>
        </is>
      </c>
      <c r="K160" s="62" t="n"/>
      <c r="L160" s="62" t="n"/>
      <c r="M160" s="68" t="n"/>
      <c r="N160" s="68">
        <f>IF($M160="","",$M160+IF($K160="",Dashboard!$M$9,INDEX(Dashboard!$M$5:$M$9,$K160)))</f>
        <v/>
      </c>
      <c r="O160" s="62">
        <f>IF(OR($J160="Attempted",$J160="Revisit"),"DUE",IF($N160="","",IF($N160&lt;=TODAY(),"DUE","")))</f>
        <v/>
      </c>
      <c r="P160" s="62" t="n"/>
    </row>
    <row r="161" ht="15" customHeight="1" s="32">
      <c r="A161" s="62" t="n">
        <v>160</v>
      </c>
      <c r="B161" s="62" t="inlineStr">
        <is>
          <t>1. Foundations - Stretch</t>
        </is>
      </c>
      <c r="C161" s="62" t="inlineStr">
        <is>
          <t>05. Prefix Sum &amp; Kadane</t>
        </is>
      </c>
      <c r="D161" s="62" t="inlineStr">
        <is>
          <t>Difference array</t>
        </is>
      </c>
      <c r="E161" s="62" t="inlineStr">
        <is>
          <t>Minimum Number of K Consecutive Bit Flips</t>
        </is>
      </c>
      <c r="F161" s="62" t="inlineStr">
        <is>
          <t>Hard</t>
        </is>
      </c>
      <c r="G161" s="62" t="inlineStr">
        <is>
          <t>Stretch</t>
        </is>
      </c>
      <c r="H161" s="62" t="inlineStr">
        <is>
          <t>LeetCode</t>
        </is>
      </c>
      <c r="I161" s="62" t="inlineStr">
        <is>
          <t>https://leetcode.com/problems/minimum-number-of-k-consecutive-bit-flips/</t>
        </is>
      </c>
      <c r="J161" s="62" t="inlineStr">
        <is>
          <t>Not Started</t>
        </is>
      </c>
      <c r="K161" s="62" t="n"/>
      <c r="L161" s="62" t="n"/>
      <c r="M161" s="68" t="n"/>
      <c r="N161" s="68">
        <f>IF($M161="","",$M161+IF($K161="",Dashboard!$M$9,INDEX(Dashboard!$M$5:$M$9,$K161)))</f>
        <v/>
      </c>
      <c r="O161" s="62">
        <f>IF(OR($J161="Attempted",$J161="Revisit"),"DUE",IF($N161="","",IF($N161&lt;=TODAY(),"DUE","")))</f>
        <v/>
      </c>
      <c r="P161" s="62" t="n"/>
    </row>
    <row r="162" ht="15" customHeight="1" s="32">
      <c r="A162" s="62" t="n">
        <v>161</v>
      </c>
      <c r="B162" s="62" t="inlineStr">
        <is>
          <t>1. Foundations - Stretch</t>
        </is>
      </c>
      <c r="C162" s="62" t="inlineStr">
        <is>
          <t>06. Sliding Window</t>
        </is>
      </c>
      <c r="D162" s="62" t="inlineStr">
        <is>
          <t>Count exactly-K trick</t>
        </is>
      </c>
      <c r="E162" s="62" t="inlineStr">
        <is>
          <t>Subarrays with K Different Integers</t>
        </is>
      </c>
      <c r="F162" s="62" t="inlineStr">
        <is>
          <t>Hard</t>
        </is>
      </c>
      <c r="G162" s="62" t="inlineStr">
        <is>
          <t>Stretch</t>
        </is>
      </c>
      <c r="H162" s="62" t="inlineStr">
        <is>
          <t>LeetCode</t>
        </is>
      </c>
      <c r="I162" s="62" t="inlineStr">
        <is>
          <t>https://leetcode.com/problems/subarrays-with-k-different-integers/</t>
        </is>
      </c>
      <c r="J162" s="62" t="inlineStr">
        <is>
          <t>Not Started</t>
        </is>
      </c>
      <c r="K162" s="62" t="n"/>
      <c r="L162" s="62" t="n"/>
      <c r="M162" s="68" t="n"/>
      <c r="N162" s="68">
        <f>IF($M162="","",$M162+IF($K162="",Dashboard!$M$9,INDEX(Dashboard!$M$5:$M$9,$K162)))</f>
        <v/>
      </c>
      <c r="O162" s="62">
        <f>IF(OR($J162="Attempted",$J162="Revisit"),"DUE",IF($N162="","",IF($N162&lt;=TODAY(),"DUE","")))</f>
        <v/>
      </c>
      <c r="P162" s="62" t="n"/>
    </row>
    <row r="163" ht="15" customHeight="1" s="32">
      <c r="A163" s="62" t="n">
        <v>162</v>
      </c>
      <c r="B163" s="62" t="inlineStr">
        <is>
          <t>1. Foundations - Stretch</t>
        </is>
      </c>
      <c r="C163" s="62" t="inlineStr">
        <is>
          <t>06. Sliding Window</t>
        </is>
      </c>
      <c r="D163" s="62" t="inlineStr">
        <is>
          <t>Hard window</t>
        </is>
      </c>
      <c r="E163" s="62" t="inlineStr">
        <is>
          <t>Substring with Concatenation of All Words</t>
        </is>
      </c>
      <c r="F163" s="62" t="inlineStr">
        <is>
          <t>Hard</t>
        </is>
      </c>
      <c r="G163" s="62" t="inlineStr">
        <is>
          <t>Stretch</t>
        </is>
      </c>
      <c r="H163" s="62" t="inlineStr">
        <is>
          <t>LeetCode</t>
        </is>
      </c>
      <c r="I163" s="62" t="inlineStr">
        <is>
          <t>https://leetcode.com/problems/substring-with-concatenation-of-all-words/</t>
        </is>
      </c>
      <c r="J163" s="62" t="inlineStr">
        <is>
          <t>Not Started</t>
        </is>
      </c>
      <c r="K163" s="62" t="n"/>
      <c r="L163" s="62" t="n"/>
      <c r="M163" s="68" t="n"/>
      <c r="N163" s="68">
        <f>IF($M163="","",$M163+IF($K163="",Dashboard!$M$9,INDEX(Dashboard!$M$5:$M$9,$K163)))</f>
        <v/>
      </c>
      <c r="O163" s="62">
        <f>IF(OR($J163="Attempted",$J163="Revisit"),"DUE",IF($N163="","",IF($N163&lt;=TODAY(),"DUE","")))</f>
        <v/>
      </c>
      <c r="P163" s="62" t="n"/>
    </row>
    <row r="164" ht="15" customHeight="1" s="32">
      <c r="A164" s="62" t="n">
        <v>163</v>
      </c>
      <c r="B164" s="62" t="inlineStr">
        <is>
          <t>1. Foundations - Stretch</t>
        </is>
      </c>
      <c r="C164" s="62" t="inlineStr">
        <is>
          <t>06. Sliding Window</t>
        </is>
      </c>
      <c r="D164" s="62" t="inlineStr">
        <is>
          <t>Hard window</t>
        </is>
      </c>
      <c r="E164" s="62" t="inlineStr">
        <is>
          <t>Count Subarrays With Fixed Bounds</t>
        </is>
      </c>
      <c r="F164" s="62" t="inlineStr">
        <is>
          <t>Hard</t>
        </is>
      </c>
      <c r="G164" s="62" t="inlineStr">
        <is>
          <t>Stretch</t>
        </is>
      </c>
      <c r="H164" s="62" t="inlineStr">
        <is>
          <t>LeetCode</t>
        </is>
      </c>
      <c r="I164" s="62" t="inlineStr">
        <is>
          <t>https://leetcode.com/problems/count-subarrays-with-fixed-bounds/</t>
        </is>
      </c>
      <c r="J164" s="62" t="inlineStr">
        <is>
          <t>Not Started</t>
        </is>
      </c>
      <c r="K164" s="62" t="n"/>
      <c r="L164" s="62" t="n"/>
      <c r="M164" s="68" t="n"/>
      <c r="N164" s="68">
        <f>IF($M164="","",$M164+IF($K164="",Dashboard!$M$9,INDEX(Dashboard!$M$5:$M$9,$K164)))</f>
        <v/>
      </c>
      <c r="O164" s="62">
        <f>IF(OR($J164="Attempted",$J164="Revisit"),"DUE",IF($N164="","",IF($N164&lt;=TODAY(),"DUE","")))</f>
        <v/>
      </c>
      <c r="P164" s="62" t="n"/>
    </row>
    <row r="165" ht="15" customHeight="1" s="32">
      <c r="A165" s="62" t="n">
        <v>164</v>
      </c>
      <c r="B165" s="62" t="inlineStr">
        <is>
          <t>2. Search, Strings &amp; Math - Core</t>
        </is>
      </c>
      <c r="C165" s="62" t="inlineStr">
        <is>
          <t>07. Binary Search</t>
        </is>
      </c>
      <c r="D165" s="62" t="inlineStr">
        <is>
          <t>Vanilla BS</t>
        </is>
      </c>
      <c r="E165" s="62" t="inlineStr">
        <is>
          <t>Binary Search</t>
        </is>
      </c>
      <c r="F165" s="62" t="inlineStr">
        <is>
          <t>Easy</t>
        </is>
      </c>
      <c r="G165" s="62" t="inlineStr">
        <is>
          <t>Core</t>
        </is>
      </c>
      <c r="H165" s="62" t="inlineStr">
        <is>
          <t>LeetCode</t>
        </is>
      </c>
      <c r="I165" s="62" t="inlineStr">
        <is>
          <t>https://leetcode.com/problems/binary-search/</t>
        </is>
      </c>
      <c r="J165" s="62" t="inlineStr">
        <is>
          <t>Not Started</t>
        </is>
      </c>
      <c r="K165" s="62" t="n"/>
      <c r="L165" s="62" t="n"/>
      <c r="M165" s="68" t="n"/>
      <c r="N165" s="68">
        <f>IF($M165="","",$M165+IF($K165="",Dashboard!$M$9,INDEX(Dashboard!$M$5:$M$9,$K165)))</f>
        <v/>
      </c>
      <c r="O165" s="62">
        <f>IF(OR($J165="Attempted",$J165="Revisit"),"DUE",IF($N165="","",IF($N165&lt;=TODAY(),"DUE","")))</f>
        <v/>
      </c>
      <c r="P165" s="62" t="n"/>
    </row>
    <row r="166" ht="15" customHeight="1" s="32">
      <c r="A166" s="62" t="n">
        <v>165</v>
      </c>
      <c r="B166" s="62" t="inlineStr">
        <is>
          <t>2. Search, Strings &amp; Math - Core</t>
        </is>
      </c>
      <c r="C166" s="62" t="inlineStr">
        <is>
          <t>07. Binary Search</t>
        </is>
      </c>
      <c r="D166" s="62" t="inlineStr">
        <is>
          <t>Vanilla BS</t>
        </is>
      </c>
      <c r="E166" s="62" t="inlineStr">
        <is>
          <t>Search Insert Position</t>
        </is>
      </c>
      <c r="F166" s="62" t="inlineStr">
        <is>
          <t>Easy</t>
        </is>
      </c>
      <c r="G166" s="62" t="inlineStr">
        <is>
          <t>Core</t>
        </is>
      </c>
      <c r="H166" s="62" t="inlineStr">
        <is>
          <t>LeetCode</t>
        </is>
      </c>
      <c r="I166" s="62" t="inlineStr">
        <is>
          <t>https://leetcode.com/problems/search-insert-position/</t>
        </is>
      </c>
      <c r="J166" s="62" t="inlineStr">
        <is>
          <t>Not Started</t>
        </is>
      </c>
      <c r="K166" s="62" t="n"/>
      <c r="L166" s="62" t="n"/>
      <c r="M166" s="68" t="n"/>
      <c r="N166" s="68">
        <f>IF($M166="","",$M166+IF($K166="",Dashboard!$M$9,INDEX(Dashboard!$M$5:$M$9,$K166)))</f>
        <v/>
      </c>
      <c r="O166" s="62">
        <f>IF(OR($J166="Attempted",$J166="Revisit"),"DUE",IF($N166="","",IF($N166&lt;=TODAY(),"DUE","")))</f>
        <v/>
      </c>
      <c r="P166" s="62" t="n"/>
    </row>
    <row r="167" ht="15" customHeight="1" s="32">
      <c r="A167" s="62" t="n">
        <v>166</v>
      </c>
      <c r="B167" s="62" t="inlineStr">
        <is>
          <t>2. Search, Strings &amp; Math - Core</t>
        </is>
      </c>
      <c r="C167" s="62" t="inlineStr">
        <is>
          <t>07. Binary Search</t>
        </is>
      </c>
      <c r="D167" s="62" t="inlineStr">
        <is>
          <t>Vanilla BS</t>
        </is>
      </c>
      <c r="E167" s="62" t="inlineStr">
        <is>
          <t>Find the Distance Value Between Two Arrays</t>
        </is>
      </c>
      <c r="F167" s="62" t="inlineStr">
        <is>
          <t>Easy</t>
        </is>
      </c>
      <c r="G167" s="62" t="inlineStr">
        <is>
          <t>Core</t>
        </is>
      </c>
      <c r="H167" s="62" t="inlineStr">
        <is>
          <t>LeetCode</t>
        </is>
      </c>
      <c r="I167" s="62" t="inlineStr">
        <is>
          <t>https://leetcode.com/problems/find-the-distance-value-between-two-arrays/</t>
        </is>
      </c>
      <c r="J167" s="62" t="inlineStr">
        <is>
          <t>Not Started</t>
        </is>
      </c>
      <c r="K167" s="62" t="n"/>
      <c r="L167" s="62" t="n"/>
      <c r="M167" s="68" t="n"/>
      <c r="N167" s="68">
        <f>IF($M167="","",$M167+IF($K167="",Dashboard!$M$9,INDEX(Dashboard!$M$5:$M$9,$K167)))</f>
        <v/>
      </c>
      <c r="O167" s="62">
        <f>IF(OR($J167="Attempted",$J167="Revisit"),"DUE",IF($N167="","",IF($N167&lt;=TODAY(),"DUE","")))</f>
        <v/>
      </c>
      <c r="P167" s="62" t="n"/>
    </row>
    <row r="168" ht="15" customHeight="1" s="32">
      <c r="A168" s="62" t="n">
        <v>167</v>
      </c>
      <c r="B168" s="62" t="inlineStr">
        <is>
          <t>2. Search, Strings &amp; Math - Core</t>
        </is>
      </c>
      <c r="C168" s="62" t="inlineStr">
        <is>
          <t>07. Binary Search</t>
        </is>
      </c>
      <c r="D168" s="62" t="inlineStr">
        <is>
          <t>BS on answer</t>
        </is>
      </c>
      <c r="E168" s="62" t="inlineStr">
        <is>
          <t>Arranging Coins</t>
        </is>
      </c>
      <c r="F168" s="62" t="inlineStr">
        <is>
          <t>Easy</t>
        </is>
      </c>
      <c r="G168" s="62" t="inlineStr">
        <is>
          <t>Core</t>
        </is>
      </c>
      <c r="H168" s="62" t="inlineStr">
        <is>
          <t>LeetCode</t>
        </is>
      </c>
      <c r="I168" s="62" t="inlineStr">
        <is>
          <t>https://leetcode.com/problems/arranging-coins/</t>
        </is>
      </c>
      <c r="J168" s="62" t="inlineStr">
        <is>
          <t>Not Started</t>
        </is>
      </c>
      <c r="K168" s="62" t="n"/>
      <c r="L168" s="62" t="n"/>
      <c r="M168" s="68" t="n"/>
      <c r="N168" s="68">
        <f>IF($M168="","",$M168+IF($K168="",Dashboard!$M$9,INDEX(Dashboard!$M$5:$M$9,$K168)))</f>
        <v/>
      </c>
      <c r="O168" s="62">
        <f>IF(OR($J168="Attempted",$J168="Revisit"),"DUE",IF($N168="","",IF($N168&lt;=TODAY(),"DUE","")))</f>
        <v/>
      </c>
      <c r="P168" s="62" t="n"/>
    </row>
    <row r="169" ht="15" customHeight="1" s="32">
      <c r="A169" s="62" t="n">
        <v>168</v>
      </c>
      <c r="B169" s="62" t="inlineStr">
        <is>
          <t>2. Search, Strings &amp; Math - Core</t>
        </is>
      </c>
      <c r="C169" s="62" t="inlineStr">
        <is>
          <t>07. Binary Search</t>
        </is>
      </c>
      <c r="D169" s="62" t="inlineStr">
        <is>
          <t>BS on answer</t>
        </is>
      </c>
      <c r="E169" s="62" t="inlineStr">
        <is>
          <t>Sqrt(x)</t>
        </is>
      </c>
      <c r="F169" s="62" t="inlineStr">
        <is>
          <t>Easy</t>
        </is>
      </c>
      <c r="G169" s="62" t="inlineStr">
        <is>
          <t>Core</t>
        </is>
      </c>
      <c r="H169" s="62" t="inlineStr">
        <is>
          <t>LeetCode</t>
        </is>
      </c>
      <c r="I169" s="62" t="inlineStr">
        <is>
          <t>https://leetcode.com/problems/sqrtx/</t>
        </is>
      </c>
      <c r="J169" s="62" t="inlineStr">
        <is>
          <t>Not Started</t>
        </is>
      </c>
      <c r="K169" s="62" t="n"/>
      <c r="L169" s="62" t="n"/>
      <c r="M169" s="68" t="n"/>
      <c r="N169" s="68">
        <f>IF($M169="","",$M169+IF($K169="",Dashboard!$M$9,INDEX(Dashboard!$M$5:$M$9,$K169)))</f>
        <v/>
      </c>
      <c r="O169" s="62">
        <f>IF(OR($J169="Attempted",$J169="Revisit"),"DUE",IF($N169="","",IF($N169&lt;=TODAY(),"DUE","")))</f>
        <v/>
      </c>
      <c r="P169" s="62" t="n"/>
    </row>
    <row r="170" ht="15" customHeight="1" s="32">
      <c r="A170" s="62" t="n">
        <v>169</v>
      </c>
      <c r="B170" s="62" t="inlineStr">
        <is>
          <t>2. Search, Strings &amp; Math - Core</t>
        </is>
      </c>
      <c r="C170" s="62" t="inlineStr">
        <is>
          <t>07. Binary Search</t>
        </is>
      </c>
      <c r="D170" s="62" t="inlineStr">
        <is>
          <t>BS on answer</t>
        </is>
      </c>
      <c r="E170" s="62" t="inlineStr">
        <is>
          <t>Valid Perfect Square</t>
        </is>
      </c>
      <c r="F170" s="62" t="inlineStr">
        <is>
          <t>Easy</t>
        </is>
      </c>
      <c r="G170" s="62" t="inlineStr">
        <is>
          <t>Core</t>
        </is>
      </c>
      <c r="H170" s="62" t="inlineStr">
        <is>
          <t>LeetCode</t>
        </is>
      </c>
      <c r="I170" s="62" t="inlineStr">
        <is>
          <t>https://leetcode.com/problems/valid-perfect-square/</t>
        </is>
      </c>
      <c r="J170" s="62" t="inlineStr">
        <is>
          <t>Not Started</t>
        </is>
      </c>
      <c r="K170" s="62" t="n"/>
      <c r="L170" s="62" t="n"/>
      <c r="M170" s="68" t="n"/>
      <c r="N170" s="68">
        <f>IF($M170="","",$M170+IF($K170="",Dashboard!$M$9,INDEX(Dashboard!$M$5:$M$9,$K170)))</f>
        <v/>
      </c>
      <c r="O170" s="62">
        <f>IF(OR($J170="Attempted",$J170="Revisit"),"DUE",IF($N170="","",IF($N170&lt;=TODAY(),"DUE","")))</f>
        <v/>
      </c>
      <c r="P170" s="62" t="inlineStr">
        <is>
          <t>v3 addition</t>
        </is>
      </c>
    </row>
    <row r="171" ht="15" customHeight="1" s="32">
      <c r="A171" s="62" t="n">
        <v>170</v>
      </c>
      <c r="B171" s="62" t="inlineStr">
        <is>
          <t>2. Search, Strings &amp; Math - Core</t>
        </is>
      </c>
      <c r="C171" s="62" t="inlineStr">
        <is>
          <t>07. Binary Search</t>
        </is>
      </c>
      <c r="D171" s="62" t="inlineStr">
        <is>
          <t>BS on answer</t>
        </is>
      </c>
      <c r="E171" s="62" t="inlineStr">
        <is>
          <t>Koko Eating Bananas</t>
        </is>
      </c>
      <c r="F171" s="62" t="inlineStr">
        <is>
          <t>Medium</t>
        </is>
      </c>
      <c r="G171" s="62" t="inlineStr">
        <is>
          <t>Core</t>
        </is>
      </c>
      <c r="H171" s="62" t="inlineStr">
        <is>
          <t>LeetCode</t>
        </is>
      </c>
      <c r="I171" s="62" t="inlineStr">
        <is>
          <t>https://leetcode.com/problems/koko-eating-bananas/</t>
        </is>
      </c>
      <c r="J171" s="62" t="inlineStr">
        <is>
          <t>Not Started</t>
        </is>
      </c>
      <c r="K171" s="62" t="n"/>
      <c r="L171" s="62" t="n"/>
      <c r="M171" s="68" t="n"/>
      <c r="N171" s="68">
        <f>IF($M171="","",$M171+IF($K171="",Dashboard!$M$9,INDEX(Dashboard!$M$5:$M$9,$K171)))</f>
        <v/>
      </c>
      <c r="O171" s="62">
        <f>IF(OR($J171="Attempted",$J171="Revisit"),"DUE",IF($N171="","",IF($N171&lt;=TODAY(),"DUE","")))</f>
        <v/>
      </c>
      <c r="P171" s="62" t="n"/>
    </row>
    <row r="172" ht="15" customHeight="1" s="32">
      <c r="A172" s="62" t="n">
        <v>171</v>
      </c>
      <c r="B172" s="62" t="inlineStr">
        <is>
          <t>2. Search, Strings &amp; Math - Core</t>
        </is>
      </c>
      <c r="C172" s="62" t="inlineStr">
        <is>
          <t>07. Binary Search</t>
        </is>
      </c>
      <c r="D172" s="62" t="inlineStr">
        <is>
          <t>BS on answer</t>
        </is>
      </c>
      <c r="E172" s="62" t="inlineStr">
        <is>
          <t>Capacity To Ship Packages Within D Days</t>
        </is>
      </c>
      <c r="F172" s="62" t="inlineStr">
        <is>
          <t>Medium</t>
        </is>
      </c>
      <c r="G172" s="62" t="inlineStr">
        <is>
          <t>Core</t>
        </is>
      </c>
      <c r="H172" s="62" t="inlineStr">
        <is>
          <t>LeetCode</t>
        </is>
      </c>
      <c r="I172" s="62" t="inlineStr">
        <is>
          <t>https://leetcode.com/problems/capacity-to-ship-packages-within-d-days/</t>
        </is>
      </c>
      <c r="J172" s="62" t="inlineStr">
        <is>
          <t>Not Started</t>
        </is>
      </c>
      <c r="K172" s="62" t="n"/>
      <c r="L172" s="62" t="n"/>
      <c r="M172" s="68" t="n"/>
      <c r="N172" s="68">
        <f>IF($M172="","",$M172+IF($K172="",Dashboard!$M$9,INDEX(Dashboard!$M$5:$M$9,$K172)))</f>
        <v/>
      </c>
      <c r="O172" s="62">
        <f>IF(OR($J172="Attempted",$J172="Revisit"),"DUE",IF($N172="","",IF($N172&lt;=TODAY(),"DUE","")))</f>
        <v/>
      </c>
      <c r="P172" s="62" t="inlineStr">
        <is>
          <t>v3 addition</t>
        </is>
      </c>
    </row>
    <row r="173" ht="15" customHeight="1" s="32">
      <c r="A173" s="62" t="n">
        <v>172</v>
      </c>
      <c r="B173" s="62" t="inlineStr">
        <is>
          <t>2. Search, Strings &amp; Math - Core</t>
        </is>
      </c>
      <c r="C173" s="62" t="inlineStr">
        <is>
          <t>07. Binary Search</t>
        </is>
      </c>
      <c r="D173" s="62" t="inlineStr">
        <is>
          <t>Lower/Upper bound</t>
        </is>
      </c>
      <c r="E173" s="62" t="inlineStr">
        <is>
          <t>Number of Occurrences</t>
        </is>
      </c>
      <c r="F173" s="62" t="inlineStr">
        <is>
          <t>Easy</t>
        </is>
      </c>
      <c r="G173" s="62" t="inlineStr">
        <is>
          <t>Core</t>
        </is>
      </c>
      <c r="H173" s="62" t="inlineStr">
        <is>
          <t>GeeksforGeeks</t>
        </is>
      </c>
      <c r="I173" s="62" t="inlineStr">
        <is>
          <t>https://www.geeksforgeeks.org/problems/number-of-occurrence2259/1</t>
        </is>
      </c>
      <c r="J173" s="62" t="inlineStr">
        <is>
          <t>Not Started</t>
        </is>
      </c>
      <c r="K173" s="62" t="n"/>
      <c r="L173" s="62" t="n"/>
      <c r="M173" s="68" t="n"/>
      <c r="N173" s="68">
        <f>IF($M173="","",$M173+IF($K173="",Dashboard!$M$9,INDEX(Dashboard!$M$5:$M$9,$K173)))</f>
        <v/>
      </c>
      <c r="O173" s="62">
        <f>IF(OR($J173="Attempted",$J173="Revisit"),"DUE",IF($N173="","",IF($N173&lt;=TODAY(),"DUE","")))</f>
        <v/>
      </c>
      <c r="P173" s="62" t="n"/>
    </row>
    <row r="174" ht="15" customHeight="1" s="32">
      <c r="A174" s="62" t="n">
        <v>173</v>
      </c>
      <c r="B174" s="62" t="inlineStr">
        <is>
          <t>2. Search, Strings &amp; Math - Core</t>
        </is>
      </c>
      <c r="C174" s="62" t="inlineStr">
        <is>
          <t>07. Binary Search</t>
        </is>
      </c>
      <c r="D174" s="62" t="inlineStr">
        <is>
          <t>Lower/Upper bound</t>
        </is>
      </c>
      <c r="E174" s="62" t="inlineStr">
        <is>
          <t>Ceil in a Sorted Array</t>
        </is>
      </c>
      <c r="F174" s="62" t="inlineStr">
        <is>
          <t>Easy</t>
        </is>
      </c>
      <c r="G174" s="62" t="inlineStr">
        <is>
          <t>Core</t>
        </is>
      </c>
      <c r="H174" s="62" t="inlineStr">
        <is>
          <t>GeeksforGeeks</t>
        </is>
      </c>
      <c r="I174" s="62" t="inlineStr">
        <is>
          <t>https://www.geeksforgeeks.org/problems/ceil-in-a-sorted-array/1</t>
        </is>
      </c>
      <c r="J174" s="62" t="inlineStr">
        <is>
          <t>Not Started</t>
        </is>
      </c>
      <c r="K174" s="62" t="n"/>
      <c r="L174" s="62" t="n"/>
      <c r="M174" s="68" t="n"/>
      <c r="N174" s="68">
        <f>IF($M174="","",$M174+IF($K174="",Dashboard!$M$9,INDEX(Dashboard!$M$5:$M$9,$K174)))</f>
        <v/>
      </c>
      <c r="O174" s="62">
        <f>IF(OR($J174="Attempted",$J174="Revisit"),"DUE",IF($N174="","",IF($N174&lt;=TODAY(),"DUE","")))</f>
        <v/>
      </c>
      <c r="P174" s="62" t="n"/>
    </row>
    <row r="175" ht="15" customHeight="1" s="32">
      <c r="A175" s="62" t="n">
        <v>174</v>
      </c>
      <c r="B175" s="62" t="inlineStr">
        <is>
          <t>2. Search, Strings &amp; Math - Core</t>
        </is>
      </c>
      <c r="C175" s="62" t="inlineStr">
        <is>
          <t>07. Binary Search</t>
        </is>
      </c>
      <c r="D175" s="62" t="inlineStr">
        <is>
          <t>Lower/Upper bound</t>
        </is>
      </c>
      <c r="E175" s="62" t="inlineStr">
        <is>
          <t>Find Smallest Letter Greater Than Target</t>
        </is>
      </c>
      <c r="F175" s="62" t="inlineStr">
        <is>
          <t>Easy</t>
        </is>
      </c>
      <c r="G175" s="62" t="inlineStr">
        <is>
          <t>Core</t>
        </is>
      </c>
      <c r="H175" s="62" t="inlineStr">
        <is>
          <t>LeetCode</t>
        </is>
      </c>
      <c r="I175" s="62" t="inlineStr">
        <is>
          <t>https://leetcode.com/problems/find-smallest-letter-greater-than-target/</t>
        </is>
      </c>
      <c r="J175" s="62" t="inlineStr">
        <is>
          <t>Not Started</t>
        </is>
      </c>
      <c r="K175" s="62" t="n"/>
      <c r="L175" s="62" t="n"/>
      <c r="M175" s="68" t="n"/>
      <c r="N175" s="68">
        <f>IF($M175="","",$M175+IF($K175="",Dashboard!$M$9,INDEX(Dashboard!$M$5:$M$9,$K175)))</f>
        <v/>
      </c>
      <c r="O175" s="62">
        <f>IF(OR($J175="Attempted",$J175="Revisit"),"DUE",IF($N175="","",IF($N175&lt;=TODAY(),"DUE","")))</f>
        <v/>
      </c>
      <c r="P175" s="62" t="n"/>
    </row>
    <row r="176" ht="15" customHeight="1" s="32">
      <c r="A176" s="62" t="n">
        <v>175</v>
      </c>
      <c r="B176" s="62" t="inlineStr">
        <is>
          <t>2. Search, Strings &amp; Math - Core</t>
        </is>
      </c>
      <c r="C176" s="62" t="inlineStr">
        <is>
          <t>07. Binary Search</t>
        </is>
      </c>
      <c r="D176" s="62" t="inlineStr">
        <is>
          <t>Lower/Upper bound</t>
        </is>
      </c>
      <c r="E176" s="62" t="inlineStr">
        <is>
          <t>Find First and Last Position of Element</t>
        </is>
      </c>
      <c r="F176" s="62" t="inlineStr">
        <is>
          <t>Medium</t>
        </is>
      </c>
      <c r="G176" s="62" t="inlineStr">
        <is>
          <t>Core</t>
        </is>
      </c>
      <c r="H176" s="62" t="inlineStr">
        <is>
          <t>LeetCode</t>
        </is>
      </c>
      <c r="I176" s="62" t="inlineStr">
        <is>
          <t>https://leetcode.com/problems/find-first-and-last-position-of-element-in-sorted-array/</t>
        </is>
      </c>
      <c r="J176" s="62" t="inlineStr">
        <is>
          <t>Not Started</t>
        </is>
      </c>
      <c r="K176" s="62" t="n"/>
      <c r="L176" s="62" t="n"/>
      <c r="M176" s="68" t="n"/>
      <c r="N176" s="68">
        <f>IF($M176="","",$M176+IF($K176="",Dashboard!$M$9,INDEX(Dashboard!$M$5:$M$9,$K176)))</f>
        <v/>
      </c>
      <c r="O176" s="62">
        <f>IF(OR($J176="Attempted",$J176="Revisit"),"DUE",IF($N176="","",IF($N176&lt;=TODAY(),"DUE","")))</f>
        <v/>
      </c>
      <c r="P176" s="62" t="inlineStr">
        <is>
          <t>v3 addition</t>
        </is>
      </c>
    </row>
    <row r="177" ht="15" customHeight="1" s="32">
      <c r="A177" s="62" t="n">
        <v>176</v>
      </c>
      <c r="B177" s="62" t="inlineStr">
        <is>
          <t>2. Search, Strings &amp; Math - Core</t>
        </is>
      </c>
      <c r="C177" s="62" t="inlineStr">
        <is>
          <t>07. Binary Search</t>
        </is>
      </c>
      <c r="D177" s="62" t="inlineStr">
        <is>
          <t>Interactive</t>
        </is>
      </c>
      <c r="E177" s="62" t="inlineStr">
        <is>
          <t>Guess Number Higher or Lower</t>
        </is>
      </c>
      <c r="F177" s="62" t="inlineStr">
        <is>
          <t>Easy</t>
        </is>
      </c>
      <c r="G177" s="62" t="inlineStr">
        <is>
          <t>Core</t>
        </is>
      </c>
      <c r="H177" s="62" t="inlineStr">
        <is>
          <t>LeetCode</t>
        </is>
      </c>
      <c r="I177" s="62" t="inlineStr">
        <is>
          <t>https://leetcode.com/problems/guess-number-higher-or-lower/</t>
        </is>
      </c>
      <c r="J177" s="62" t="inlineStr">
        <is>
          <t>Not Started</t>
        </is>
      </c>
      <c r="K177" s="62" t="n"/>
      <c r="L177" s="62" t="n"/>
      <c r="M177" s="68" t="n"/>
      <c r="N177" s="68">
        <f>IF($M177="","",$M177+IF($K177="",Dashboard!$M$9,INDEX(Dashboard!$M$5:$M$9,$K177)))</f>
        <v/>
      </c>
      <c r="O177" s="62">
        <f>IF(OR($J177="Attempted",$J177="Revisit"),"DUE",IF($N177="","",IF($N177&lt;=TODAY(),"DUE","")))</f>
        <v/>
      </c>
      <c r="P177" s="62" t="n"/>
    </row>
    <row r="178" ht="15" customHeight="1" s="32">
      <c r="A178" s="62" t="n">
        <v>177</v>
      </c>
      <c r="B178" s="62" t="inlineStr">
        <is>
          <t>2. Search, Strings &amp; Math - Core</t>
        </is>
      </c>
      <c r="C178" s="62" t="inlineStr">
        <is>
          <t>07. Binary Search</t>
        </is>
      </c>
      <c r="D178" s="62" t="inlineStr">
        <is>
          <t>Interactive</t>
        </is>
      </c>
      <c r="E178" s="62" t="inlineStr">
        <is>
          <t>First Bad Version</t>
        </is>
      </c>
      <c r="F178" s="62" t="inlineStr">
        <is>
          <t>Easy</t>
        </is>
      </c>
      <c r="G178" s="62" t="inlineStr">
        <is>
          <t>Core</t>
        </is>
      </c>
      <c r="H178" s="62" t="inlineStr">
        <is>
          <t>LeetCode</t>
        </is>
      </c>
      <c r="I178" s="62" t="inlineStr">
        <is>
          <t>https://leetcode.com/problems/first-bad-version/</t>
        </is>
      </c>
      <c r="J178" s="62" t="inlineStr">
        <is>
          <t>Not Started</t>
        </is>
      </c>
      <c r="K178" s="62" t="n"/>
      <c r="L178" s="62" t="n"/>
      <c r="M178" s="68" t="n"/>
      <c r="N178" s="68">
        <f>IF($M178="","",$M178+IF($K178="",Dashboard!$M$9,INDEX(Dashboard!$M$5:$M$9,$K178)))</f>
        <v/>
      </c>
      <c r="O178" s="62">
        <f>IF(OR($J178="Attempted",$J178="Revisit"),"DUE",IF($N178="","",IF($N178&lt;=TODAY(),"DUE","")))</f>
        <v/>
      </c>
      <c r="P178" s="62" t="n"/>
    </row>
    <row r="179" ht="15" customHeight="1" s="32">
      <c r="A179" s="62" t="n">
        <v>178</v>
      </c>
      <c r="B179" s="62" t="inlineStr">
        <is>
          <t>2. Search, Strings &amp; Math - Core</t>
        </is>
      </c>
      <c r="C179" s="62" t="inlineStr">
        <is>
          <t>07. Binary Search</t>
        </is>
      </c>
      <c r="D179" s="62" t="inlineStr">
        <is>
          <t>Rotated array</t>
        </is>
      </c>
      <c r="E179" s="62" t="inlineStr">
        <is>
          <t>Rotation Count in Sorted Array</t>
        </is>
      </c>
      <c r="F179" s="62" t="inlineStr">
        <is>
          <t>Easy</t>
        </is>
      </c>
      <c r="G179" s="62" t="inlineStr">
        <is>
          <t>Core</t>
        </is>
      </c>
      <c r="H179" s="62" t="inlineStr">
        <is>
          <t>GeeksforGeeks</t>
        </is>
      </c>
      <c r="I179" s="62" t="inlineStr">
        <is>
          <t>https://www.geeksforgeeks.org/problems/rotation4723/1</t>
        </is>
      </c>
      <c r="J179" s="62" t="inlineStr">
        <is>
          <t>Not Started</t>
        </is>
      </c>
      <c r="K179" s="62" t="n"/>
      <c r="L179" s="62" t="n"/>
      <c r="M179" s="68" t="n"/>
      <c r="N179" s="68">
        <f>IF($M179="","",$M179+IF($K179="",Dashboard!$M$9,INDEX(Dashboard!$M$5:$M$9,$K179)))</f>
        <v/>
      </c>
      <c r="O179" s="62">
        <f>IF(OR($J179="Attempted",$J179="Revisit"),"DUE",IF($N179="","",IF($N179&lt;=TODAY(),"DUE","")))</f>
        <v/>
      </c>
      <c r="P179" s="62" t="n"/>
    </row>
    <row r="180" ht="15" customHeight="1" s="32">
      <c r="A180" s="62" t="n">
        <v>179</v>
      </c>
      <c r="B180" s="62" t="inlineStr">
        <is>
          <t>2. Search, Strings &amp; Math - Core</t>
        </is>
      </c>
      <c r="C180" s="62" t="inlineStr">
        <is>
          <t>07. Binary Search</t>
        </is>
      </c>
      <c r="D180" s="62" t="inlineStr">
        <is>
          <t>Rotated array</t>
        </is>
      </c>
      <c r="E180" s="62" t="inlineStr">
        <is>
          <t>Search in Rotated Sorted Array</t>
        </is>
      </c>
      <c r="F180" s="62" t="inlineStr">
        <is>
          <t>Medium</t>
        </is>
      </c>
      <c r="G180" s="62" t="inlineStr">
        <is>
          <t>Core</t>
        </is>
      </c>
      <c r="H180" s="62" t="inlineStr">
        <is>
          <t>LeetCode</t>
        </is>
      </c>
      <c r="I180" s="62" t="inlineStr">
        <is>
          <t>https://leetcode.com/problems/search-in-rotated-sorted-array/</t>
        </is>
      </c>
      <c r="J180" s="62" t="inlineStr">
        <is>
          <t>Not Started</t>
        </is>
      </c>
      <c r="K180" s="62" t="n"/>
      <c r="L180" s="62" t="n"/>
      <c r="M180" s="68" t="n"/>
      <c r="N180" s="68">
        <f>IF($M180="","",$M180+IF($K180="",Dashboard!$M$9,INDEX(Dashboard!$M$5:$M$9,$K180)))</f>
        <v/>
      </c>
      <c r="O180" s="62">
        <f>IF(OR($J180="Attempted",$J180="Revisit"),"DUE",IF($N180="","",IF($N180&lt;=TODAY(),"DUE","")))</f>
        <v/>
      </c>
      <c r="P180" s="62" t="n"/>
    </row>
    <row r="181" ht="15" customHeight="1" s="32">
      <c r="A181" s="62" t="n">
        <v>180</v>
      </c>
      <c r="B181" s="62" t="inlineStr">
        <is>
          <t>2. Search, Strings &amp; Math - Core</t>
        </is>
      </c>
      <c r="C181" s="62" t="inlineStr">
        <is>
          <t>07. Binary Search</t>
        </is>
      </c>
      <c r="D181" s="62" t="inlineStr">
        <is>
          <t>Rotated array</t>
        </is>
      </c>
      <c r="E181" s="62" t="inlineStr">
        <is>
          <t>Find Minimum in Rotated Sorted Array</t>
        </is>
      </c>
      <c r="F181" s="62" t="inlineStr">
        <is>
          <t>Medium</t>
        </is>
      </c>
      <c r="G181" s="62" t="inlineStr">
        <is>
          <t>Core</t>
        </is>
      </c>
      <c r="H181" s="62" t="inlineStr">
        <is>
          <t>LeetCode</t>
        </is>
      </c>
      <c r="I181" s="62" t="inlineStr">
        <is>
          <t>https://leetcode.com/problems/find-minimum-in-rotated-sorted-array/</t>
        </is>
      </c>
      <c r="J181" s="62" t="inlineStr">
        <is>
          <t>Not Started</t>
        </is>
      </c>
      <c r="K181" s="62" t="n"/>
      <c r="L181" s="62" t="n"/>
      <c r="M181" s="68" t="n"/>
      <c r="N181" s="68">
        <f>IF($M181="","",$M181+IF($K181="",Dashboard!$M$9,INDEX(Dashboard!$M$5:$M$9,$K181)))</f>
        <v/>
      </c>
      <c r="O181" s="62">
        <f>IF(OR($J181="Attempted",$J181="Revisit"),"DUE",IF($N181="","",IF($N181&lt;=TODAY(),"DUE","")))</f>
        <v/>
      </c>
      <c r="P181" s="62" t="inlineStr">
        <is>
          <t>v3 addition</t>
        </is>
      </c>
    </row>
    <row r="182" ht="15" customHeight="1" s="32">
      <c r="A182" s="62" t="n">
        <v>181</v>
      </c>
      <c r="B182" s="62" t="inlineStr">
        <is>
          <t>2. Search, Strings &amp; Math - Core</t>
        </is>
      </c>
      <c r="C182" s="62" t="inlineStr">
        <is>
          <t>07. Binary Search</t>
        </is>
      </c>
      <c r="D182" s="62" t="inlineStr">
        <is>
          <t>Peak finding</t>
        </is>
      </c>
      <c r="E182" s="62" t="inlineStr">
        <is>
          <t>Valid Mountain Array</t>
        </is>
      </c>
      <c r="F182" s="62" t="inlineStr">
        <is>
          <t>Easy</t>
        </is>
      </c>
      <c r="G182" s="62" t="inlineStr">
        <is>
          <t>Core</t>
        </is>
      </c>
      <c r="H182" s="62" t="inlineStr">
        <is>
          <t>LeetCode</t>
        </is>
      </c>
      <c r="I182" s="62" t="inlineStr">
        <is>
          <t>https://leetcode.com/problems/valid-mountain-array/</t>
        </is>
      </c>
      <c r="J182" s="62" t="inlineStr">
        <is>
          <t>Not Started</t>
        </is>
      </c>
      <c r="K182" s="62" t="n"/>
      <c r="L182" s="62" t="n"/>
      <c r="M182" s="68" t="n"/>
      <c r="N182" s="68">
        <f>IF($M182="","",$M182+IF($K182="",Dashboard!$M$9,INDEX(Dashboard!$M$5:$M$9,$K182)))</f>
        <v/>
      </c>
      <c r="O182" s="62">
        <f>IF(OR($J182="Attempted",$J182="Revisit"),"DUE",IF($N182="","",IF($N182&lt;=TODAY(),"DUE","")))</f>
        <v/>
      </c>
      <c r="P182" s="62" t="n"/>
    </row>
    <row r="183" ht="15" customHeight="1" s="32">
      <c r="A183" s="62" t="n">
        <v>182</v>
      </c>
      <c r="B183" s="62" t="inlineStr">
        <is>
          <t>2. Search, Strings &amp; Math - Core</t>
        </is>
      </c>
      <c r="C183" s="62" t="inlineStr">
        <is>
          <t>07. Binary Search</t>
        </is>
      </c>
      <c r="D183" s="62" t="inlineStr">
        <is>
          <t>Peak finding</t>
        </is>
      </c>
      <c r="E183" s="62" t="inlineStr">
        <is>
          <t>Peak Index in a Mountain Array</t>
        </is>
      </c>
      <c r="F183" s="62" t="inlineStr">
        <is>
          <t>Medium</t>
        </is>
      </c>
      <c r="G183" s="62" t="inlineStr">
        <is>
          <t>Core</t>
        </is>
      </c>
      <c r="H183" s="62" t="inlineStr">
        <is>
          <t>LeetCode</t>
        </is>
      </c>
      <c r="I183" s="62" t="inlineStr">
        <is>
          <t>https://leetcode.com/problems/peak-index-in-a-mountain-array/</t>
        </is>
      </c>
      <c r="J183" s="62" t="inlineStr">
        <is>
          <t>Not Started</t>
        </is>
      </c>
      <c r="K183" s="62" t="n"/>
      <c r="L183" s="62" t="n"/>
      <c r="M183" s="68" t="n"/>
      <c r="N183" s="68">
        <f>IF($M183="","",$M183+IF($K183="",Dashboard!$M$9,INDEX(Dashboard!$M$5:$M$9,$K183)))</f>
        <v/>
      </c>
      <c r="O183" s="62">
        <f>IF(OR($J183="Attempted",$J183="Revisit"),"DUE",IF($N183="","",IF($N183&lt;=TODAY(),"DUE","")))</f>
        <v/>
      </c>
      <c r="P183" s="62" t="n"/>
    </row>
    <row r="184" ht="15" customHeight="1" s="32">
      <c r="A184" s="62" t="n">
        <v>183</v>
      </c>
      <c r="B184" s="62" t="inlineStr">
        <is>
          <t>2. Search, Strings &amp; Math - Core</t>
        </is>
      </c>
      <c r="C184" s="62" t="inlineStr">
        <is>
          <t>07. Binary Search</t>
        </is>
      </c>
      <c r="D184" s="62" t="inlineStr">
        <is>
          <t>Peak finding</t>
        </is>
      </c>
      <c r="E184" s="62" t="inlineStr">
        <is>
          <t>Find Peak Element</t>
        </is>
      </c>
      <c r="F184" s="62" t="inlineStr">
        <is>
          <t>Medium</t>
        </is>
      </c>
      <c r="G184" s="62" t="inlineStr">
        <is>
          <t>Core</t>
        </is>
      </c>
      <c r="H184" s="62" t="inlineStr">
        <is>
          <t>LeetCode</t>
        </is>
      </c>
      <c r="I184" s="62" t="inlineStr">
        <is>
          <t>https://leetcode.com/problems/find-peak-element/</t>
        </is>
      </c>
      <c r="J184" s="62" t="inlineStr">
        <is>
          <t>Not Started</t>
        </is>
      </c>
      <c r="K184" s="62" t="n"/>
      <c r="L184" s="62" t="n"/>
      <c r="M184" s="68" t="n"/>
      <c r="N184" s="68">
        <f>IF($M184="","",$M184+IF($K184="",Dashboard!$M$9,INDEX(Dashboard!$M$5:$M$9,$K184)))</f>
        <v/>
      </c>
      <c r="O184" s="62">
        <f>IF(OR($J184="Attempted",$J184="Revisit"),"DUE",IF($N184="","",IF($N184&lt;=TODAY(),"DUE","")))</f>
        <v/>
      </c>
      <c r="P184" s="62" t="n"/>
    </row>
    <row r="185" ht="15" customHeight="1" s="32">
      <c r="A185" s="62" t="n">
        <v>184</v>
      </c>
      <c r="B185" s="62" t="inlineStr">
        <is>
          <t>2. Search, Strings &amp; Math - Core</t>
        </is>
      </c>
      <c r="C185" s="62" t="inlineStr">
        <is>
          <t>07. Binary Search</t>
        </is>
      </c>
      <c r="D185" s="62" t="inlineStr">
        <is>
          <t>Parity trick</t>
        </is>
      </c>
      <c r="E185" s="62" t="inlineStr">
        <is>
          <t>Kth Missing Positive Number</t>
        </is>
      </c>
      <c r="F185" s="62" t="inlineStr">
        <is>
          <t>Easy</t>
        </is>
      </c>
      <c r="G185" s="62" t="inlineStr">
        <is>
          <t>Core</t>
        </is>
      </c>
      <c r="H185" s="62" t="inlineStr">
        <is>
          <t>LeetCode</t>
        </is>
      </c>
      <c r="I185" s="62" t="inlineStr">
        <is>
          <t>https://leetcode.com/problems/kth-missing-positive-number/</t>
        </is>
      </c>
      <c r="J185" s="62" t="inlineStr">
        <is>
          <t>Not Started</t>
        </is>
      </c>
      <c r="K185" s="62" t="n"/>
      <c r="L185" s="62" t="n"/>
      <c r="M185" s="68" t="n"/>
      <c r="N185" s="68">
        <f>IF($M185="","",$M185+IF($K185="",Dashboard!$M$9,INDEX(Dashboard!$M$5:$M$9,$K185)))</f>
        <v/>
      </c>
      <c r="O185" s="62">
        <f>IF(OR($J185="Attempted",$J185="Revisit"),"DUE",IF($N185="","",IF($N185&lt;=TODAY(),"DUE","")))</f>
        <v/>
      </c>
      <c r="P185" s="62" t="n"/>
    </row>
    <row r="186" ht="15" customHeight="1" s="32">
      <c r="A186" s="62" t="n">
        <v>185</v>
      </c>
      <c r="B186" s="62" t="inlineStr">
        <is>
          <t>2. Search, Strings &amp; Math - Core</t>
        </is>
      </c>
      <c r="C186" s="62" t="inlineStr">
        <is>
          <t>07. Binary Search</t>
        </is>
      </c>
      <c r="D186" s="62" t="inlineStr">
        <is>
          <t>Parity trick</t>
        </is>
      </c>
      <c r="E186" s="62" t="inlineStr">
        <is>
          <t>Missing Number in Arithmetic Progression</t>
        </is>
      </c>
      <c r="F186" s="62" t="inlineStr">
        <is>
          <t>Easy</t>
        </is>
      </c>
      <c r="G186" s="62" t="inlineStr">
        <is>
          <t>Core</t>
        </is>
      </c>
      <c r="H186" s="62" t="inlineStr">
        <is>
          <t>GeeksforGeeks</t>
        </is>
      </c>
      <c r="I186" s="62" t="inlineStr">
        <is>
          <t>https://www.geeksforgeeks.org/search/?q=Missing+Number+in+Arithmetic+Progression</t>
        </is>
      </c>
      <c r="J186" s="62" t="inlineStr">
        <is>
          <t>Not Started</t>
        </is>
      </c>
      <c r="K186" s="62" t="n"/>
      <c r="L186" s="62" t="n"/>
      <c r="M186" s="68" t="n"/>
      <c r="N186" s="68">
        <f>IF($M186="","",$M186+IF($K186="",Dashboard!$M$9,INDEX(Dashboard!$M$5:$M$9,$K186)))</f>
        <v/>
      </c>
      <c r="O186" s="62">
        <f>IF(OR($J186="Attempted",$J186="Revisit"),"DUE",IF($N186="","",IF($N186&lt;=TODAY(),"DUE","")))</f>
        <v/>
      </c>
      <c r="P186" s="62" t="n"/>
    </row>
    <row r="187" ht="15" customHeight="1" s="32">
      <c r="A187" s="62" t="n">
        <v>186</v>
      </c>
      <c r="B187" s="62" t="inlineStr">
        <is>
          <t>2. Search, Strings &amp; Math - Core</t>
        </is>
      </c>
      <c r="C187" s="62" t="inlineStr">
        <is>
          <t>07. Binary Search</t>
        </is>
      </c>
      <c r="D187" s="62" t="inlineStr">
        <is>
          <t>Parity trick</t>
        </is>
      </c>
      <c r="E187" s="62" t="inlineStr">
        <is>
          <t>Find the Smallest Missing Number</t>
        </is>
      </c>
      <c r="F187" s="62" t="inlineStr">
        <is>
          <t>Easy</t>
        </is>
      </c>
      <c r="G187" s="62" t="inlineStr">
        <is>
          <t>Core</t>
        </is>
      </c>
      <c r="H187" s="62" t="inlineStr">
        <is>
          <t>GeeksforGeeks</t>
        </is>
      </c>
      <c r="I187" s="62" t="inlineStr">
        <is>
          <t>https://www.geeksforgeeks.org/search/?q=Find+the+Smallest+Missing+Number</t>
        </is>
      </c>
      <c r="J187" s="62" t="inlineStr">
        <is>
          <t>Not Started</t>
        </is>
      </c>
      <c r="K187" s="62" t="n"/>
      <c r="L187" s="62" t="n"/>
      <c r="M187" s="68" t="n"/>
      <c r="N187" s="68">
        <f>IF($M187="","",$M187+IF($K187="",Dashboard!$M$9,INDEX(Dashboard!$M$5:$M$9,$K187)))</f>
        <v/>
      </c>
      <c r="O187" s="62">
        <f>IF(OR($J187="Attempted",$J187="Revisit"),"DUE",IF($N187="","",IF($N187&lt;=TODAY(),"DUE","")))</f>
        <v/>
      </c>
      <c r="P187" s="62" t="n"/>
    </row>
    <row r="188" ht="15" customHeight="1" s="32">
      <c r="A188" s="62" t="n">
        <v>187</v>
      </c>
      <c r="B188" s="62" t="inlineStr">
        <is>
          <t>2. Search, Strings &amp; Math - Core</t>
        </is>
      </c>
      <c r="C188" s="62" t="inlineStr">
        <is>
          <t>07. Binary Search</t>
        </is>
      </c>
      <c r="D188" s="62" t="inlineStr">
        <is>
          <t>Parity trick</t>
        </is>
      </c>
      <c r="E188" s="62" t="inlineStr">
        <is>
          <t>Single Element in a Sorted Array</t>
        </is>
      </c>
      <c r="F188" s="62" t="inlineStr">
        <is>
          <t>Medium</t>
        </is>
      </c>
      <c r="G188" s="62" t="inlineStr">
        <is>
          <t>Core</t>
        </is>
      </c>
      <c r="H188" s="62" t="inlineStr">
        <is>
          <t>LeetCode</t>
        </is>
      </c>
      <c r="I188" s="62" t="inlineStr">
        <is>
          <t>https://leetcode.com/problems/single-element-in-a-sorted-array/</t>
        </is>
      </c>
      <c r="J188" s="62" t="inlineStr">
        <is>
          <t>Not Started</t>
        </is>
      </c>
      <c r="K188" s="62" t="n"/>
      <c r="L188" s="62" t="n"/>
      <c r="M188" s="68" t="n"/>
      <c r="N188" s="68">
        <f>IF($M188="","",$M188+IF($K188="",Dashboard!$M$9,INDEX(Dashboard!$M$5:$M$9,$K188)))</f>
        <v/>
      </c>
      <c r="O188" s="62">
        <f>IF(OR($J188="Attempted",$J188="Revisit"),"DUE",IF($N188="","",IF($N188&lt;=TODAY(),"DUE","")))</f>
        <v/>
      </c>
      <c r="P188" s="62" t="inlineStr">
        <is>
          <t>v3 addition</t>
        </is>
      </c>
    </row>
    <row r="189" ht="15" customHeight="1" s="32">
      <c r="A189" s="62" t="n">
        <v>188</v>
      </c>
      <c r="B189" s="62" t="inlineStr">
        <is>
          <t>2. Search, Strings &amp; Math - Core</t>
        </is>
      </c>
      <c r="C189" s="62" t="inlineStr">
        <is>
          <t>07. Binary Search</t>
        </is>
      </c>
      <c r="D189" s="62" t="inlineStr">
        <is>
          <t>Unbounded BS</t>
        </is>
      </c>
      <c r="E189" s="62" t="inlineStr">
        <is>
          <t>Exponential Search</t>
        </is>
      </c>
      <c r="F189" s="62" t="inlineStr">
        <is>
          <t>Medium</t>
        </is>
      </c>
      <c r="G189" s="62" t="inlineStr">
        <is>
          <t>Core</t>
        </is>
      </c>
      <c r="H189" s="62" t="inlineStr">
        <is>
          <t>GeeksforGeeks</t>
        </is>
      </c>
      <c r="I189" s="62" t="inlineStr">
        <is>
          <t>https://www.geeksforgeeks.org/search/?q=Exponential+Search</t>
        </is>
      </c>
      <c r="J189" s="62" t="inlineStr">
        <is>
          <t>Not Started</t>
        </is>
      </c>
      <c r="K189" s="62" t="n"/>
      <c r="L189" s="62" t="n"/>
      <c r="M189" s="68" t="n"/>
      <c r="N189" s="68">
        <f>IF($M189="","",$M189+IF($K189="",Dashboard!$M$9,INDEX(Dashboard!$M$5:$M$9,$K189)))</f>
        <v/>
      </c>
      <c r="O189" s="62">
        <f>IF(OR($J189="Attempted",$J189="Revisit"),"DUE",IF($N189="","",IF($N189&lt;=TODAY(),"DUE","")))</f>
        <v/>
      </c>
      <c r="P189" s="62" t="n"/>
    </row>
    <row r="190" ht="15" customHeight="1" s="32">
      <c r="A190" s="62" t="n">
        <v>189</v>
      </c>
      <c r="B190" s="62" t="inlineStr">
        <is>
          <t>2. Search, Strings &amp; Math - Core</t>
        </is>
      </c>
      <c r="C190" s="62" t="inlineStr">
        <is>
          <t>07. Binary Search</t>
        </is>
      </c>
      <c r="D190" s="62" t="inlineStr">
        <is>
          <t>Unbounded BS</t>
        </is>
      </c>
      <c r="E190" s="62" t="inlineStr">
        <is>
          <t>Search in Infinite Sorted Array</t>
        </is>
      </c>
      <c r="F190" s="62" t="inlineStr">
        <is>
          <t>Medium</t>
        </is>
      </c>
      <c r="G190" s="62" t="inlineStr">
        <is>
          <t>Core</t>
        </is>
      </c>
      <c r="H190" s="62" t="inlineStr">
        <is>
          <t>GeeksforGeeks</t>
        </is>
      </c>
      <c r="I190" s="62" t="inlineStr">
        <is>
          <t>https://www.geeksforgeeks.org/dsa/find-position-element-sorted-array-infinite-numbers/</t>
        </is>
      </c>
      <c r="J190" s="62" t="inlineStr">
        <is>
          <t>Not Started</t>
        </is>
      </c>
      <c r="K190" s="62" t="n"/>
      <c r="L190" s="62" t="n"/>
      <c r="M190" s="68" t="n"/>
      <c r="N190" s="68">
        <f>IF($M190="","",$M190+IF($K190="",Dashboard!$M$9,INDEX(Dashboard!$M$5:$M$9,$K190)))</f>
        <v/>
      </c>
      <c r="O190" s="62">
        <f>IF(OR($J190="Attempted",$J190="Revisit"),"DUE",IF($N190="","",IF($N190&lt;=TODAY(),"DUE","")))</f>
        <v/>
      </c>
      <c r="P190" s="62" t="n"/>
    </row>
    <row r="191" ht="15" customHeight="1" s="32">
      <c r="A191" s="62" t="n">
        <v>190</v>
      </c>
      <c r="B191" s="62" t="inlineStr">
        <is>
          <t>2. Search, Strings &amp; Math - Core</t>
        </is>
      </c>
      <c r="C191" s="62" t="inlineStr">
        <is>
          <t>07. Binary Search</t>
        </is>
      </c>
      <c r="D191" s="62" t="inlineStr">
        <is>
          <t>BS on matrix</t>
        </is>
      </c>
      <c r="E191" s="62" t="inlineStr">
        <is>
          <t>Search a 2D Matrix</t>
        </is>
      </c>
      <c r="F191" s="62" t="inlineStr">
        <is>
          <t>Medium</t>
        </is>
      </c>
      <c r="G191" s="62" t="inlineStr">
        <is>
          <t>Core</t>
        </is>
      </c>
      <c r="H191" s="62" t="inlineStr">
        <is>
          <t>LeetCode</t>
        </is>
      </c>
      <c r="I191" s="62" t="inlineStr">
        <is>
          <t>https://leetcode.com/problems/search-a-2d-matrix/</t>
        </is>
      </c>
      <c r="J191" s="62" t="inlineStr">
        <is>
          <t>Not Started</t>
        </is>
      </c>
      <c r="K191" s="62" t="n"/>
      <c r="L191" s="62" t="n"/>
      <c r="M191" s="68" t="n"/>
      <c r="N191" s="68">
        <f>IF($M191="","",$M191+IF($K191="",Dashboard!$M$9,INDEX(Dashboard!$M$5:$M$9,$K191)))</f>
        <v/>
      </c>
      <c r="O191" s="62">
        <f>IF(OR($J191="Attempted",$J191="Revisit"),"DUE",IF($N191="","",IF($N191&lt;=TODAY(),"DUE","")))</f>
        <v/>
      </c>
      <c r="P191" s="62" t="inlineStr">
        <is>
          <t>v3 addition</t>
        </is>
      </c>
    </row>
    <row r="192" ht="15" customHeight="1" s="32">
      <c r="A192" s="62" t="n">
        <v>191</v>
      </c>
      <c r="B192" s="62" t="inlineStr">
        <is>
          <t>2. Search, Strings &amp; Math - Core</t>
        </is>
      </c>
      <c r="C192" s="62" t="inlineStr">
        <is>
          <t>07. Binary Search</t>
        </is>
      </c>
      <c r="D192" s="62" t="inlineStr">
        <is>
          <t>BS on matrix</t>
        </is>
      </c>
      <c r="E192" s="62" t="inlineStr">
        <is>
          <t>Search a 2D Matrix II</t>
        </is>
      </c>
      <c r="F192" s="62" t="inlineStr">
        <is>
          <t>Medium</t>
        </is>
      </c>
      <c r="G192" s="62" t="inlineStr">
        <is>
          <t>Core</t>
        </is>
      </c>
      <c r="H192" s="62" t="inlineStr">
        <is>
          <t>LeetCode</t>
        </is>
      </c>
      <c r="I192" s="62" t="inlineStr">
        <is>
          <t>https://leetcode.com/problems/search-a-2d-matrix-ii/</t>
        </is>
      </c>
      <c r="J192" s="62" t="inlineStr">
        <is>
          <t>Not Started</t>
        </is>
      </c>
      <c r="K192" s="62" t="n"/>
      <c r="L192" s="62" t="n"/>
      <c r="M192" s="68" t="n"/>
      <c r="N192" s="68">
        <f>IF($M192="","",$M192+IF($K192="",Dashboard!$M$9,INDEX(Dashboard!$M$5:$M$9,$K192)))</f>
        <v/>
      </c>
      <c r="O192" s="62">
        <f>IF(OR($J192="Attempted",$J192="Revisit"),"DUE",IF($N192="","",IF($N192&lt;=TODAY(),"DUE","")))</f>
        <v/>
      </c>
      <c r="P192" s="62" t="inlineStr">
        <is>
          <t>v3 addition</t>
        </is>
      </c>
    </row>
    <row r="193" ht="15" customHeight="1" s="32">
      <c r="A193" s="62" t="n">
        <v>192</v>
      </c>
      <c r="B193" s="62" t="inlineStr">
        <is>
          <t>2. Search, Strings &amp; Math - Core</t>
        </is>
      </c>
      <c r="C193" s="62" t="inlineStr">
        <is>
          <t>08. Strings</t>
        </is>
      </c>
      <c r="D193" s="62" t="inlineStr">
        <is>
          <t>Basics</t>
        </is>
      </c>
      <c r="E193" s="62" t="inlineStr">
        <is>
          <t>Reverse String</t>
        </is>
      </c>
      <c r="F193" s="62" t="inlineStr">
        <is>
          <t>Easy</t>
        </is>
      </c>
      <c r="G193" s="62" t="inlineStr">
        <is>
          <t>Core</t>
        </is>
      </c>
      <c r="H193" s="62" t="inlineStr">
        <is>
          <t>LeetCode</t>
        </is>
      </c>
      <c r="I193" s="62" t="inlineStr">
        <is>
          <t>https://leetcode.com/problems/reverse-string/</t>
        </is>
      </c>
      <c r="J193" s="62" t="inlineStr">
        <is>
          <t>Not Started</t>
        </is>
      </c>
      <c r="K193" s="62" t="n"/>
      <c r="L193" s="62" t="n"/>
      <c r="M193" s="68" t="n"/>
      <c r="N193" s="68">
        <f>IF($M193="","",$M193+IF($K193="",Dashboard!$M$9,INDEX(Dashboard!$M$5:$M$9,$K193)))</f>
        <v/>
      </c>
      <c r="O193" s="62">
        <f>IF(OR($J193="Attempted",$J193="Revisit"),"DUE",IF($N193="","",IF($N193&lt;=TODAY(),"DUE","")))</f>
        <v/>
      </c>
      <c r="P193" s="62" t="inlineStr">
        <is>
          <t>v3 addition</t>
        </is>
      </c>
    </row>
    <row r="194" ht="15" customHeight="1" s="32">
      <c r="A194" s="62" t="n">
        <v>193</v>
      </c>
      <c r="B194" s="62" t="inlineStr">
        <is>
          <t>2. Search, Strings &amp; Math - Core</t>
        </is>
      </c>
      <c r="C194" s="62" t="inlineStr">
        <is>
          <t>08. Strings</t>
        </is>
      </c>
      <c r="D194" s="62" t="inlineStr">
        <is>
          <t>Basics</t>
        </is>
      </c>
      <c r="E194" s="62" t="inlineStr">
        <is>
          <t>Longest Common Prefix</t>
        </is>
      </c>
      <c r="F194" s="62" t="inlineStr">
        <is>
          <t>Easy</t>
        </is>
      </c>
      <c r="G194" s="62" t="inlineStr">
        <is>
          <t>Core</t>
        </is>
      </c>
      <c r="H194" s="62" t="inlineStr">
        <is>
          <t>LeetCode</t>
        </is>
      </c>
      <c r="I194" s="62" t="inlineStr">
        <is>
          <t>https://leetcode.com/problems/longest-common-prefix/</t>
        </is>
      </c>
      <c r="J194" s="62" t="inlineStr">
        <is>
          <t>Not Started</t>
        </is>
      </c>
      <c r="K194" s="62" t="n"/>
      <c r="L194" s="62" t="n"/>
      <c r="M194" s="68" t="n"/>
      <c r="N194" s="68">
        <f>IF($M194="","",$M194+IF($K194="",Dashboard!$M$9,INDEX(Dashboard!$M$5:$M$9,$K194)))</f>
        <v/>
      </c>
      <c r="O194" s="62">
        <f>IF(OR($J194="Attempted",$J194="Revisit"),"DUE",IF($N194="","",IF($N194&lt;=TODAY(),"DUE","")))</f>
        <v/>
      </c>
      <c r="P194" s="62" t="n"/>
    </row>
    <row r="195" ht="15" customHeight="1" s="32">
      <c r="A195" s="62" t="n">
        <v>194</v>
      </c>
      <c r="B195" s="62" t="inlineStr">
        <is>
          <t>2. Search, Strings &amp; Math - Core</t>
        </is>
      </c>
      <c r="C195" s="62" t="inlineStr">
        <is>
          <t>08. Strings</t>
        </is>
      </c>
      <c r="D195" s="62" t="inlineStr">
        <is>
          <t>Basics</t>
        </is>
      </c>
      <c r="E195" s="62" t="inlineStr">
        <is>
          <t>Reverse Words in a String III</t>
        </is>
      </c>
      <c r="F195" s="62" t="inlineStr">
        <is>
          <t>Easy</t>
        </is>
      </c>
      <c r="G195" s="62" t="inlineStr">
        <is>
          <t>Core</t>
        </is>
      </c>
      <c r="H195" s="62" t="inlineStr">
        <is>
          <t>LeetCode</t>
        </is>
      </c>
      <c r="I195" s="62" t="inlineStr">
        <is>
          <t>https://leetcode.com/problems/reverse-words-in-a-string-iii/</t>
        </is>
      </c>
      <c r="J195" s="62" t="inlineStr">
        <is>
          <t>Not Started</t>
        </is>
      </c>
      <c r="K195" s="62" t="n"/>
      <c r="L195" s="62" t="n"/>
      <c r="M195" s="68" t="n"/>
      <c r="N195" s="68">
        <f>IF($M195="","",$M195+IF($K195="",Dashboard!$M$9,INDEX(Dashboard!$M$5:$M$9,$K195)))</f>
        <v/>
      </c>
      <c r="O195" s="62">
        <f>IF(OR($J195="Attempted",$J195="Revisit"),"DUE",IF($N195="","",IF($N195&lt;=TODAY(),"DUE","")))</f>
        <v/>
      </c>
      <c r="P195" s="62" t="n"/>
    </row>
    <row r="196" ht="15" customHeight="1" s="32">
      <c r="A196" s="62" t="n">
        <v>195</v>
      </c>
      <c r="B196" s="62" t="inlineStr">
        <is>
          <t>2. Search, Strings &amp; Math - Core</t>
        </is>
      </c>
      <c r="C196" s="62" t="inlineStr">
        <is>
          <t>08. Strings</t>
        </is>
      </c>
      <c r="D196" s="62" t="inlineStr">
        <is>
          <t>Basics</t>
        </is>
      </c>
      <c r="E196" s="62" t="inlineStr">
        <is>
          <t>Reverse Words in a String</t>
        </is>
      </c>
      <c r="F196" s="62" t="inlineStr">
        <is>
          <t>Medium</t>
        </is>
      </c>
      <c r="G196" s="62" t="inlineStr">
        <is>
          <t>Core</t>
        </is>
      </c>
      <c r="H196" s="62" t="inlineStr">
        <is>
          <t>LeetCode</t>
        </is>
      </c>
      <c r="I196" s="62" t="inlineStr">
        <is>
          <t>https://leetcode.com/problems/reverse-words-in-a-string/</t>
        </is>
      </c>
      <c r="J196" s="62" t="inlineStr">
        <is>
          <t>Not Started</t>
        </is>
      </c>
      <c r="K196" s="62" t="n"/>
      <c r="L196" s="62" t="n"/>
      <c r="M196" s="68" t="n"/>
      <c r="N196" s="68">
        <f>IF($M196="","",$M196+IF($K196="",Dashboard!$M$9,INDEX(Dashboard!$M$5:$M$9,$K196)))</f>
        <v/>
      </c>
      <c r="O196" s="62">
        <f>IF(OR($J196="Attempted",$J196="Revisit"),"DUE",IF($N196="","",IF($N196&lt;=TODAY(),"DUE","")))</f>
        <v/>
      </c>
      <c r="P196" s="62" t="inlineStr">
        <is>
          <t>v3 addition</t>
        </is>
      </c>
    </row>
    <row r="197" ht="15" customHeight="1" s="32">
      <c r="A197" s="62" t="n">
        <v>196</v>
      </c>
      <c r="B197" s="62" t="inlineStr">
        <is>
          <t>2. Search, Strings &amp; Math - Core</t>
        </is>
      </c>
      <c r="C197" s="62" t="inlineStr">
        <is>
          <t>08. Strings</t>
        </is>
      </c>
      <c r="D197" s="62" t="inlineStr">
        <is>
          <t>Anagram</t>
        </is>
      </c>
      <c r="E197" s="62" t="inlineStr">
        <is>
          <t>Valid Anagram</t>
        </is>
      </c>
      <c r="F197" s="62" t="inlineStr">
        <is>
          <t>Easy</t>
        </is>
      </c>
      <c r="G197" s="62" t="inlineStr">
        <is>
          <t>Core</t>
        </is>
      </c>
      <c r="H197" s="62" t="inlineStr">
        <is>
          <t>LeetCode</t>
        </is>
      </c>
      <c r="I197" s="62" t="inlineStr">
        <is>
          <t>https://leetcode.com/problems/valid-anagram/</t>
        </is>
      </c>
      <c r="J197" s="62" t="inlineStr">
        <is>
          <t>Not Started</t>
        </is>
      </c>
      <c r="K197" s="62" t="n"/>
      <c r="L197" s="62" t="n"/>
      <c r="M197" s="68" t="n"/>
      <c r="N197" s="68">
        <f>IF($M197="","",$M197+IF($K197="",Dashboard!$M$9,INDEX(Dashboard!$M$5:$M$9,$K197)))</f>
        <v/>
      </c>
      <c r="O197" s="62">
        <f>IF(OR($J197="Attempted",$J197="Revisit"),"DUE",IF($N197="","",IF($N197&lt;=TODAY(),"DUE","")))</f>
        <v/>
      </c>
      <c r="P197" s="62" t="inlineStr">
        <is>
          <t>v3 addition</t>
        </is>
      </c>
    </row>
    <row r="198" ht="15" customHeight="1" s="32">
      <c r="A198" s="62" t="n">
        <v>197</v>
      </c>
      <c r="B198" s="62" t="inlineStr">
        <is>
          <t>2. Search, Strings &amp; Math - Core</t>
        </is>
      </c>
      <c r="C198" s="62" t="inlineStr">
        <is>
          <t>08. Strings</t>
        </is>
      </c>
      <c r="D198" s="62" t="inlineStr">
        <is>
          <t>Anagram</t>
        </is>
      </c>
      <c r="E198" s="62" t="inlineStr">
        <is>
          <t>Find Resultant Array After Removing Anagrams</t>
        </is>
      </c>
      <c r="F198" s="62" t="inlineStr">
        <is>
          <t>Easy</t>
        </is>
      </c>
      <c r="G198" s="62" t="inlineStr">
        <is>
          <t>Core</t>
        </is>
      </c>
      <c r="H198" s="62" t="inlineStr">
        <is>
          <t>LeetCode</t>
        </is>
      </c>
      <c r="I198" s="62" t="inlineStr">
        <is>
          <t>https://leetcode.com/problems/find-resultant-array-after-removing-anagrams/</t>
        </is>
      </c>
      <c r="J198" s="62" t="inlineStr">
        <is>
          <t>Not Started</t>
        </is>
      </c>
      <c r="K198" s="62" t="n"/>
      <c r="L198" s="62" t="n"/>
      <c r="M198" s="68" t="n"/>
      <c r="N198" s="68">
        <f>IF($M198="","",$M198+IF($K198="",Dashboard!$M$9,INDEX(Dashboard!$M$5:$M$9,$K198)))</f>
        <v/>
      </c>
      <c r="O198" s="62">
        <f>IF(OR($J198="Attempted",$J198="Revisit"),"DUE",IF($N198="","",IF($N198&lt;=TODAY(),"DUE","")))</f>
        <v/>
      </c>
      <c r="P198" s="62" t="n"/>
    </row>
    <row r="199" ht="15" customHeight="1" s="32">
      <c r="A199" s="62" t="n">
        <v>198</v>
      </c>
      <c r="B199" s="62" t="inlineStr">
        <is>
          <t>2. Search, Strings &amp; Math - Core</t>
        </is>
      </c>
      <c r="C199" s="62" t="inlineStr">
        <is>
          <t>08. Strings</t>
        </is>
      </c>
      <c r="D199" s="62" t="inlineStr">
        <is>
          <t>Anagram</t>
        </is>
      </c>
      <c r="E199" s="62" t="inlineStr">
        <is>
          <t>Group Anagrams</t>
        </is>
      </c>
      <c r="F199" s="62" t="inlineStr">
        <is>
          <t>Medium</t>
        </is>
      </c>
      <c r="G199" s="62" t="inlineStr">
        <is>
          <t>Core</t>
        </is>
      </c>
      <c r="H199" s="62" t="inlineStr">
        <is>
          <t>LeetCode</t>
        </is>
      </c>
      <c r="I199" s="62" t="inlineStr">
        <is>
          <t>https://leetcode.com/problems/group-anagrams/</t>
        </is>
      </c>
      <c r="J199" s="62" t="inlineStr">
        <is>
          <t>Not Started</t>
        </is>
      </c>
      <c r="K199" s="62" t="n"/>
      <c r="L199" s="62" t="n"/>
      <c r="M199" s="68" t="n"/>
      <c r="N199" s="68">
        <f>IF($M199="","",$M199+IF($K199="",Dashboard!$M$9,INDEX(Dashboard!$M$5:$M$9,$K199)))</f>
        <v/>
      </c>
      <c r="O199" s="62">
        <f>IF(OR($J199="Attempted",$J199="Revisit"),"DUE",IF($N199="","",IF($N199&lt;=TODAY(),"DUE","")))</f>
        <v/>
      </c>
      <c r="P199" s="62" t="inlineStr">
        <is>
          <t>v3 addition</t>
        </is>
      </c>
    </row>
    <row r="200" ht="15" customHeight="1" s="32">
      <c r="A200" s="62" t="n">
        <v>199</v>
      </c>
      <c r="B200" s="62" t="inlineStr">
        <is>
          <t>2. Search, Strings &amp; Math - Core</t>
        </is>
      </c>
      <c r="C200" s="62" t="inlineStr">
        <is>
          <t>08. Strings</t>
        </is>
      </c>
      <c r="D200" s="62" t="inlineStr">
        <is>
          <t>Mapping</t>
        </is>
      </c>
      <c r="E200" s="62" t="inlineStr">
        <is>
          <t>Isomorphic Strings</t>
        </is>
      </c>
      <c r="F200" s="62" t="inlineStr">
        <is>
          <t>Easy</t>
        </is>
      </c>
      <c r="G200" s="62" t="inlineStr">
        <is>
          <t>Core</t>
        </is>
      </c>
      <c r="H200" s="62" t="inlineStr">
        <is>
          <t>LeetCode</t>
        </is>
      </c>
      <c r="I200" s="62" t="inlineStr">
        <is>
          <t>https://leetcode.com/problems/isomorphic-strings/</t>
        </is>
      </c>
      <c r="J200" s="62" t="inlineStr">
        <is>
          <t>Not Started</t>
        </is>
      </c>
      <c r="K200" s="62" t="n"/>
      <c r="L200" s="62" t="n"/>
      <c r="M200" s="68" t="n"/>
      <c r="N200" s="68">
        <f>IF($M200="","",$M200+IF($K200="",Dashboard!$M$9,INDEX(Dashboard!$M$5:$M$9,$K200)))</f>
        <v/>
      </c>
      <c r="O200" s="62">
        <f>IF(OR($J200="Attempted",$J200="Revisit"),"DUE",IF($N200="","",IF($N200&lt;=TODAY(),"DUE","")))</f>
        <v/>
      </c>
      <c r="P200" s="62" t="n"/>
    </row>
    <row r="201" ht="15" customHeight="1" s="32">
      <c r="A201" s="62" t="n">
        <v>200</v>
      </c>
      <c r="B201" s="62" t="inlineStr">
        <is>
          <t>2. Search, Strings &amp; Math - Core</t>
        </is>
      </c>
      <c r="C201" s="62" t="inlineStr">
        <is>
          <t>08. Strings</t>
        </is>
      </c>
      <c r="D201" s="62" t="inlineStr">
        <is>
          <t>Mapping</t>
        </is>
      </c>
      <c r="E201" s="62" t="inlineStr">
        <is>
          <t>Word Pattern</t>
        </is>
      </c>
      <c r="F201" s="62" t="inlineStr">
        <is>
          <t>Easy</t>
        </is>
      </c>
      <c r="G201" s="62" t="inlineStr">
        <is>
          <t>Core</t>
        </is>
      </c>
      <c r="H201" s="62" t="inlineStr">
        <is>
          <t>LeetCode</t>
        </is>
      </c>
      <c r="I201" s="62" t="inlineStr">
        <is>
          <t>https://leetcode.com/problems/word-pattern/</t>
        </is>
      </c>
      <c r="J201" s="62" t="inlineStr">
        <is>
          <t>Not Started</t>
        </is>
      </c>
      <c r="K201" s="62" t="n"/>
      <c r="L201" s="62" t="n"/>
      <c r="M201" s="68" t="n"/>
      <c r="N201" s="68">
        <f>IF($M201="","",$M201+IF($K201="",Dashboard!$M$9,INDEX(Dashboard!$M$5:$M$9,$K201)))</f>
        <v/>
      </c>
      <c r="O201" s="62">
        <f>IF(OR($J201="Attempted",$J201="Revisit"),"DUE",IF($N201="","",IF($N201&lt;=TODAY(),"DUE","")))</f>
        <v/>
      </c>
      <c r="P201" s="62" t="n"/>
    </row>
    <row r="202" ht="15" customHeight="1" s="32">
      <c r="A202" s="62" t="n">
        <v>201</v>
      </c>
      <c r="B202" s="62" t="inlineStr">
        <is>
          <t>2. Search, Strings &amp; Math - Core</t>
        </is>
      </c>
      <c r="C202" s="62" t="inlineStr">
        <is>
          <t>08. Strings</t>
        </is>
      </c>
      <c r="D202" s="62" t="inlineStr">
        <is>
          <t>Mapping</t>
        </is>
      </c>
      <c r="E202" s="62" t="inlineStr">
        <is>
          <t>Verifying an Alien Dictionary</t>
        </is>
      </c>
      <c r="F202" s="62" t="inlineStr">
        <is>
          <t>Easy</t>
        </is>
      </c>
      <c r="G202" s="62" t="inlineStr">
        <is>
          <t>Core</t>
        </is>
      </c>
      <c r="H202" s="62" t="inlineStr">
        <is>
          <t>LeetCode</t>
        </is>
      </c>
      <c r="I202" s="62" t="inlineStr">
        <is>
          <t>https://leetcode.com/problems/verifying-an-alien-dictionary/</t>
        </is>
      </c>
      <c r="J202" s="62" t="inlineStr">
        <is>
          <t>Not Started</t>
        </is>
      </c>
      <c r="K202" s="62" t="n"/>
      <c r="L202" s="62" t="n"/>
      <c r="M202" s="68" t="n"/>
      <c r="N202" s="68">
        <f>IF($M202="","",$M202+IF($K202="",Dashboard!$M$9,INDEX(Dashboard!$M$5:$M$9,$K202)))</f>
        <v/>
      </c>
      <c r="O202" s="62">
        <f>IF(OR($J202="Attempted",$J202="Revisit"),"DUE",IF($N202="","",IF($N202&lt;=TODAY(),"DUE","")))</f>
        <v/>
      </c>
      <c r="P202" s="62" t="n"/>
    </row>
    <row r="203" ht="15" customHeight="1" s="32">
      <c r="A203" s="62" t="n">
        <v>202</v>
      </c>
      <c r="B203" s="62" t="inlineStr">
        <is>
          <t>2. Search, Strings &amp; Math - Core</t>
        </is>
      </c>
      <c r="C203" s="62" t="inlineStr">
        <is>
          <t>08. Strings</t>
        </is>
      </c>
      <c r="D203" s="62" t="inlineStr">
        <is>
          <t>Palindrome</t>
        </is>
      </c>
      <c r="E203" s="62" t="inlineStr">
        <is>
          <t>Longest Palindromic Substring</t>
        </is>
      </c>
      <c r="F203" s="62" t="inlineStr">
        <is>
          <t>Medium</t>
        </is>
      </c>
      <c r="G203" s="62" t="inlineStr">
        <is>
          <t>Core</t>
        </is>
      </c>
      <c r="H203" s="62" t="inlineStr">
        <is>
          <t>LeetCode</t>
        </is>
      </c>
      <c r="I203" s="62" t="inlineStr">
        <is>
          <t>https://leetcode.com/problems/longest-palindromic-substring/</t>
        </is>
      </c>
      <c r="J203" s="62" t="inlineStr">
        <is>
          <t>Not Started</t>
        </is>
      </c>
      <c r="K203" s="62" t="n"/>
      <c r="L203" s="62" t="n"/>
      <c r="M203" s="68" t="n"/>
      <c r="N203" s="68">
        <f>IF($M203="","",$M203+IF($K203="",Dashboard!$M$9,INDEX(Dashboard!$M$5:$M$9,$K203)))</f>
        <v/>
      </c>
      <c r="O203" s="62">
        <f>IF(OR($J203="Attempted",$J203="Revisit"),"DUE",IF($N203="","",IF($N203&lt;=TODAY(),"DUE","")))</f>
        <v/>
      </c>
      <c r="P203" s="62" t="n"/>
    </row>
    <row r="204" ht="15" customHeight="1" s="32">
      <c r="A204" s="62" t="n">
        <v>203</v>
      </c>
      <c r="B204" s="62" t="inlineStr">
        <is>
          <t>2. Search, Strings &amp; Math - Core</t>
        </is>
      </c>
      <c r="C204" s="62" t="inlineStr">
        <is>
          <t>08. Strings</t>
        </is>
      </c>
      <c r="D204" s="62" t="inlineStr">
        <is>
          <t>Palindrome</t>
        </is>
      </c>
      <c r="E204" s="62" t="inlineStr">
        <is>
          <t>Palindromic Substrings</t>
        </is>
      </c>
      <c r="F204" s="62" t="inlineStr">
        <is>
          <t>Medium</t>
        </is>
      </c>
      <c r="G204" s="62" t="inlineStr">
        <is>
          <t>Core</t>
        </is>
      </c>
      <c r="H204" s="62" t="inlineStr">
        <is>
          <t>LeetCode</t>
        </is>
      </c>
      <c r="I204" s="62" t="inlineStr">
        <is>
          <t>https://leetcode.com/problems/palindromic-substrings/</t>
        </is>
      </c>
      <c r="J204" s="62" t="inlineStr">
        <is>
          <t>Not Started</t>
        </is>
      </c>
      <c r="K204" s="62" t="n"/>
      <c r="L204" s="62" t="n"/>
      <c r="M204" s="68" t="n"/>
      <c r="N204" s="68">
        <f>IF($M204="","",$M204+IF($K204="",Dashboard!$M$9,INDEX(Dashboard!$M$5:$M$9,$K204)))</f>
        <v/>
      </c>
      <c r="O204" s="62">
        <f>IF(OR($J204="Attempted",$J204="Revisit"),"DUE",IF($N204="","",IF($N204&lt;=TODAY(),"DUE","")))</f>
        <v/>
      </c>
      <c r="P204" s="62" t="n"/>
    </row>
    <row r="205" ht="15" customHeight="1" s="32">
      <c r="A205" s="62" t="n">
        <v>204</v>
      </c>
      <c r="B205" s="62" t="inlineStr">
        <is>
          <t>2. Search, Strings &amp; Math - Core</t>
        </is>
      </c>
      <c r="C205" s="62" t="inlineStr">
        <is>
          <t>08. Strings</t>
        </is>
      </c>
      <c r="D205" s="62" t="inlineStr">
        <is>
          <t>Parsing</t>
        </is>
      </c>
      <c r="E205" s="62" t="inlineStr">
        <is>
          <t>Roman to Integer</t>
        </is>
      </c>
      <c r="F205" s="62" t="inlineStr">
        <is>
          <t>Easy</t>
        </is>
      </c>
      <c r="G205" s="62" t="inlineStr">
        <is>
          <t>Core</t>
        </is>
      </c>
      <c r="H205" s="62" t="inlineStr">
        <is>
          <t>LeetCode</t>
        </is>
      </c>
      <c r="I205" s="62" t="inlineStr">
        <is>
          <t>https://leetcode.com/problems/roman-to-integer/</t>
        </is>
      </c>
      <c r="J205" s="62" t="inlineStr">
        <is>
          <t>Not Started</t>
        </is>
      </c>
      <c r="K205" s="62" t="n"/>
      <c r="L205" s="62" t="n"/>
      <c r="M205" s="68" t="n"/>
      <c r="N205" s="68">
        <f>IF($M205="","",$M205+IF($K205="",Dashboard!$M$9,INDEX(Dashboard!$M$5:$M$9,$K205)))</f>
        <v/>
      </c>
      <c r="O205" s="62">
        <f>IF(OR($J205="Attempted",$J205="Revisit"),"DUE",IF($N205="","",IF($N205&lt;=TODAY(),"DUE","")))</f>
        <v/>
      </c>
      <c r="P205" s="62" t="n"/>
    </row>
    <row r="206" ht="15" customHeight="1" s="32">
      <c r="A206" s="62" t="n">
        <v>205</v>
      </c>
      <c r="B206" s="62" t="inlineStr">
        <is>
          <t>2. Search, Strings &amp; Math - Core</t>
        </is>
      </c>
      <c r="C206" s="62" t="inlineStr">
        <is>
          <t>08. Strings</t>
        </is>
      </c>
      <c r="D206" s="62" t="inlineStr">
        <is>
          <t>Parsing</t>
        </is>
      </c>
      <c r="E206" s="62" t="inlineStr">
        <is>
          <t>Add Binary</t>
        </is>
      </c>
      <c r="F206" s="62" t="inlineStr">
        <is>
          <t>Easy</t>
        </is>
      </c>
      <c r="G206" s="62" t="inlineStr">
        <is>
          <t>Core</t>
        </is>
      </c>
      <c r="H206" s="62" t="inlineStr">
        <is>
          <t>LeetCode</t>
        </is>
      </c>
      <c r="I206" s="62" t="inlineStr">
        <is>
          <t>https://leetcode.com/problems/add-binary/</t>
        </is>
      </c>
      <c r="J206" s="62" t="inlineStr">
        <is>
          <t>Not Started</t>
        </is>
      </c>
      <c r="K206" s="62" t="n"/>
      <c r="L206" s="62" t="n"/>
      <c r="M206" s="68" t="n"/>
      <c r="N206" s="68">
        <f>IF($M206="","",$M206+IF($K206="",Dashboard!$M$9,INDEX(Dashboard!$M$5:$M$9,$K206)))</f>
        <v/>
      </c>
      <c r="O206" s="62">
        <f>IF(OR($J206="Attempted",$J206="Revisit"),"DUE",IF($N206="","",IF($N206&lt;=TODAY(),"DUE","")))</f>
        <v/>
      </c>
      <c r="P206" s="62" t="inlineStr">
        <is>
          <t>v3 addition</t>
        </is>
      </c>
    </row>
    <row r="207" ht="15" customHeight="1" s="32">
      <c r="A207" s="62" t="n">
        <v>206</v>
      </c>
      <c r="B207" s="62" t="inlineStr">
        <is>
          <t>2. Search, Strings &amp; Math - Core</t>
        </is>
      </c>
      <c r="C207" s="62" t="inlineStr">
        <is>
          <t>08. Strings</t>
        </is>
      </c>
      <c r="D207" s="62" t="inlineStr">
        <is>
          <t>Simulation</t>
        </is>
      </c>
      <c r="E207" s="62" t="inlineStr">
        <is>
          <t>Robot Return to Origin</t>
        </is>
      </c>
      <c r="F207" s="62" t="inlineStr">
        <is>
          <t>Easy</t>
        </is>
      </c>
      <c r="G207" s="62" t="inlineStr">
        <is>
          <t>Core</t>
        </is>
      </c>
      <c r="H207" s="62" t="inlineStr">
        <is>
          <t>LeetCode</t>
        </is>
      </c>
      <c r="I207" s="62" t="inlineStr">
        <is>
          <t>https://leetcode.com/problems/robot-return-to-origin/</t>
        </is>
      </c>
      <c r="J207" s="62" t="inlineStr">
        <is>
          <t>Not Started</t>
        </is>
      </c>
      <c r="K207" s="62" t="n"/>
      <c r="L207" s="62" t="n"/>
      <c r="M207" s="68" t="n"/>
      <c r="N207" s="68">
        <f>IF($M207="","",$M207+IF($K207="",Dashboard!$M$9,INDEX(Dashboard!$M$5:$M$9,$K207)))</f>
        <v/>
      </c>
      <c r="O207" s="62">
        <f>IF(OR($J207="Attempted",$J207="Revisit"),"DUE",IF($N207="","",IF($N207&lt;=TODAY(),"DUE","")))</f>
        <v/>
      </c>
      <c r="P207" s="62" t="inlineStr">
        <is>
          <t>v3 addition</t>
        </is>
      </c>
    </row>
    <row r="208" ht="15" customHeight="1" s="32">
      <c r="A208" s="62" t="n">
        <v>207</v>
      </c>
      <c r="B208" s="62" t="inlineStr">
        <is>
          <t>2. Search, Strings &amp; Math - Core</t>
        </is>
      </c>
      <c r="C208" s="62" t="inlineStr">
        <is>
          <t>08. Strings</t>
        </is>
      </c>
      <c r="D208" s="62" t="inlineStr">
        <is>
          <t>Simulation</t>
        </is>
      </c>
      <c r="E208" s="62" t="inlineStr">
        <is>
          <t>Zigzag Conversion</t>
        </is>
      </c>
      <c r="F208" s="62" t="inlineStr">
        <is>
          <t>Medium</t>
        </is>
      </c>
      <c r="G208" s="62" t="inlineStr">
        <is>
          <t>Core</t>
        </is>
      </c>
      <c r="H208" s="62" t="inlineStr">
        <is>
          <t>LeetCode</t>
        </is>
      </c>
      <c r="I208" s="62" t="inlineStr">
        <is>
          <t>https://leetcode.com/problems/zigzag-conversion/</t>
        </is>
      </c>
      <c r="J208" s="62" t="inlineStr">
        <is>
          <t>Not Started</t>
        </is>
      </c>
      <c r="K208" s="62" t="n"/>
      <c r="L208" s="62" t="n"/>
      <c r="M208" s="68" t="n"/>
      <c r="N208" s="68">
        <f>IF($M208="","",$M208+IF($K208="",Dashboard!$M$9,INDEX(Dashboard!$M$5:$M$9,$K208)))</f>
        <v/>
      </c>
      <c r="O208" s="62">
        <f>IF(OR($J208="Attempted",$J208="Revisit"),"DUE",IF($N208="","",IF($N208&lt;=TODAY(),"DUE","")))</f>
        <v/>
      </c>
      <c r="P208" s="62" t="inlineStr">
        <is>
          <t>v3 addition</t>
        </is>
      </c>
    </row>
    <row r="209" ht="15" customHeight="1" s="32">
      <c r="A209" s="62" t="n">
        <v>208</v>
      </c>
      <c r="B209" s="62" t="inlineStr">
        <is>
          <t>2. Search, Strings &amp; Math - Core</t>
        </is>
      </c>
      <c r="C209" s="62" t="inlineStr">
        <is>
          <t>08. Strings</t>
        </is>
      </c>
      <c r="D209" s="62" t="inlineStr">
        <is>
          <t>Pattern matching</t>
        </is>
      </c>
      <c r="E209" s="62" t="inlineStr">
        <is>
          <t>Find the Index of the First Occurrence in a String</t>
        </is>
      </c>
      <c r="F209" s="62" t="inlineStr">
        <is>
          <t>Easy</t>
        </is>
      </c>
      <c r="G209" s="62" t="inlineStr">
        <is>
          <t>Core</t>
        </is>
      </c>
      <c r="H209" s="62" t="inlineStr">
        <is>
          <t>LeetCode</t>
        </is>
      </c>
      <c r="I209" s="62" t="inlineStr">
        <is>
          <t>https://leetcode.com/problems/find-the-index-of-the-first-occurrence-in-a-string/</t>
        </is>
      </c>
      <c r="J209" s="62" t="inlineStr">
        <is>
          <t>Not Started</t>
        </is>
      </c>
      <c r="K209" s="62" t="n"/>
      <c r="L209" s="62" t="n"/>
      <c r="M209" s="68" t="n"/>
      <c r="N209" s="68">
        <f>IF($M209="","",$M209+IF($K209="",Dashboard!$M$9,INDEX(Dashboard!$M$5:$M$9,$K209)))</f>
        <v/>
      </c>
      <c r="O209" s="62">
        <f>IF(OR($J209="Attempted",$J209="Revisit"),"DUE",IF($N209="","",IF($N209&lt;=TODAY(),"DUE","")))</f>
        <v/>
      </c>
      <c r="P209" s="62" t="inlineStr">
        <is>
          <t>v3 addition</t>
        </is>
      </c>
    </row>
    <row r="210" ht="15" customHeight="1" s="32">
      <c r="A210" s="62" t="n">
        <v>209</v>
      </c>
      <c r="B210" s="62" t="inlineStr">
        <is>
          <t>2. Search, Strings &amp; Math - Core</t>
        </is>
      </c>
      <c r="C210" s="62" t="inlineStr">
        <is>
          <t>08. Strings</t>
        </is>
      </c>
      <c r="D210" s="62" t="inlineStr">
        <is>
          <t>Pattern matching</t>
        </is>
      </c>
      <c r="E210" s="62" t="inlineStr">
        <is>
          <t>Repeated Substring Pattern</t>
        </is>
      </c>
      <c r="F210" s="62" t="inlineStr">
        <is>
          <t>Easy</t>
        </is>
      </c>
      <c r="G210" s="62" t="inlineStr">
        <is>
          <t>Core</t>
        </is>
      </c>
      <c r="H210" s="62" t="inlineStr">
        <is>
          <t>LeetCode</t>
        </is>
      </c>
      <c r="I210" s="62" t="inlineStr">
        <is>
          <t>https://leetcode.com/problems/repeated-substring-pattern/</t>
        </is>
      </c>
      <c r="J210" s="62" t="inlineStr">
        <is>
          <t>Not Started</t>
        </is>
      </c>
      <c r="K210" s="62" t="n"/>
      <c r="L210" s="62" t="n"/>
      <c r="M210" s="68" t="n"/>
      <c r="N210" s="68">
        <f>IF($M210="","",$M210+IF($K210="",Dashboard!$M$9,INDEX(Dashboard!$M$5:$M$9,$K210)))</f>
        <v/>
      </c>
      <c r="O210" s="62">
        <f>IF(OR($J210="Attempted",$J210="Revisit"),"DUE",IF($N210="","",IF($N210&lt;=TODAY(),"DUE","")))</f>
        <v/>
      </c>
      <c r="P210" s="62" t="n"/>
    </row>
    <row r="211" ht="15" customHeight="1" s="32">
      <c r="A211" s="62" t="n">
        <v>210</v>
      </c>
      <c r="B211" s="62" t="inlineStr">
        <is>
          <t>2. Search, Strings &amp; Math - Core</t>
        </is>
      </c>
      <c r="C211" s="62" t="inlineStr">
        <is>
          <t>09. Bit Manipulation</t>
        </is>
      </c>
      <c r="D211" s="62" t="inlineStr">
        <is>
          <t>Basics</t>
        </is>
      </c>
      <c r="E211" s="62" t="inlineStr">
        <is>
          <t>Number of 1 Bits</t>
        </is>
      </c>
      <c r="F211" s="62" t="inlineStr">
        <is>
          <t>Easy</t>
        </is>
      </c>
      <c r="G211" s="62" t="inlineStr">
        <is>
          <t>Core</t>
        </is>
      </c>
      <c r="H211" s="62" t="inlineStr">
        <is>
          <t>LeetCode</t>
        </is>
      </c>
      <c r="I211" s="62" t="inlineStr">
        <is>
          <t>https://leetcode.com/problems/number-of-1-bits/</t>
        </is>
      </c>
      <c r="J211" s="62" t="inlineStr">
        <is>
          <t>Not Started</t>
        </is>
      </c>
      <c r="K211" s="62" t="n"/>
      <c r="L211" s="62" t="n"/>
      <c r="M211" s="68" t="n"/>
      <c r="N211" s="68">
        <f>IF($M211="","",$M211+IF($K211="",Dashboard!$M$9,INDEX(Dashboard!$M$5:$M$9,$K211)))</f>
        <v/>
      </c>
      <c r="O211" s="62">
        <f>IF(OR($J211="Attempted",$J211="Revisit"),"DUE",IF($N211="","",IF($N211&lt;=TODAY(),"DUE","")))</f>
        <v/>
      </c>
      <c r="P211" s="62" t="inlineStr">
        <is>
          <t>v3 addition</t>
        </is>
      </c>
    </row>
    <row r="212" ht="15" customHeight="1" s="32">
      <c r="A212" s="62" t="n">
        <v>211</v>
      </c>
      <c r="B212" s="62" t="inlineStr">
        <is>
          <t>2. Search, Strings &amp; Math - Core</t>
        </is>
      </c>
      <c r="C212" s="62" t="inlineStr">
        <is>
          <t>09. Bit Manipulation</t>
        </is>
      </c>
      <c r="D212" s="62" t="inlineStr">
        <is>
          <t>Basics</t>
        </is>
      </c>
      <c r="E212" s="62" t="inlineStr">
        <is>
          <t>Counting Bits</t>
        </is>
      </c>
      <c r="F212" s="62" t="inlineStr">
        <is>
          <t>Easy</t>
        </is>
      </c>
      <c r="G212" s="62" t="inlineStr">
        <is>
          <t>Core</t>
        </is>
      </c>
      <c r="H212" s="62" t="inlineStr">
        <is>
          <t>LeetCode</t>
        </is>
      </c>
      <c r="I212" s="62" t="inlineStr">
        <is>
          <t>https://leetcode.com/problems/counting-bits/</t>
        </is>
      </c>
      <c r="J212" s="62" t="inlineStr">
        <is>
          <t>Not Started</t>
        </is>
      </c>
      <c r="K212" s="62" t="n"/>
      <c r="L212" s="62" t="n"/>
      <c r="M212" s="68" t="n"/>
      <c r="N212" s="68">
        <f>IF($M212="","",$M212+IF($K212="",Dashboard!$M$9,INDEX(Dashboard!$M$5:$M$9,$K212)))</f>
        <v/>
      </c>
      <c r="O212" s="62">
        <f>IF(OR($J212="Attempted",$J212="Revisit"),"DUE",IF($N212="","",IF($N212&lt;=TODAY(),"DUE","")))</f>
        <v/>
      </c>
      <c r="P212" s="62" t="n"/>
    </row>
    <row r="213" ht="15" customHeight="1" s="32">
      <c r="A213" s="62" t="n">
        <v>212</v>
      </c>
      <c r="B213" s="62" t="inlineStr">
        <is>
          <t>2. Search, Strings &amp; Math - Core</t>
        </is>
      </c>
      <c r="C213" s="62" t="inlineStr">
        <is>
          <t>09. Bit Manipulation</t>
        </is>
      </c>
      <c r="D213" s="62" t="inlineStr">
        <is>
          <t>XOR tricks</t>
        </is>
      </c>
      <c r="E213" s="62" t="inlineStr">
        <is>
          <t>Single Number</t>
        </is>
      </c>
      <c r="F213" s="62" t="inlineStr">
        <is>
          <t>Easy</t>
        </is>
      </c>
      <c r="G213" s="62" t="inlineStr">
        <is>
          <t>Core</t>
        </is>
      </c>
      <c r="H213" s="62" t="inlineStr">
        <is>
          <t>LeetCode</t>
        </is>
      </c>
      <c r="I213" s="62" t="inlineStr">
        <is>
          <t>https://leetcode.com/problems/single-number/</t>
        </is>
      </c>
      <c r="J213" s="62" t="inlineStr">
        <is>
          <t>Not Started</t>
        </is>
      </c>
      <c r="K213" s="62" t="n"/>
      <c r="L213" s="62" t="n"/>
      <c r="M213" s="68" t="n"/>
      <c r="N213" s="68">
        <f>IF($M213="","",$M213+IF($K213="",Dashboard!$M$9,INDEX(Dashboard!$M$5:$M$9,$K213)))</f>
        <v/>
      </c>
      <c r="O213" s="62">
        <f>IF(OR($J213="Attempted",$J213="Revisit"),"DUE",IF($N213="","",IF($N213&lt;=TODAY(),"DUE","")))</f>
        <v/>
      </c>
      <c r="P213" s="62" t="n"/>
    </row>
    <row r="214" ht="15" customHeight="1" s="32">
      <c r="A214" s="62" t="n">
        <v>213</v>
      </c>
      <c r="B214" s="62" t="inlineStr">
        <is>
          <t>2. Search, Strings &amp; Math - Core</t>
        </is>
      </c>
      <c r="C214" s="62" t="inlineStr">
        <is>
          <t>09. Bit Manipulation</t>
        </is>
      </c>
      <c r="D214" s="62" t="inlineStr">
        <is>
          <t>XOR tricks</t>
        </is>
      </c>
      <c r="E214" s="62" t="inlineStr">
        <is>
          <t>Hamming Distance</t>
        </is>
      </c>
      <c r="F214" s="62" t="inlineStr">
        <is>
          <t>Easy</t>
        </is>
      </c>
      <c r="G214" s="62" t="inlineStr">
        <is>
          <t>Core</t>
        </is>
      </c>
      <c r="H214" s="62" t="inlineStr">
        <is>
          <t>LeetCode</t>
        </is>
      </c>
      <c r="I214" s="62" t="inlineStr">
        <is>
          <t>https://leetcode.com/problems/hamming-distance/</t>
        </is>
      </c>
      <c r="J214" s="62" t="inlineStr">
        <is>
          <t>Not Started</t>
        </is>
      </c>
      <c r="K214" s="62" t="n"/>
      <c r="L214" s="62" t="n"/>
      <c r="M214" s="68" t="n"/>
      <c r="N214" s="68">
        <f>IF($M214="","",$M214+IF($K214="",Dashboard!$M$9,INDEX(Dashboard!$M$5:$M$9,$K214)))</f>
        <v/>
      </c>
      <c r="O214" s="62">
        <f>IF(OR($J214="Attempted",$J214="Revisit"),"DUE",IF($N214="","",IF($N214&lt;=TODAY(),"DUE","")))</f>
        <v/>
      </c>
      <c r="P214" s="62" t="n"/>
    </row>
    <row r="215" ht="15" customHeight="1" s="32">
      <c r="A215" s="62" t="n">
        <v>214</v>
      </c>
      <c r="B215" s="62" t="inlineStr">
        <is>
          <t>2. Search, Strings &amp; Math - Core</t>
        </is>
      </c>
      <c r="C215" s="62" t="inlineStr">
        <is>
          <t>09. Bit Manipulation</t>
        </is>
      </c>
      <c r="D215" s="62" t="inlineStr">
        <is>
          <t>Bit arithmetic</t>
        </is>
      </c>
      <c r="E215" s="62" t="inlineStr">
        <is>
          <t>Complement of Base 10 Integer</t>
        </is>
      </c>
      <c r="F215" s="62" t="inlineStr">
        <is>
          <t>Easy</t>
        </is>
      </c>
      <c r="G215" s="62" t="inlineStr">
        <is>
          <t>Core</t>
        </is>
      </c>
      <c r="H215" s="62" t="inlineStr">
        <is>
          <t>LeetCode</t>
        </is>
      </c>
      <c r="I215" s="62" t="inlineStr">
        <is>
          <t>https://leetcode.com/problems/complement-of-base-10-integer/</t>
        </is>
      </c>
      <c r="J215" s="62" t="inlineStr">
        <is>
          <t>Not Started</t>
        </is>
      </c>
      <c r="K215" s="62" t="n"/>
      <c r="L215" s="62" t="n"/>
      <c r="M215" s="68" t="n"/>
      <c r="N215" s="68">
        <f>IF($M215="","",$M215+IF($K215="",Dashboard!$M$9,INDEX(Dashboard!$M$5:$M$9,$K215)))</f>
        <v/>
      </c>
      <c r="O215" s="62">
        <f>IF(OR($J215="Attempted",$J215="Revisit"),"DUE",IF($N215="","",IF($N215&lt;=TODAY(),"DUE","")))</f>
        <v/>
      </c>
      <c r="P215" s="62" t="inlineStr">
        <is>
          <t>v3 addition</t>
        </is>
      </c>
    </row>
    <row r="216" ht="15" customHeight="1" s="32">
      <c r="A216" s="62" t="n">
        <v>215</v>
      </c>
      <c r="B216" s="62" t="inlineStr">
        <is>
          <t>2. Search, Strings &amp; Math - Core</t>
        </is>
      </c>
      <c r="C216" s="62" t="inlineStr">
        <is>
          <t>09. Bit Manipulation</t>
        </is>
      </c>
      <c r="D216" s="62" t="inlineStr">
        <is>
          <t>Bit arithmetic</t>
        </is>
      </c>
      <c r="E216" s="62" t="inlineStr">
        <is>
          <t>Number Complement</t>
        </is>
      </c>
      <c r="F216" s="62" t="inlineStr">
        <is>
          <t>Easy</t>
        </is>
      </c>
      <c r="G216" s="62" t="inlineStr">
        <is>
          <t>Core</t>
        </is>
      </c>
      <c r="H216" s="62" t="inlineStr">
        <is>
          <t>LeetCode</t>
        </is>
      </c>
      <c r="I216" s="62" t="inlineStr">
        <is>
          <t>https://leetcode.com/problems/number-complement/</t>
        </is>
      </c>
      <c r="J216" s="62" t="inlineStr">
        <is>
          <t>Not Started</t>
        </is>
      </c>
      <c r="K216" s="62" t="n"/>
      <c r="L216" s="62" t="n"/>
      <c r="M216" s="68" t="n"/>
      <c r="N216" s="68">
        <f>IF($M216="","",$M216+IF($K216="",Dashboard!$M$9,INDEX(Dashboard!$M$5:$M$9,$K216)))</f>
        <v/>
      </c>
      <c r="O216" s="62">
        <f>IF(OR($J216="Attempted",$J216="Revisit"),"DUE",IF($N216="","",IF($N216&lt;=TODAY(),"DUE","")))</f>
        <v/>
      </c>
      <c r="P216" s="62" t="inlineStr">
        <is>
          <t>v3 addition</t>
        </is>
      </c>
    </row>
    <row r="217" ht="15" customHeight="1" s="32">
      <c r="A217" s="62" t="n">
        <v>216</v>
      </c>
      <c r="B217" s="62" t="inlineStr">
        <is>
          <t>2. Search, Strings &amp; Math - Core</t>
        </is>
      </c>
      <c r="C217" s="62" t="inlineStr">
        <is>
          <t>09. Bit Manipulation</t>
        </is>
      </c>
      <c r="D217" s="62" t="inlineStr">
        <is>
          <t>Bit arithmetic</t>
        </is>
      </c>
      <c r="E217" s="62" t="inlineStr">
        <is>
          <t>Sum of Two Integers</t>
        </is>
      </c>
      <c r="F217" s="62" t="inlineStr">
        <is>
          <t>Medium</t>
        </is>
      </c>
      <c r="G217" s="62" t="inlineStr">
        <is>
          <t>Core</t>
        </is>
      </c>
      <c r="H217" s="62" t="inlineStr">
        <is>
          <t>LeetCode</t>
        </is>
      </c>
      <c r="I217" s="62" t="inlineStr">
        <is>
          <t>https://leetcode.com/problems/sum-of-two-integers/</t>
        </is>
      </c>
      <c r="J217" s="62" t="inlineStr">
        <is>
          <t>Not Started</t>
        </is>
      </c>
      <c r="K217" s="62" t="n"/>
      <c r="L217" s="62" t="n"/>
      <c r="M217" s="68" t="n"/>
      <c r="N217" s="68">
        <f>IF($M217="","",$M217+IF($K217="",Dashboard!$M$9,INDEX(Dashboard!$M$5:$M$9,$K217)))</f>
        <v/>
      </c>
      <c r="O217" s="62">
        <f>IF(OR($J217="Attempted",$J217="Revisit"),"DUE",IF($N217="","",IF($N217&lt;=TODAY(),"DUE","")))</f>
        <v/>
      </c>
      <c r="P217" s="62" t="n"/>
    </row>
    <row r="218" ht="15" customHeight="1" s="32">
      <c r="A218" s="62" t="n">
        <v>217</v>
      </c>
      <c r="B218" s="62" t="inlineStr">
        <is>
          <t>2. Search, Strings &amp; Math - Core</t>
        </is>
      </c>
      <c r="C218" s="62" t="inlineStr">
        <is>
          <t>09. Bit Manipulation</t>
        </is>
      </c>
      <c r="D218" s="62" t="inlineStr">
        <is>
          <t>Bit arithmetic</t>
        </is>
      </c>
      <c r="E218" s="62" t="inlineStr">
        <is>
          <t>Divide Two Integers</t>
        </is>
      </c>
      <c r="F218" s="62" t="inlineStr">
        <is>
          <t>Medium</t>
        </is>
      </c>
      <c r="G218" s="62" t="inlineStr">
        <is>
          <t>Core</t>
        </is>
      </c>
      <c r="H218" s="62" t="inlineStr">
        <is>
          <t>LeetCode</t>
        </is>
      </c>
      <c r="I218" s="62" t="inlineStr">
        <is>
          <t>https://leetcode.com/problems/divide-two-integers/</t>
        </is>
      </c>
      <c r="J218" s="62" t="inlineStr">
        <is>
          <t>Not Started</t>
        </is>
      </c>
      <c r="K218" s="62" t="n"/>
      <c r="L218" s="62" t="n"/>
      <c r="M218" s="68" t="n"/>
      <c r="N218" s="68">
        <f>IF($M218="","",$M218+IF($K218="",Dashboard!$M$9,INDEX(Dashboard!$M$5:$M$9,$K218)))</f>
        <v/>
      </c>
      <c r="O218" s="62">
        <f>IF(OR($J218="Attempted",$J218="Revisit"),"DUE",IF($N218="","",IF($N218&lt;=TODAY(),"DUE","")))</f>
        <v/>
      </c>
      <c r="P218" s="62" t="n"/>
    </row>
    <row r="219" ht="15" customHeight="1" s="32">
      <c r="A219" s="62" t="n">
        <v>218</v>
      </c>
      <c r="B219" s="62" t="inlineStr">
        <is>
          <t>2. Search, Strings &amp; Math - Core</t>
        </is>
      </c>
      <c r="C219" s="62" t="inlineStr">
        <is>
          <t>09. Bit Manipulation</t>
        </is>
      </c>
      <c r="D219" s="62" t="inlineStr">
        <is>
          <t>Counting</t>
        </is>
      </c>
      <c r="E219" s="62" t="inlineStr">
        <is>
          <t>Number of Steps to Reduce a Number to Zero</t>
        </is>
      </c>
      <c r="F219" s="62" t="inlineStr">
        <is>
          <t>Easy</t>
        </is>
      </c>
      <c r="G219" s="62" t="inlineStr">
        <is>
          <t>Core</t>
        </is>
      </c>
      <c r="H219" s="62" t="inlineStr">
        <is>
          <t>LeetCode</t>
        </is>
      </c>
      <c r="I219" s="62" t="inlineStr">
        <is>
          <t>https://leetcode.com/problems/number-of-steps-to-reduce-a-number-to-zero/</t>
        </is>
      </c>
      <c r="J219" s="62" t="inlineStr">
        <is>
          <t>Not Started</t>
        </is>
      </c>
      <c r="K219" s="62" t="n"/>
      <c r="L219" s="62" t="n"/>
      <c r="M219" s="68" t="n"/>
      <c r="N219" s="68">
        <f>IF($M219="","",$M219+IF($K219="",Dashboard!$M$9,INDEX(Dashboard!$M$5:$M$9,$K219)))</f>
        <v/>
      </c>
      <c r="O219" s="62">
        <f>IF(OR($J219="Attempted",$J219="Revisit"),"DUE",IF($N219="","",IF($N219&lt;=TODAY(),"DUE","")))</f>
        <v/>
      </c>
      <c r="P219" s="62" t="inlineStr">
        <is>
          <t>v3 addition</t>
        </is>
      </c>
    </row>
    <row r="220" ht="15" customHeight="1" s="32">
      <c r="A220" s="62" t="n">
        <v>219</v>
      </c>
      <c r="B220" s="62" t="inlineStr">
        <is>
          <t>2. Search, Strings &amp; Math - Core</t>
        </is>
      </c>
      <c r="C220" s="62" t="inlineStr">
        <is>
          <t>09. Bit Manipulation</t>
        </is>
      </c>
      <c r="D220" s="62" t="inlineStr">
        <is>
          <t>Counting</t>
        </is>
      </c>
      <c r="E220" s="62" t="inlineStr">
        <is>
          <t>Sort Integers by The Number of 1 Bits</t>
        </is>
      </c>
      <c r="F220" s="62" t="inlineStr">
        <is>
          <t>Easy</t>
        </is>
      </c>
      <c r="G220" s="62" t="inlineStr">
        <is>
          <t>Core</t>
        </is>
      </c>
      <c r="H220" s="62" t="inlineStr">
        <is>
          <t>LeetCode</t>
        </is>
      </c>
      <c r="I220" s="62" t="inlineStr">
        <is>
          <t>https://leetcode.com/problems/sort-integers-by-the-number-of-1-bits/</t>
        </is>
      </c>
      <c r="J220" s="62" t="inlineStr">
        <is>
          <t>Not Started</t>
        </is>
      </c>
      <c r="K220" s="62" t="n"/>
      <c r="L220" s="62" t="n"/>
      <c r="M220" s="68" t="n"/>
      <c r="N220" s="68">
        <f>IF($M220="","",$M220+IF($K220="",Dashboard!$M$9,INDEX(Dashboard!$M$5:$M$9,$K220)))</f>
        <v/>
      </c>
      <c r="O220" s="62">
        <f>IF(OR($J220="Attempted",$J220="Revisit"),"DUE",IF($N220="","",IF($N220&lt;=TODAY(),"DUE","")))</f>
        <v/>
      </c>
      <c r="P220" s="62" t="n"/>
    </row>
    <row r="221" ht="15" customHeight="1" s="32">
      <c r="A221" s="62" t="n">
        <v>220</v>
      </c>
      <c r="B221" s="62" t="inlineStr">
        <is>
          <t>2. Search, Strings &amp; Math - Core</t>
        </is>
      </c>
      <c r="C221" s="62" t="inlineStr">
        <is>
          <t>09. Bit Manipulation</t>
        </is>
      </c>
      <c r="D221" s="62" t="inlineStr">
        <is>
          <t>Counting</t>
        </is>
      </c>
      <c r="E221" s="62" t="inlineStr">
        <is>
          <t>Prime Number of Set Bits in Binary Representation</t>
        </is>
      </c>
      <c r="F221" s="62" t="inlineStr">
        <is>
          <t>Easy</t>
        </is>
      </c>
      <c r="G221" s="62" t="inlineStr">
        <is>
          <t>Core</t>
        </is>
      </c>
      <c r="H221" s="62" t="inlineStr">
        <is>
          <t>LeetCode</t>
        </is>
      </c>
      <c r="I221" s="62" t="inlineStr">
        <is>
          <t>https://leetcode.com/problems/prime-number-of-set-bits-in-binary-representation/</t>
        </is>
      </c>
      <c r="J221" s="62" t="inlineStr">
        <is>
          <t>Not Started</t>
        </is>
      </c>
      <c r="K221" s="62" t="n"/>
      <c r="L221" s="62" t="n"/>
      <c r="M221" s="68" t="n"/>
      <c r="N221" s="68">
        <f>IF($M221="","",$M221+IF($K221="",Dashboard!$M$9,INDEX(Dashboard!$M$5:$M$9,$K221)))</f>
        <v/>
      </c>
      <c r="O221" s="62">
        <f>IF(OR($J221="Attempted",$J221="Revisit"),"DUE",IF($N221="","",IF($N221&lt;=TODAY(),"DUE","")))</f>
        <v/>
      </c>
      <c r="P221" s="62" t="n"/>
    </row>
    <row r="222" ht="15" customHeight="1" s="32">
      <c r="A222" s="62" t="n">
        <v>221</v>
      </c>
      <c r="B222" s="62" t="inlineStr">
        <is>
          <t>2. Search, Strings &amp; Math - Core</t>
        </is>
      </c>
      <c r="C222" s="62" t="inlineStr">
        <is>
          <t>09. Bit Manipulation</t>
        </is>
      </c>
      <c r="D222" s="62" t="inlineStr">
        <is>
          <t>Counting</t>
        </is>
      </c>
      <c r="E222" s="62" t="inlineStr">
        <is>
          <t>Count Total Set Bits from 1 to N</t>
        </is>
      </c>
      <c r="F222" s="62" t="inlineStr">
        <is>
          <t>Medium</t>
        </is>
      </c>
      <c r="G222" s="62" t="inlineStr">
        <is>
          <t>Core</t>
        </is>
      </c>
      <c r="H222" s="62" t="inlineStr">
        <is>
          <t>GeeksforGeeks</t>
        </is>
      </c>
      <c r="I222" s="62" t="inlineStr">
        <is>
          <t>https://www.geeksforgeeks.org/problems/count-total-set-bits-1587115620/1</t>
        </is>
      </c>
      <c r="J222" s="62" t="inlineStr">
        <is>
          <t>Not Started</t>
        </is>
      </c>
      <c r="K222" s="62" t="n"/>
      <c r="L222" s="62" t="n"/>
      <c r="M222" s="68" t="n"/>
      <c r="N222" s="68">
        <f>IF($M222="","",$M222+IF($K222="",Dashboard!$M$9,INDEX(Dashboard!$M$5:$M$9,$K222)))</f>
        <v/>
      </c>
      <c r="O222" s="62">
        <f>IF(OR($J222="Attempted",$J222="Revisit"),"DUE",IF($N222="","",IF($N222&lt;=TODAY(),"DUE","")))</f>
        <v/>
      </c>
      <c r="P222" s="62" t="inlineStr">
        <is>
          <t>v3 addition</t>
        </is>
      </c>
    </row>
    <row r="223" ht="15" customHeight="1" s="32">
      <c r="A223" s="62" t="n">
        <v>222</v>
      </c>
      <c r="B223" s="62" t="inlineStr">
        <is>
          <t>2. Search, Strings &amp; Math - Core</t>
        </is>
      </c>
      <c r="C223" s="62" t="inlineStr">
        <is>
          <t>09. Bit Manipulation</t>
        </is>
      </c>
      <c r="D223" s="62" t="inlineStr">
        <is>
          <t>Bitmask</t>
        </is>
      </c>
      <c r="E223" s="62" t="inlineStr">
        <is>
          <t>Maximum Product of Word Lengths</t>
        </is>
      </c>
      <c r="F223" s="62" t="inlineStr">
        <is>
          <t>Medium</t>
        </is>
      </c>
      <c r="G223" s="62" t="inlineStr">
        <is>
          <t>Core</t>
        </is>
      </c>
      <c r="H223" s="62" t="inlineStr">
        <is>
          <t>LeetCode</t>
        </is>
      </c>
      <c r="I223" s="62" t="inlineStr">
        <is>
          <t>https://leetcode.com/problems/maximum-product-of-word-lengths/</t>
        </is>
      </c>
      <c r="J223" s="62" t="inlineStr">
        <is>
          <t>Not Started</t>
        </is>
      </c>
      <c r="K223" s="62" t="n"/>
      <c r="L223" s="62" t="n"/>
      <c r="M223" s="68" t="n"/>
      <c r="N223" s="68">
        <f>IF($M223="","",$M223+IF($K223="",Dashboard!$M$9,INDEX(Dashboard!$M$5:$M$9,$K223)))</f>
        <v/>
      </c>
      <c r="O223" s="62">
        <f>IF(OR($J223="Attempted",$J223="Revisit"),"DUE",IF($N223="","",IF($N223&lt;=TODAY(),"DUE","")))</f>
        <v/>
      </c>
      <c r="P223" s="62" t="inlineStr">
        <is>
          <t>v3 addition</t>
        </is>
      </c>
    </row>
    <row r="224" ht="15" customHeight="1" s="32">
      <c r="A224" s="62" t="n">
        <v>223</v>
      </c>
      <c r="B224" s="62" t="inlineStr">
        <is>
          <t>2. Search, Strings &amp; Math - Core</t>
        </is>
      </c>
      <c r="C224" s="62" t="inlineStr">
        <is>
          <t>09. Bit Manipulation</t>
        </is>
      </c>
      <c r="D224" s="62" t="inlineStr">
        <is>
          <t>Bitmask</t>
        </is>
      </c>
      <c r="E224" s="62" t="inlineStr">
        <is>
          <t>Gray Code</t>
        </is>
      </c>
      <c r="F224" s="62" t="inlineStr">
        <is>
          <t>Medium</t>
        </is>
      </c>
      <c r="G224" s="62" t="inlineStr">
        <is>
          <t>Core</t>
        </is>
      </c>
      <c r="H224" s="62" t="inlineStr">
        <is>
          <t>LeetCode</t>
        </is>
      </c>
      <c r="I224" s="62" t="inlineStr">
        <is>
          <t>https://leetcode.com/problems/gray-code/</t>
        </is>
      </c>
      <c r="J224" s="62" t="inlineStr">
        <is>
          <t>Not Started</t>
        </is>
      </c>
      <c r="K224" s="62" t="n"/>
      <c r="L224" s="62" t="n"/>
      <c r="M224" s="68" t="n"/>
      <c r="N224" s="68">
        <f>IF($M224="","",$M224+IF($K224="",Dashboard!$M$9,INDEX(Dashboard!$M$5:$M$9,$K224)))</f>
        <v/>
      </c>
      <c r="O224" s="62">
        <f>IF(OR($J224="Attempted",$J224="Revisit"),"DUE",IF($N224="","",IF($N224&lt;=TODAY(),"DUE","")))</f>
        <v/>
      </c>
      <c r="P224" s="62" t="inlineStr">
        <is>
          <t>v3 addition</t>
        </is>
      </c>
    </row>
    <row r="225" ht="15" customHeight="1" s="32">
      <c r="A225" s="62" t="n">
        <v>224</v>
      </c>
      <c r="B225" s="62" t="inlineStr">
        <is>
          <t>2. Search, Strings &amp; Math - Core</t>
        </is>
      </c>
      <c r="C225" s="62" t="inlineStr">
        <is>
          <t>10. Math &amp; Number Theory</t>
        </is>
      </c>
      <c r="D225" s="62" t="inlineStr">
        <is>
          <t>Digits</t>
        </is>
      </c>
      <c r="E225" s="62" t="inlineStr">
        <is>
          <t>Palindrome Number</t>
        </is>
      </c>
      <c r="F225" s="62" t="inlineStr">
        <is>
          <t>Easy</t>
        </is>
      </c>
      <c r="G225" s="62" t="inlineStr">
        <is>
          <t>Core</t>
        </is>
      </c>
      <c r="H225" s="62" t="inlineStr">
        <is>
          <t>LeetCode</t>
        </is>
      </c>
      <c r="I225" s="62" t="inlineStr">
        <is>
          <t>https://leetcode.com/problems/palindrome-number/</t>
        </is>
      </c>
      <c r="J225" s="62" t="inlineStr">
        <is>
          <t>Not Started</t>
        </is>
      </c>
      <c r="K225" s="62" t="n"/>
      <c r="L225" s="62" t="n"/>
      <c r="M225" s="68" t="n"/>
      <c r="N225" s="68">
        <f>IF($M225="","",$M225+IF($K225="",Dashboard!$M$9,INDEX(Dashboard!$M$5:$M$9,$K225)))</f>
        <v/>
      </c>
      <c r="O225" s="62">
        <f>IF(OR($J225="Attempted",$J225="Revisit"),"DUE",IF($N225="","",IF($N225&lt;=TODAY(),"DUE","")))</f>
        <v/>
      </c>
      <c r="P225" s="62" t="inlineStr">
        <is>
          <t>v3 addition</t>
        </is>
      </c>
    </row>
    <row r="226" ht="15" customHeight="1" s="32">
      <c r="A226" s="62" t="n">
        <v>225</v>
      </c>
      <c r="B226" s="62" t="inlineStr">
        <is>
          <t>2. Search, Strings &amp; Math - Core</t>
        </is>
      </c>
      <c r="C226" s="62" t="inlineStr">
        <is>
          <t>10. Math &amp; Number Theory</t>
        </is>
      </c>
      <c r="D226" s="62" t="inlineStr">
        <is>
          <t>Digits</t>
        </is>
      </c>
      <c r="E226" s="62" t="inlineStr">
        <is>
          <t>Add Digits</t>
        </is>
      </c>
      <c r="F226" s="62" t="inlineStr">
        <is>
          <t>Easy</t>
        </is>
      </c>
      <c r="G226" s="62" t="inlineStr">
        <is>
          <t>Core</t>
        </is>
      </c>
      <c r="H226" s="62" t="inlineStr">
        <is>
          <t>LeetCode</t>
        </is>
      </c>
      <c r="I226" s="62" t="inlineStr">
        <is>
          <t>https://leetcode.com/problems/add-digits/</t>
        </is>
      </c>
      <c r="J226" s="62" t="inlineStr">
        <is>
          <t>Not Started</t>
        </is>
      </c>
      <c r="K226" s="62" t="n"/>
      <c r="L226" s="62" t="n"/>
      <c r="M226" s="68" t="n"/>
      <c r="N226" s="68">
        <f>IF($M226="","",$M226+IF($K226="",Dashboard!$M$9,INDEX(Dashboard!$M$5:$M$9,$K226)))</f>
        <v/>
      </c>
      <c r="O226" s="62">
        <f>IF(OR($J226="Attempted",$J226="Revisit"),"DUE",IF($N226="","",IF($N226&lt;=TODAY(),"DUE","")))</f>
        <v/>
      </c>
      <c r="P226" s="62" t="inlineStr">
        <is>
          <t>v3 addition</t>
        </is>
      </c>
    </row>
    <row r="227" ht="15" customHeight="1" s="32">
      <c r="A227" s="62" t="n">
        <v>226</v>
      </c>
      <c r="B227" s="62" t="inlineStr">
        <is>
          <t>2. Search, Strings &amp; Math - Core</t>
        </is>
      </c>
      <c r="C227" s="62" t="inlineStr">
        <is>
          <t>10. Math &amp; Number Theory</t>
        </is>
      </c>
      <c r="D227" s="62" t="inlineStr">
        <is>
          <t>Digits</t>
        </is>
      </c>
      <c r="E227" s="62" t="inlineStr">
        <is>
          <t>Self Dividing Numbers</t>
        </is>
      </c>
      <c r="F227" s="62" t="inlineStr">
        <is>
          <t>Easy</t>
        </is>
      </c>
      <c r="G227" s="62" t="inlineStr">
        <is>
          <t>Core</t>
        </is>
      </c>
      <c r="H227" s="62" t="inlineStr">
        <is>
          <t>LeetCode</t>
        </is>
      </c>
      <c r="I227" s="62" t="inlineStr">
        <is>
          <t>https://leetcode.com/problems/self-dividing-numbers/</t>
        </is>
      </c>
      <c r="J227" s="62" t="inlineStr">
        <is>
          <t>Not Started</t>
        </is>
      </c>
      <c r="K227" s="62" t="n"/>
      <c r="L227" s="62" t="n"/>
      <c r="M227" s="68" t="n"/>
      <c r="N227" s="68">
        <f>IF($M227="","",$M227+IF($K227="",Dashboard!$M$9,INDEX(Dashboard!$M$5:$M$9,$K227)))</f>
        <v/>
      </c>
      <c r="O227" s="62">
        <f>IF(OR($J227="Attempted",$J227="Revisit"),"DUE",IF($N227="","",IF($N227&lt;=TODAY(),"DUE","")))</f>
        <v/>
      </c>
      <c r="P227" s="62" t="inlineStr">
        <is>
          <t>v3 addition</t>
        </is>
      </c>
    </row>
    <row r="228" ht="15" customHeight="1" s="32">
      <c r="A228" s="62" t="n">
        <v>227</v>
      </c>
      <c r="B228" s="62" t="inlineStr">
        <is>
          <t>2. Search, Strings &amp; Math - Core</t>
        </is>
      </c>
      <c r="C228" s="62" t="inlineStr">
        <is>
          <t>10. Math &amp; Number Theory</t>
        </is>
      </c>
      <c r="D228" s="62" t="inlineStr">
        <is>
          <t>GCD/LCM</t>
        </is>
      </c>
      <c r="E228" s="62" t="inlineStr">
        <is>
          <t>GCD using Euclidean Algorithm</t>
        </is>
      </c>
      <c r="F228" s="62" t="inlineStr">
        <is>
          <t>Easy</t>
        </is>
      </c>
      <c r="G228" s="62" t="inlineStr">
        <is>
          <t>Core</t>
        </is>
      </c>
      <c r="H228" s="62" t="inlineStr">
        <is>
          <t>GeeksforGeeks</t>
        </is>
      </c>
      <c r="I228" s="62" t="inlineStr">
        <is>
          <t>https://www.geeksforgeeks.org/problems/gcd-of-two-numbers3459/1</t>
        </is>
      </c>
      <c r="J228" s="62" t="inlineStr">
        <is>
          <t>Not Started</t>
        </is>
      </c>
      <c r="K228" s="62" t="n"/>
      <c r="L228" s="62" t="n"/>
      <c r="M228" s="68" t="n"/>
      <c r="N228" s="68">
        <f>IF($M228="","",$M228+IF($K228="",Dashboard!$M$9,INDEX(Dashboard!$M$5:$M$9,$K228)))</f>
        <v/>
      </c>
      <c r="O228" s="62">
        <f>IF(OR($J228="Attempted",$J228="Revisit"),"DUE",IF($N228="","",IF($N228&lt;=TODAY(),"DUE","")))</f>
        <v/>
      </c>
      <c r="P228" s="62" t="inlineStr">
        <is>
          <t>v3 addition</t>
        </is>
      </c>
    </row>
    <row r="229" ht="15" customHeight="1" s="32">
      <c r="A229" s="62" t="n">
        <v>228</v>
      </c>
      <c r="B229" s="62" t="inlineStr">
        <is>
          <t>2. Search, Strings &amp; Math - Core</t>
        </is>
      </c>
      <c r="C229" s="62" t="inlineStr">
        <is>
          <t>10. Math &amp; Number Theory</t>
        </is>
      </c>
      <c r="D229" s="62" t="inlineStr">
        <is>
          <t>GCD/LCM</t>
        </is>
      </c>
      <c r="E229" s="62" t="inlineStr">
        <is>
          <t>LCM and GCD</t>
        </is>
      </c>
      <c r="F229" s="62" t="inlineStr">
        <is>
          <t>Easy</t>
        </is>
      </c>
      <c r="G229" s="62" t="inlineStr">
        <is>
          <t>Core</t>
        </is>
      </c>
      <c r="H229" s="62" t="inlineStr">
        <is>
          <t>GeeksforGeeks</t>
        </is>
      </c>
      <c r="I229" s="62" t="inlineStr">
        <is>
          <t>https://www.geeksforgeeks.org/problems/lcm-and-gcd4516/1</t>
        </is>
      </c>
      <c r="J229" s="62" t="inlineStr">
        <is>
          <t>Not Started</t>
        </is>
      </c>
      <c r="K229" s="62" t="n"/>
      <c r="L229" s="62" t="n"/>
      <c r="M229" s="68" t="n"/>
      <c r="N229" s="68">
        <f>IF($M229="","",$M229+IF($K229="",Dashboard!$M$9,INDEX(Dashboard!$M$5:$M$9,$K229)))</f>
        <v/>
      </c>
      <c r="O229" s="62">
        <f>IF(OR($J229="Attempted",$J229="Revisit"),"DUE",IF($N229="","",IF($N229&lt;=TODAY(),"DUE","")))</f>
        <v/>
      </c>
      <c r="P229" s="62" t="n"/>
    </row>
    <row r="230" ht="15" customHeight="1" s="32">
      <c r="A230" s="62" t="n">
        <v>229</v>
      </c>
      <c r="B230" s="62" t="inlineStr">
        <is>
          <t>2. Search, Strings &amp; Math - Core</t>
        </is>
      </c>
      <c r="C230" s="62" t="inlineStr">
        <is>
          <t>10. Math &amp; Number Theory</t>
        </is>
      </c>
      <c r="D230" s="62" t="inlineStr">
        <is>
          <t>GCD/LCM</t>
        </is>
      </c>
      <c r="E230" s="62" t="inlineStr">
        <is>
          <t>Find Greatest Common Divisor of Array</t>
        </is>
      </c>
      <c r="F230" s="62" t="inlineStr">
        <is>
          <t>Easy</t>
        </is>
      </c>
      <c r="G230" s="62" t="inlineStr">
        <is>
          <t>Core</t>
        </is>
      </c>
      <c r="H230" s="62" t="inlineStr">
        <is>
          <t>LeetCode</t>
        </is>
      </c>
      <c r="I230" s="62" t="inlineStr">
        <is>
          <t>https://leetcode.com/problems/find-greatest-common-divisor-of-array/</t>
        </is>
      </c>
      <c r="J230" s="62" t="inlineStr">
        <is>
          <t>Not Started</t>
        </is>
      </c>
      <c r="K230" s="62" t="n"/>
      <c r="L230" s="62" t="n"/>
      <c r="M230" s="68" t="n"/>
      <c r="N230" s="68">
        <f>IF($M230="","",$M230+IF($K230="",Dashboard!$M$9,INDEX(Dashboard!$M$5:$M$9,$K230)))</f>
        <v/>
      </c>
      <c r="O230" s="62">
        <f>IF(OR($J230="Attempted",$J230="Revisit"),"DUE",IF($N230="","",IF($N230&lt;=TODAY(),"DUE","")))</f>
        <v/>
      </c>
      <c r="P230" s="62" t="n"/>
    </row>
    <row r="231" ht="15" customHeight="1" s="32">
      <c r="A231" s="62" t="n">
        <v>230</v>
      </c>
      <c r="B231" s="62" t="inlineStr">
        <is>
          <t>2. Search, Strings &amp; Math - Core</t>
        </is>
      </c>
      <c r="C231" s="62" t="inlineStr">
        <is>
          <t>10. Math &amp; Number Theory</t>
        </is>
      </c>
      <c r="D231" s="62" t="inlineStr">
        <is>
          <t>Base conversion</t>
        </is>
      </c>
      <c r="E231" s="62" t="inlineStr">
        <is>
          <t>Excel Sheet Column Title</t>
        </is>
      </c>
      <c r="F231" s="62" t="inlineStr">
        <is>
          <t>Easy</t>
        </is>
      </c>
      <c r="G231" s="62" t="inlineStr">
        <is>
          <t>Core</t>
        </is>
      </c>
      <c r="H231" s="62" t="inlineStr">
        <is>
          <t>LeetCode</t>
        </is>
      </c>
      <c r="I231" s="62" t="inlineStr">
        <is>
          <t>https://leetcode.com/problems/excel-sheet-column-title/</t>
        </is>
      </c>
      <c r="J231" s="62" t="inlineStr">
        <is>
          <t>Not Started</t>
        </is>
      </c>
      <c r="K231" s="62" t="n"/>
      <c r="L231" s="62" t="n"/>
      <c r="M231" s="68" t="n"/>
      <c r="N231" s="68">
        <f>IF($M231="","",$M231+IF($K231="",Dashboard!$M$9,INDEX(Dashboard!$M$5:$M$9,$K231)))</f>
        <v/>
      </c>
      <c r="O231" s="62">
        <f>IF(OR($J231="Attempted",$J231="Revisit"),"DUE",IF($N231="","",IF($N231&lt;=TODAY(),"DUE","")))</f>
        <v/>
      </c>
      <c r="P231" s="62" t="n"/>
    </row>
    <row r="232" ht="15" customHeight="1" s="32">
      <c r="A232" s="62" t="n">
        <v>231</v>
      </c>
      <c r="B232" s="62" t="inlineStr">
        <is>
          <t>2. Search, Strings &amp; Math - Core</t>
        </is>
      </c>
      <c r="C232" s="62" t="inlineStr">
        <is>
          <t>10. Math &amp; Number Theory</t>
        </is>
      </c>
      <c r="D232" s="62" t="inlineStr">
        <is>
          <t>Base conversion</t>
        </is>
      </c>
      <c r="E232" s="62" t="inlineStr">
        <is>
          <t>Excel Sheet Column Number</t>
        </is>
      </c>
      <c r="F232" s="62" t="inlineStr">
        <is>
          <t>Easy</t>
        </is>
      </c>
      <c r="G232" s="62" t="inlineStr">
        <is>
          <t>Core</t>
        </is>
      </c>
      <c r="H232" s="62" t="inlineStr">
        <is>
          <t>LeetCode</t>
        </is>
      </c>
      <c r="I232" s="62" t="inlineStr">
        <is>
          <t>https://leetcode.com/problems/excel-sheet-column-number/</t>
        </is>
      </c>
      <c r="J232" s="62" t="inlineStr">
        <is>
          <t>Not Started</t>
        </is>
      </c>
      <c r="K232" s="62" t="n"/>
      <c r="L232" s="62" t="n"/>
      <c r="M232" s="68" t="n"/>
      <c r="N232" s="68">
        <f>IF($M232="","",$M232+IF($K232="",Dashboard!$M$9,INDEX(Dashboard!$M$5:$M$9,$K232)))</f>
        <v/>
      </c>
      <c r="O232" s="62">
        <f>IF(OR($J232="Attempted",$J232="Revisit"),"DUE",IF($N232="","",IF($N232&lt;=TODAY(),"DUE","")))</f>
        <v/>
      </c>
      <c r="P232" s="62" t="n"/>
    </row>
    <row r="233" ht="15" customHeight="1" s="32">
      <c r="A233" s="62" t="n">
        <v>232</v>
      </c>
      <c r="B233" s="62" t="inlineStr">
        <is>
          <t>2. Search, Strings &amp; Math - Core</t>
        </is>
      </c>
      <c r="C233" s="62" t="inlineStr">
        <is>
          <t>10. Math &amp; Number Theory</t>
        </is>
      </c>
      <c r="D233" s="62" t="inlineStr">
        <is>
          <t>Base conversion</t>
        </is>
      </c>
      <c r="E233" s="62" t="inlineStr">
        <is>
          <t>Base 7</t>
        </is>
      </c>
      <c r="F233" s="62" t="inlineStr">
        <is>
          <t>Easy</t>
        </is>
      </c>
      <c r="G233" s="62" t="inlineStr">
        <is>
          <t>Core</t>
        </is>
      </c>
      <c r="H233" s="62" t="inlineStr">
        <is>
          <t>LeetCode</t>
        </is>
      </c>
      <c r="I233" s="62" t="inlineStr">
        <is>
          <t>https://leetcode.com/problems/base-7/</t>
        </is>
      </c>
      <c r="J233" s="62" t="inlineStr">
        <is>
          <t>Not Started</t>
        </is>
      </c>
      <c r="K233" s="62" t="n"/>
      <c r="L233" s="62" t="n"/>
      <c r="M233" s="68" t="n"/>
      <c r="N233" s="68">
        <f>IF($M233="","",$M233+IF($K233="",Dashboard!$M$9,INDEX(Dashboard!$M$5:$M$9,$K233)))</f>
        <v/>
      </c>
      <c r="O233" s="62">
        <f>IF(OR($J233="Attempted",$J233="Revisit"),"DUE",IF($N233="","",IF($N233&lt;=TODAY(),"DUE","")))</f>
        <v/>
      </c>
      <c r="P233" s="62" t="n"/>
    </row>
    <row r="234" ht="15" customHeight="1" s="32">
      <c r="A234" s="62" t="n">
        <v>233</v>
      </c>
      <c r="B234" s="62" t="inlineStr">
        <is>
          <t>2. Search, Strings &amp; Math - Core</t>
        </is>
      </c>
      <c r="C234" s="62" t="inlineStr">
        <is>
          <t>10. Math &amp; Number Theory</t>
        </is>
      </c>
      <c r="D234" s="62" t="inlineStr">
        <is>
          <t>Base conversion</t>
        </is>
      </c>
      <c r="E234" s="62" t="inlineStr">
        <is>
          <t>Convert a Number to Hexadecimal</t>
        </is>
      </c>
      <c r="F234" s="62" t="inlineStr">
        <is>
          <t>Easy</t>
        </is>
      </c>
      <c r="G234" s="62" t="inlineStr">
        <is>
          <t>Core</t>
        </is>
      </c>
      <c r="H234" s="62" t="inlineStr">
        <is>
          <t>LeetCode</t>
        </is>
      </c>
      <c r="I234" s="62" t="inlineStr">
        <is>
          <t>https://leetcode.com/problems/convert-a-number-to-hexadecimal/</t>
        </is>
      </c>
      <c r="J234" s="62" t="inlineStr">
        <is>
          <t>Not Started</t>
        </is>
      </c>
      <c r="K234" s="62" t="n"/>
      <c r="L234" s="62" t="n"/>
      <c r="M234" s="68" t="n"/>
      <c r="N234" s="68">
        <f>IF($M234="","",$M234+IF($K234="",Dashboard!$M$9,INDEX(Dashboard!$M$5:$M$9,$K234)))</f>
        <v/>
      </c>
      <c r="O234" s="62">
        <f>IF(OR($J234="Attempted",$J234="Revisit"),"DUE",IF($N234="","",IF($N234&lt;=TODAY(),"DUE","")))</f>
        <v/>
      </c>
      <c r="P234" s="62" t="n"/>
    </row>
    <row r="235" ht="15" customHeight="1" s="32">
      <c r="A235" s="62" t="n">
        <v>234</v>
      </c>
      <c r="B235" s="62" t="inlineStr">
        <is>
          <t>2. Search, Strings &amp; Math - Core</t>
        </is>
      </c>
      <c r="C235" s="62" t="inlineStr">
        <is>
          <t>10. Math &amp; Number Theory</t>
        </is>
      </c>
      <c r="D235" s="62" t="inlineStr">
        <is>
          <t>Primes</t>
        </is>
      </c>
      <c r="E235" s="62" t="inlineStr">
        <is>
          <t>Sieve of Eratosthenes</t>
        </is>
      </c>
      <c r="F235" s="62" t="inlineStr">
        <is>
          <t>Medium</t>
        </is>
      </c>
      <c r="G235" s="62" t="inlineStr">
        <is>
          <t>Core</t>
        </is>
      </c>
      <c r="H235" s="62" t="inlineStr">
        <is>
          <t>GeeksforGeeks</t>
        </is>
      </c>
      <c r="I235" s="62" t="inlineStr">
        <is>
          <t>https://www.geeksforgeeks.org/problems/sieve-of-eratosthenes5242/1</t>
        </is>
      </c>
      <c r="J235" s="62" t="inlineStr">
        <is>
          <t>Not Started</t>
        </is>
      </c>
      <c r="K235" s="62" t="n"/>
      <c r="L235" s="62" t="n"/>
      <c r="M235" s="68" t="n"/>
      <c r="N235" s="68">
        <f>IF($M235="","",$M235+IF($K235="",Dashboard!$M$9,INDEX(Dashboard!$M$5:$M$9,$K235)))</f>
        <v/>
      </c>
      <c r="O235" s="62">
        <f>IF(OR($J235="Attempted",$J235="Revisit"),"DUE",IF($N235="","",IF($N235&lt;=TODAY(),"DUE","")))</f>
        <v/>
      </c>
      <c r="P235" s="62" t="n"/>
    </row>
    <row r="236" ht="15" customHeight="1" s="32">
      <c r="A236" s="62" t="n">
        <v>235</v>
      </c>
      <c r="B236" s="62" t="inlineStr">
        <is>
          <t>2. Search, Strings &amp; Math - Core</t>
        </is>
      </c>
      <c r="C236" s="62" t="inlineStr">
        <is>
          <t>10. Math &amp; Number Theory</t>
        </is>
      </c>
      <c r="D236" s="62" t="inlineStr">
        <is>
          <t>Primes</t>
        </is>
      </c>
      <c r="E236" s="62" t="inlineStr">
        <is>
          <t>Count Primes</t>
        </is>
      </c>
      <c r="F236" s="62" t="inlineStr">
        <is>
          <t>Medium</t>
        </is>
      </c>
      <c r="G236" s="62" t="inlineStr">
        <is>
          <t>Core</t>
        </is>
      </c>
      <c r="H236" s="62" t="inlineStr">
        <is>
          <t>LeetCode</t>
        </is>
      </c>
      <c r="I236" s="62" t="inlineStr">
        <is>
          <t>https://leetcode.com/problems/count-primes/</t>
        </is>
      </c>
      <c r="J236" s="62" t="inlineStr">
        <is>
          <t>Not Started</t>
        </is>
      </c>
      <c r="K236" s="62" t="n"/>
      <c r="L236" s="62" t="n"/>
      <c r="M236" s="68" t="n"/>
      <c r="N236" s="68">
        <f>IF($M236="","",$M236+IF($K236="",Dashboard!$M$9,INDEX(Dashboard!$M$5:$M$9,$K236)))</f>
        <v/>
      </c>
      <c r="O236" s="62">
        <f>IF(OR($J236="Attempted",$J236="Revisit"),"DUE",IF($N236="","",IF($N236&lt;=TODAY(),"DUE","")))</f>
        <v/>
      </c>
      <c r="P236" s="62" t="n"/>
    </row>
    <row r="237" ht="15" customHeight="1" s="32">
      <c r="A237" s="62" t="n">
        <v>236</v>
      </c>
      <c r="B237" s="62" t="inlineStr">
        <is>
          <t>2. Search, Strings &amp; Math - Core</t>
        </is>
      </c>
      <c r="C237" s="62" t="inlineStr">
        <is>
          <t>10. Math &amp; Number Theory</t>
        </is>
      </c>
      <c r="D237" s="62" t="inlineStr">
        <is>
          <t>Sequences</t>
        </is>
      </c>
      <c r="E237" s="62" t="inlineStr">
        <is>
          <t>Ugly Number</t>
        </is>
      </c>
      <c r="F237" s="62" t="inlineStr">
        <is>
          <t>Easy</t>
        </is>
      </c>
      <c r="G237" s="62" t="inlineStr">
        <is>
          <t>Core</t>
        </is>
      </c>
      <c r="H237" s="62" t="inlineStr">
        <is>
          <t>LeetCode</t>
        </is>
      </c>
      <c r="I237" s="62" t="inlineStr">
        <is>
          <t>https://leetcode.com/problems/ugly-number/</t>
        </is>
      </c>
      <c r="J237" s="62" t="inlineStr">
        <is>
          <t>Not Started</t>
        </is>
      </c>
      <c r="K237" s="62" t="n"/>
      <c r="L237" s="62" t="n"/>
      <c r="M237" s="68" t="n"/>
      <c r="N237" s="68">
        <f>IF($M237="","",$M237+IF($K237="",Dashboard!$M$9,INDEX(Dashboard!$M$5:$M$9,$K237)))</f>
        <v/>
      </c>
      <c r="O237" s="62">
        <f>IF(OR($J237="Attempted",$J237="Revisit"),"DUE",IF($N237="","",IF($N237&lt;=TODAY(),"DUE","")))</f>
        <v/>
      </c>
      <c r="P237" s="62" t="n"/>
    </row>
    <row r="238" ht="15" customHeight="1" s="32">
      <c r="A238" s="62" t="n">
        <v>237</v>
      </c>
      <c r="B238" s="62" t="inlineStr">
        <is>
          <t>2. Search, Strings &amp; Math - Core</t>
        </is>
      </c>
      <c r="C238" s="62" t="inlineStr">
        <is>
          <t>10. Math &amp; Number Theory</t>
        </is>
      </c>
      <c r="D238" s="62" t="inlineStr">
        <is>
          <t>Sequences</t>
        </is>
      </c>
      <c r="E238" s="62" t="inlineStr">
        <is>
          <t>Nth Tribonacci Number</t>
        </is>
      </c>
      <c r="F238" s="62" t="inlineStr">
        <is>
          <t>Easy</t>
        </is>
      </c>
      <c r="G238" s="62" t="inlineStr">
        <is>
          <t>Core</t>
        </is>
      </c>
      <c r="H238" s="62" t="inlineStr">
        <is>
          <t>LeetCode</t>
        </is>
      </c>
      <c r="I238" s="62" t="inlineStr">
        <is>
          <t>https://leetcode.com/problems/n-th-tribonacci-number/</t>
        </is>
      </c>
      <c r="J238" s="62" t="inlineStr">
        <is>
          <t>Not Started</t>
        </is>
      </c>
      <c r="K238" s="62" t="n"/>
      <c r="L238" s="62" t="n"/>
      <c r="M238" s="68" t="n"/>
      <c r="N238" s="68">
        <f>IF($M238="","",$M238+IF($K238="",Dashboard!$M$9,INDEX(Dashboard!$M$5:$M$9,$K238)))</f>
        <v/>
      </c>
      <c r="O238" s="62">
        <f>IF(OR($J238="Attempted",$J238="Revisit"),"DUE",IF($N238="","",IF($N238&lt;=TODAY(),"DUE","")))</f>
        <v/>
      </c>
      <c r="P238" s="62" t="n"/>
    </row>
    <row r="239" ht="15" customHeight="1" s="32">
      <c r="A239" s="62" t="n">
        <v>238</v>
      </c>
      <c r="B239" s="62" t="inlineStr">
        <is>
          <t>2. Search, Strings &amp; Math - Core</t>
        </is>
      </c>
      <c r="C239" s="62" t="inlineStr">
        <is>
          <t>10. Math &amp; Number Theory</t>
        </is>
      </c>
      <c r="D239" s="62" t="inlineStr">
        <is>
          <t>Sequences</t>
        </is>
      </c>
      <c r="E239" s="62" t="inlineStr">
        <is>
          <t>Nth Catalan Number</t>
        </is>
      </c>
      <c r="F239" s="62" t="inlineStr">
        <is>
          <t>Medium</t>
        </is>
      </c>
      <c r="G239" s="62" t="inlineStr">
        <is>
          <t>Core</t>
        </is>
      </c>
      <c r="H239" s="62" t="inlineStr">
        <is>
          <t>GeeksforGeeks</t>
        </is>
      </c>
      <c r="I239" s="62" t="inlineStr">
        <is>
          <t>https://www.geeksforgeeks.org/problems/nth-catalan-number0817/1</t>
        </is>
      </c>
      <c r="J239" s="62" t="inlineStr">
        <is>
          <t>Not Started</t>
        </is>
      </c>
      <c r="K239" s="62" t="n"/>
      <c r="L239" s="62" t="n"/>
      <c r="M239" s="68" t="n"/>
      <c r="N239" s="68">
        <f>IF($M239="","",$M239+IF($K239="",Dashboard!$M$9,INDEX(Dashboard!$M$5:$M$9,$K239)))</f>
        <v/>
      </c>
      <c r="O239" s="62">
        <f>IF(OR($J239="Attempted",$J239="Revisit"),"DUE",IF($N239="","",IF($N239&lt;=TODAY(),"DUE","")))</f>
        <v/>
      </c>
      <c r="P239" s="62" t="n"/>
    </row>
    <row r="240" ht="15" customHeight="1" s="32">
      <c r="A240" s="62" t="n">
        <v>239</v>
      </c>
      <c r="B240" s="62" t="inlineStr">
        <is>
          <t>2. Search, Strings &amp; Math - Core</t>
        </is>
      </c>
      <c r="C240" s="62" t="inlineStr">
        <is>
          <t>10. Math &amp; Number Theory</t>
        </is>
      </c>
      <c r="D240" s="62" t="inlineStr">
        <is>
          <t>Modular</t>
        </is>
      </c>
      <c r="E240" s="62" t="inlineStr">
        <is>
          <t>Modular Exponentiation for Large Numbers</t>
        </is>
      </c>
      <c r="F240" s="62" t="inlineStr">
        <is>
          <t>Medium</t>
        </is>
      </c>
      <c r="G240" s="62" t="inlineStr">
        <is>
          <t>Core</t>
        </is>
      </c>
      <c r="H240" s="62" t="inlineStr">
        <is>
          <t>GeeksforGeeks</t>
        </is>
      </c>
      <c r="I240" s="62" t="inlineStr">
        <is>
          <t>https://www.geeksforgeeks.org/problems/modular-exponentiation-for-large-numbers5537/1</t>
        </is>
      </c>
      <c r="J240" s="62" t="inlineStr">
        <is>
          <t>Not Started</t>
        </is>
      </c>
      <c r="K240" s="62" t="n"/>
      <c r="L240" s="62" t="n"/>
      <c r="M240" s="68" t="n"/>
      <c r="N240" s="68">
        <f>IF($M240="","",$M240+IF($K240="",Dashboard!$M$9,INDEX(Dashboard!$M$5:$M$9,$K240)))</f>
        <v/>
      </c>
      <c r="O240" s="62">
        <f>IF(OR($J240="Attempted",$J240="Revisit"),"DUE",IF($N240="","",IF($N240&lt;=TODAY(),"DUE","")))</f>
        <v/>
      </c>
      <c r="P240" s="62" t="n"/>
    </row>
    <row r="241" ht="15" customHeight="1" s="32">
      <c r="A241" s="62" t="n">
        <v>240</v>
      </c>
      <c r="B241" s="62" t="inlineStr">
        <is>
          <t>2. Search, Strings &amp; Math - Core</t>
        </is>
      </c>
      <c r="C241" s="62" t="inlineStr">
        <is>
          <t>10. Math &amp; Number Theory</t>
        </is>
      </c>
      <c r="D241" s="62" t="inlineStr">
        <is>
          <t>Factorials</t>
        </is>
      </c>
      <c r="E241" s="62" t="inlineStr">
        <is>
          <t>Factorial Trailing Zeroes</t>
        </is>
      </c>
      <c r="F241" s="62" t="inlineStr">
        <is>
          <t>Medium</t>
        </is>
      </c>
      <c r="G241" s="62" t="inlineStr">
        <is>
          <t>Core</t>
        </is>
      </c>
      <c r="H241" s="62" t="inlineStr">
        <is>
          <t>LeetCode</t>
        </is>
      </c>
      <c r="I241" s="62" t="inlineStr">
        <is>
          <t>https://leetcode.com/problems/factorial-trailing-zeroes/</t>
        </is>
      </c>
      <c r="J241" s="62" t="inlineStr">
        <is>
          <t>Not Started</t>
        </is>
      </c>
      <c r="K241" s="62" t="n"/>
      <c r="L241" s="62" t="n"/>
      <c r="M241" s="68" t="n"/>
      <c r="N241" s="68">
        <f>IF($M241="","",$M241+IF($K241="",Dashboard!$M$9,INDEX(Dashboard!$M$5:$M$9,$K241)))</f>
        <v/>
      </c>
      <c r="O241" s="62">
        <f>IF(OR($J241="Attempted",$J241="Revisit"),"DUE",IF($N241="","",IF($N241&lt;=TODAY(),"DUE","")))</f>
        <v/>
      </c>
      <c r="P241" s="62" t="inlineStr">
        <is>
          <t>v3 addition</t>
        </is>
      </c>
    </row>
    <row r="242" ht="15" customHeight="1" s="32">
      <c r="A242" s="62" t="n">
        <v>241</v>
      </c>
      <c r="B242" s="62" t="inlineStr">
        <is>
          <t>2. Search, Strings &amp; Math - Core</t>
        </is>
      </c>
      <c r="C242" s="62" t="inlineStr">
        <is>
          <t>10. Math &amp; Number Theory</t>
        </is>
      </c>
      <c r="D242" s="62" t="inlineStr">
        <is>
          <t>Classic</t>
        </is>
      </c>
      <c r="E242" s="62" t="inlineStr">
        <is>
          <t>Chocolate Distribution Problem</t>
        </is>
      </c>
      <c r="F242" s="62" t="inlineStr">
        <is>
          <t>Easy</t>
        </is>
      </c>
      <c r="G242" s="62" t="inlineStr">
        <is>
          <t>Core</t>
        </is>
      </c>
      <c r="H242" s="62" t="inlineStr">
        <is>
          <t>GeeksforGeeks</t>
        </is>
      </c>
      <c r="I242" s="62" t="inlineStr">
        <is>
          <t>https://www.geeksforgeeks.org/search/?q=Chocolate+Distribution+Problem</t>
        </is>
      </c>
      <c r="J242" s="62" t="inlineStr">
        <is>
          <t>Not Started</t>
        </is>
      </c>
      <c r="K242" s="62" t="n"/>
      <c r="L242" s="62" t="n"/>
      <c r="M242" s="68" t="n"/>
      <c r="N242" s="68">
        <f>IF($M242="","",$M242+IF($K242="",Dashboard!$M$9,INDEX(Dashboard!$M$5:$M$9,$K242)))</f>
        <v/>
      </c>
      <c r="O242" s="62">
        <f>IF(OR($J242="Attempted",$J242="Revisit"),"DUE",IF($N242="","",IF($N242&lt;=TODAY(),"DUE","")))</f>
        <v/>
      </c>
      <c r="P242" s="62" t="inlineStr">
        <is>
          <t>v3 addition</t>
        </is>
      </c>
    </row>
    <row r="243" ht="15" customHeight="1" s="32">
      <c r="A243" s="62" t="n">
        <v>242</v>
      </c>
      <c r="B243" s="62" t="inlineStr">
        <is>
          <t>2. Search, Strings &amp; Math - Core</t>
        </is>
      </c>
      <c r="C243" s="62" t="inlineStr">
        <is>
          <t>10. Math &amp; Number Theory</t>
        </is>
      </c>
      <c r="D243" s="62" t="inlineStr">
        <is>
          <t>Classic</t>
        </is>
      </c>
      <c r="E243" s="62" t="inlineStr">
        <is>
          <t>Josephus Problem</t>
        </is>
      </c>
      <c r="F243" s="62" t="inlineStr">
        <is>
          <t>Medium</t>
        </is>
      </c>
      <c r="G243" s="62" t="inlineStr">
        <is>
          <t>Core</t>
        </is>
      </c>
      <c r="H243" s="62" t="inlineStr">
        <is>
          <t>GeeksforGeeks</t>
        </is>
      </c>
      <c r="I243" s="62" t="inlineStr">
        <is>
          <t>https://www.geeksforgeeks.org/problems/josephus-problem/1</t>
        </is>
      </c>
      <c r="J243" s="62" t="inlineStr">
        <is>
          <t>Not Started</t>
        </is>
      </c>
      <c r="K243" s="62" t="n"/>
      <c r="L243" s="62" t="n"/>
      <c r="M243" s="68" t="n"/>
      <c r="N243" s="68">
        <f>IF($M243="","",$M243+IF($K243="",Dashboard!$M$9,INDEX(Dashboard!$M$5:$M$9,$K243)))</f>
        <v/>
      </c>
      <c r="O243" s="62">
        <f>IF(OR($J243="Attempted",$J243="Revisit"),"DUE",IF($N243="","",IF($N243&lt;=TODAY(),"DUE","")))</f>
        <v/>
      </c>
      <c r="P243" s="62" t="inlineStr">
        <is>
          <t>v3 addition</t>
        </is>
      </c>
    </row>
    <row r="244" ht="15" customHeight="1" s="32">
      <c r="A244" s="62" t="n">
        <v>243</v>
      </c>
      <c r="B244" s="62" t="inlineStr">
        <is>
          <t>2. Search, Strings &amp; Math - Core</t>
        </is>
      </c>
      <c r="C244" s="62" t="inlineStr">
        <is>
          <t>11. Matrix / 2D</t>
        </is>
      </c>
      <c r="D244" s="62" t="inlineStr">
        <is>
          <t>Traversal</t>
        </is>
      </c>
      <c r="E244" s="62" t="inlineStr">
        <is>
          <t>Matrix Diagonal Sum</t>
        </is>
      </c>
      <c r="F244" s="62" t="inlineStr">
        <is>
          <t>Easy</t>
        </is>
      </c>
      <c r="G244" s="62" t="inlineStr">
        <is>
          <t>Core</t>
        </is>
      </c>
      <c r="H244" s="62" t="inlineStr">
        <is>
          <t>LeetCode</t>
        </is>
      </c>
      <c r="I244" s="62" t="inlineStr">
        <is>
          <t>https://leetcode.com/problems/matrix-diagonal-sum/</t>
        </is>
      </c>
      <c r="J244" s="62" t="inlineStr">
        <is>
          <t>Not Started</t>
        </is>
      </c>
      <c r="K244" s="62" t="n"/>
      <c r="L244" s="62" t="n"/>
      <c r="M244" s="68" t="n"/>
      <c r="N244" s="68">
        <f>IF($M244="","",$M244+IF($K244="",Dashboard!$M$9,INDEX(Dashboard!$M$5:$M$9,$K244)))</f>
        <v/>
      </c>
      <c r="O244" s="62">
        <f>IF(OR($J244="Attempted",$J244="Revisit"),"DUE",IF($N244="","",IF($N244&lt;=TODAY(),"DUE","")))</f>
        <v/>
      </c>
      <c r="P244" s="62" t="inlineStr">
        <is>
          <t>v3 addition</t>
        </is>
      </c>
    </row>
    <row r="245" ht="15" customHeight="1" s="32">
      <c r="A245" s="62" t="n">
        <v>244</v>
      </c>
      <c r="B245" s="62" t="inlineStr">
        <is>
          <t>2. Search, Strings &amp; Math - Core</t>
        </is>
      </c>
      <c r="C245" s="62" t="inlineStr">
        <is>
          <t>11. Matrix / 2D</t>
        </is>
      </c>
      <c r="D245" s="62" t="inlineStr">
        <is>
          <t>Traversal</t>
        </is>
      </c>
      <c r="E245" s="62" t="inlineStr">
        <is>
          <t>Spiral Matrix</t>
        </is>
      </c>
      <c r="F245" s="62" t="inlineStr">
        <is>
          <t>Medium</t>
        </is>
      </c>
      <c r="G245" s="62" t="inlineStr">
        <is>
          <t>Core</t>
        </is>
      </c>
      <c r="H245" s="62" t="inlineStr">
        <is>
          <t>LeetCode</t>
        </is>
      </c>
      <c r="I245" s="62" t="inlineStr">
        <is>
          <t>https://leetcode.com/problems/spiral-matrix/</t>
        </is>
      </c>
      <c r="J245" s="62" t="inlineStr">
        <is>
          <t>Not Started</t>
        </is>
      </c>
      <c r="K245" s="62" t="n"/>
      <c r="L245" s="62" t="n"/>
      <c r="M245" s="68" t="n"/>
      <c r="N245" s="68">
        <f>IF($M245="","",$M245+IF($K245="",Dashboard!$M$9,INDEX(Dashboard!$M$5:$M$9,$K245)))</f>
        <v/>
      </c>
      <c r="O245" s="62">
        <f>IF(OR($J245="Attempted",$J245="Revisit"),"DUE",IF($N245="","",IF($N245&lt;=TODAY(),"DUE","")))</f>
        <v/>
      </c>
      <c r="P245" s="62" t="inlineStr">
        <is>
          <t>v3 addition</t>
        </is>
      </c>
    </row>
    <row r="246" ht="15" customHeight="1" s="32">
      <c r="A246" s="62" t="n">
        <v>245</v>
      </c>
      <c r="B246" s="62" t="inlineStr">
        <is>
          <t>2. Search, Strings &amp; Math - Core</t>
        </is>
      </c>
      <c r="C246" s="62" t="inlineStr">
        <is>
          <t>11. Matrix / 2D</t>
        </is>
      </c>
      <c r="D246" s="62" t="inlineStr">
        <is>
          <t>Properties</t>
        </is>
      </c>
      <c r="E246" s="62" t="inlineStr">
        <is>
          <t>Toeplitz Matrix</t>
        </is>
      </c>
      <c r="F246" s="62" t="inlineStr">
        <is>
          <t>Easy</t>
        </is>
      </c>
      <c r="G246" s="62" t="inlineStr">
        <is>
          <t>Core</t>
        </is>
      </c>
      <c r="H246" s="62" t="inlineStr">
        <is>
          <t>LeetCode</t>
        </is>
      </c>
      <c r="I246" s="62" t="inlineStr">
        <is>
          <t>https://leetcode.com/problems/toeplitz-matrix/</t>
        </is>
      </c>
      <c r="J246" s="62" t="inlineStr">
        <is>
          <t>Not Started</t>
        </is>
      </c>
      <c r="K246" s="62" t="n"/>
      <c r="L246" s="62" t="n"/>
      <c r="M246" s="68" t="n"/>
      <c r="N246" s="68">
        <f>IF($M246="","",$M246+IF($K246="",Dashboard!$M$9,INDEX(Dashboard!$M$5:$M$9,$K246)))</f>
        <v/>
      </c>
      <c r="O246" s="62">
        <f>IF(OR($J246="Attempted",$J246="Revisit"),"DUE",IF($N246="","",IF($N246&lt;=TODAY(),"DUE","")))</f>
        <v/>
      </c>
      <c r="P246" s="62" t="inlineStr">
        <is>
          <t>v3 addition</t>
        </is>
      </c>
    </row>
    <row r="247" ht="15" customHeight="1" s="32">
      <c r="A247" s="62" t="n">
        <v>246</v>
      </c>
      <c r="B247" s="62" t="inlineStr">
        <is>
          <t>2. Search, Strings &amp; Math - Core</t>
        </is>
      </c>
      <c r="C247" s="62" t="inlineStr">
        <is>
          <t>11. Matrix / 2D</t>
        </is>
      </c>
      <c r="D247" s="62" t="inlineStr">
        <is>
          <t>Properties</t>
        </is>
      </c>
      <c r="E247" s="62" t="inlineStr">
        <is>
          <t>Determine Whether Matrix Can Be Obtained By Rotation</t>
        </is>
      </c>
      <c r="F247" s="62" t="inlineStr">
        <is>
          <t>Easy</t>
        </is>
      </c>
      <c r="G247" s="62" t="inlineStr">
        <is>
          <t>Core</t>
        </is>
      </c>
      <c r="H247" s="62" t="inlineStr">
        <is>
          <t>LeetCode</t>
        </is>
      </c>
      <c r="I247" s="62" t="inlineStr">
        <is>
          <t>https://leetcode.com/problems/determine-whether-matrix-can-be-obtained-by-rotation/</t>
        </is>
      </c>
      <c r="J247" s="62" t="inlineStr">
        <is>
          <t>Not Started</t>
        </is>
      </c>
      <c r="K247" s="62" t="n"/>
      <c r="L247" s="62" t="n"/>
      <c r="M247" s="68" t="n"/>
      <c r="N247" s="68">
        <f>IF($M247="","",$M247+IF($K247="",Dashboard!$M$9,INDEX(Dashboard!$M$5:$M$9,$K247)))</f>
        <v/>
      </c>
      <c r="O247" s="62">
        <f>IF(OR($J247="Attempted",$J247="Revisit"),"DUE",IF($N247="","",IF($N247&lt;=TODAY(),"DUE","")))</f>
        <v/>
      </c>
      <c r="P247" s="62" t="n"/>
    </row>
    <row r="248" ht="15" customHeight="1" s="32">
      <c r="A248" s="62" t="n">
        <v>247</v>
      </c>
      <c r="B248" s="62" t="inlineStr">
        <is>
          <t>2. Search, Strings &amp; Math - Core</t>
        </is>
      </c>
      <c r="C248" s="62" t="inlineStr">
        <is>
          <t>11. Matrix / 2D</t>
        </is>
      </c>
      <c r="D248" s="62" t="inlineStr">
        <is>
          <t>Properties</t>
        </is>
      </c>
      <c r="E248" s="62" t="inlineStr">
        <is>
          <t>Lucky Numbers in a Matrix</t>
        </is>
      </c>
      <c r="F248" s="62" t="inlineStr">
        <is>
          <t>Easy</t>
        </is>
      </c>
      <c r="G248" s="62" t="inlineStr">
        <is>
          <t>Core</t>
        </is>
      </c>
      <c r="H248" s="62" t="inlineStr">
        <is>
          <t>LeetCode</t>
        </is>
      </c>
      <c r="I248" s="62" t="inlineStr">
        <is>
          <t>https://leetcode.com/problems/lucky-numbers-in-a-matrix/</t>
        </is>
      </c>
      <c r="J248" s="62" t="inlineStr">
        <is>
          <t>Not Started</t>
        </is>
      </c>
      <c r="K248" s="62" t="n"/>
      <c r="L248" s="62" t="n"/>
      <c r="M248" s="68" t="n"/>
      <c r="N248" s="68">
        <f>IF($M248="","",$M248+IF($K248="",Dashboard!$M$9,INDEX(Dashboard!$M$5:$M$9,$K248)))</f>
        <v/>
      </c>
      <c r="O248" s="62">
        <f>IF(OR($J248="Attempted",$J248="Revisit"),"DUE",IF($N248="","",IF($N248&lt;=TODAY(),"DUE","")))</f>
        <v/>
      </c>
      <c r="P248" s="62" t="n"/>
    </row>
    <row r="249" ht="15" customHeight="1" s="32">
      <c r="A249" s="62" t="n">
        <v>248</v>
      </c>
      <c r="B249" s="62" t="inlineStr">
        <is>
          <t>2. Search, Strings &amp; Math - Core</t>
        </is>
      </c>
      <c r="C249" s="62" t="inlineStr">
        <is>
          <t>11. Matrix / 2D</t>
        </is>
      </c>
      <c r="D249" s="62" t="inlineStr">
        <is>
          <t>Properties</t>
        </is>
      </c>
      <c r="E249" s="62" t="inlineStr">
        <is>
          <t>Check if Matrix Is X-Matrix</t>
        </is>
      </c>
      <c r="F249" s="62" t="inlineStr">
        <is>
          <t>Easy</t>
        </is>
      </c>
      <c r="G249" s="62" t="inlineStr">
        <is>
          <t>Core</t>
        </is>
      </c>
      <c r="H249" s="62" t="inlineStr">
        <is>
          <t>LeetCode</t>
        </is>
      </c>
      <c r="I249" s="62" t="inlineStr">
        <is>
          <t>https://leetcode.com/problems/check-if-matrix-is-x-matrix/</t>
        </is>
      </c>
      <c r="J249" s="62" t="inlineStr">
        <is>
          <t>Not Started</t>
        </is>
      </c>
      <c r="K249" s="62" t="n"/>
      <c r="L249" s="62" t="n"/>
      <c r="M249" s="68" t="n"/>
      <c r="N249" s="68">
        <f>IF($M249="","",$M249+IF($K249="",Dashboard!$M$9,INDEX(Dashboard!$M$5:$M$9,$K249)))</f>
        <v/>
      </c>
      <c r="O249" s="62">
        <f>IF(OR($J249="Attempted",$J249="Revisit"),"DUE",IF($N249="","",IF($N249&lt;=TODAY(),"DUE","")))</f>
        <v/>
      </c>
      <c r="P249" s="62" t="n"/>
    </row>
    <row r="250" ht="15" customHeight="1" s="32">
      <c r="A250" s="62" t="n">
        <v>249</v>
      </c>
      <c r="B250" s="62" t="inlineStr">
        <is>
          <t>2. Search, Strings &amp; Math - Core</t>
        </is>
      </c>
      <c r="C250" s="62" t="inlineStr">
        <is>
          <t>11. Matrix / 2D</t>
        </is>
      </c>
      <c r="D250" s="62" t="inlineStr">
        <is>
          <t>Properties</t>
        </is>
      </c>
      <c r="E250" s="62" t="inlineStr">
        <is>
          <t>Special Positions in a Binary Matrix</t>
        </is>
      </c>
      <c r="F250" s="62" t="inlineStr">
        <is>
          <t>Easy</t>
        </is>
      </c>
      <c r="G250" s="62" t="inlineStr">
        <is>
          <t>Core</t>
        </is>
      </c>
      <c r="H250" s="62" t="inlineStr">
        <is>
          <t>LeetCode</t>
        </is>
      </c>
      <c r="I250" s="62" t="inlineStr">
        <is>
          <t>https://leetcode.com/problems/special-positions-in-a-binary-matrix/</t>
        </is>
      </c>
      <c r="J250" s="62" t="inlineStr">
        <is>
          <t>Not Started</t>
        </is>
      </c>
      <c r="K250" s="62" t="n"/>
      <c r="L250" s="62" t="n"/>
      <c r="M250" s="68" t="n"/>
      <c r="N250" s="68">
        <f>IF($M250="","",$M250+IF($K250="",Dashboard!$M$9,INDEX(Dashboard!$M$5:$M$9,$K250)))</f>
        <v/>
      </c>
      <c r="O250" s="62">
        <f>IF(OR($J250="Attempted",$J250="Revisit"),"DUE",IF($N250="","",IF($N250&lt;=TODAY(),"DUE","")))</f>
        <v/>
      </c>
      <c r="P250" s="62" t="n"/>
    </row>
    <row r="251" ht="15" customHeight="1" s="32">
      <c r="A251" s="62" t="n">
        <v>250</v>
      </c>
      <c r="B251" s="62" t="inlineStr">
        <is>
          <t>2. Search, Strings &amp; Math - Core</t>
        </is>
      </c>
      <c r="C251" s="62" t="inlineStr">
        <is>
          <t>11. Matrix / 2D</t>
        </is>
      </c>
      <c r="D251" s="62" t="inlineStr">
        <is>
          <t>In-place ops</t>
        </is>
      </c>
      <c r="E251" s="62" t="inlineStr">
        <is>
          <t>Transpose Matrix</t>
        </is>
      </c>
      <c r="F251" s="62" t="inlineStr">
        <is>
          <t>Easy</t>
        </is>
      </c>
      <c r="G251" s="62" t="inlineStr">
        <is>
          <t>Core</t>
        </is>
      </c>
      <c r="H251" s="62" t="inlineStr">
        <is>
          <t>LeetCode</t>
        </is>
      </c>
      <c r="I251" s="62" t="inlineStr">
        <is>
          <t>https://leetcode.com/problems/transpose-matrix/</t>
        </is>
      </c>
      <c r="J251" s="62" t="inlineStr">
        <is>
          <t>Not Started</t>
        </is>
      </c>
      <c r="K251" s="62" t="n"/>
      <c r="L251" s="62" t="n"/>
      <c r="M251" s="68" t="n"/>
      <c r="N251" s="68">
        <f>IF($M251="","",$M251+IF($K251="",Dashboard!$M$9,INDEX(Dashboard!$M$5:$M$9,$K251)))</f>
        <v/>
      </c>
      <c r="O251" s="62">
        <f>IF(OR($J251="Attempted",$J251="Revisit"),"DUE",IF($N251="","",IF($N251&lt;=TODAY(),"DUE","")))</f>
        <v/>
      </c>
      <c r="P251" s="62" t="n"/>
    </row>
    <row r="252" ht="15" customHeight="1" s="32">
      <c r="A252" s="62" t="n">
        <v>251</v>
      </c>
      <c r="B252" s="62" t="inlineStr">
        <is>
          <t>2. Search, Strings &amp; Math - Core</t>
        </is>
      </c>
      <c r="C252" s="62" t="inlineStr">
        <is>
          <t>11. Matrix / 2D</t>
        </is>
      </c>
      <c r="D252" s="62" t="inlineStr">
        <is>
          <t>In-place ops</t>
        </is>
      </c>
      <c r="E252" s="62" t="inlineStr">
        <is>
          <t>Flipping an Image</t>
        </is>
      </c>
      <c r="F252" s="62" t="inlineStr">
        <is>
          <t>Easy</t>
        </is>
      </c>
      <c r="G252" s="62" t="inlineStr">
        <is>
          <t>Core</t>
        </is>
      </c>
      <c r="H252" s="62" t="inlineStr">
        <is>
          <t>LeetCode</t>
        </is>
      </c>
      <c r="I252" s="62" t="inlineStr">
        <is>
          <t>https://leetcode.com/problems/flipping-an-image/</t>
        </is>
      </c>
      <c r="J252" s="62" t="inlineStr">
        <is>
          <t>Not Started</t>
        </is>
      </c>
      <c r="K252" s="62" t="n"/>
      <c r="L252" s="62" t="n"/>
      <c r="M252" s="68" t="n"/>
      <c r="N252" s="68">
        <f>IF($M252="","",$M252+IF($K252="",Dashboard!$M$9,INDEX(Dashboard!$M$5:$M$9,$K252)))</f>
        <v/>
      </c>
      <c r="O252" s="62">
        <f>IF(OR($J252="Attempted",$J252="Revisit"),"DUE",IF($N252="","",IF($N252&lt;=TODAY(),"DUE","")))</f>
        <v/>
      </c>
      <c r="P252" s="62" t="inlineStr">
        <is>
          <t>v3 addition</t>
        </is>
      </c>
    </row>
    <row r="253" ht="15" customHeight="1" s="32">
      <c r="A253" s="62" t="n">
        <v>252</v>
      </c>
      <c r="B253" s="62" t="inlineStr">
        <is>
          <t>2. Search, Strings &amp; Math - Core</t>
        </is>
      </c>
      <c r="C253" s="62" t="inlineStr">
        <is>
          <t>11. Matrix / 2D</t>
        </is>
      </c>
      <c r="D253" s="62" t="inlineStr">
        <is>
          <t>In-place ops</t>
        </is>
      </c>
      <c r="E253" s="62" t="inlineStr">
        <is>
          <t>Rotate Image</t>
        </is>
      </c>
      <c r="F253" s="62" t="inlineStr">
        <is>
          <t>Medium</t>
        </is>
      </c>
      <c r="G253" s="62" t="inlineStr">
        <is>
          <t>Core</t>
        </is>
      </c>
      <c r="H253" s="62" t="inlineStr">
        <is>
          <t>LeetCode</t>
        </is>
      </c>
      <c r="I253" s="62" t="inlineStr">
        <is>
          <t>https://leetcode.com/problems/rotate-image/</t>
        </is>
      </c>
      <c r="J253" s="62" t="inlineStr">
        <is>
          <t>Not Started</t>
        </is>
      </c>
      <c r="K253" s="62" t="n"/>
      <c r="L253" s="62" t="n"/>
      <c r="M253" s="68" t="n"/>
      <c r="N253" s="68">
        <f>IF($M253="","",$M253+IF($K253="",Dashboard!$M$9,INDEX(Dashboard!$M$5:$M$9,$K253)))</f>
        <v/>
      </c>
      <c r="O253" s="62">
        <f>IF(OR($J253="Attempted",$J253="Revisit"),"DUE",IF($N253="","",IF($N253&lt;=TODAY(),"DUE","")))</f>
        <v/>
      </c>
      <c r="P253" s="62" t="n"/>
    </row>
    <row r="254" ht="15" customHeight="1" s="32">
      <c r="A254" s="62" t="n">
        <v>253</v>
      </c>
      <c r="B254" s="62" t="inlineStr">
        <is>
          <t>2. Search, Strings &amp; Math - Core</t>
        </is>
      </c>
      <c r="C254" s="62" t="inlineStr">
        <is>
          <t>11. Matrix / 2D</t>
        </is>
      </c>
      <c r="D254" s="62" t="inlineStr">
        <is>
          <t>In-place ops</t>
        </is>
      </c>
      <c r="E254" s="62" t="inlineStr">
        <is>
          <t>Set Matrix Zeroes</t>
        </is>
      </c>
      <c r="F254" s="62" t="inlineStr">
        <is>
          <t>Medium</t>
        </is>
      </c>
      <c r="G254" s="62" t="inlineStr">
        <is>
          <t>Core</t>
        </is>
      </c>
      <c r="H254" s="62" t="inlineStr">
        <is>
          <t>LeetCode</t>
        </is>
      </c>
      <c r="I254" s="62" t="inlineStr">
        <is>
          <t>https://leetcode.com/problems/set-matrix-zeroes/</t>
        </is>
      </c>
      <c r="J254" s="62" t="inlineStr">
        <is>
          <t>Not Started</t>
        </is>
      </c>
      <c r="K254" s="62" t="n"/>
      <c r="L254" s="62" t="n"/>
      <c r="M254" s="68" t="n"/>
      <c r="N254" s="68">
        <f>IF($M254="","",$M254+IF($K254="",Dashboard!$M$9,INDEX(Dashboard!$M$5:$M$9,$K254)))</f>
        <v/>
      </c>
      <c r="O254" s="62">
        <f>IF(OR($J254="Attempted",$J254="Revisit"),"DUE",IF($N254="","",IF($N254&lt;=TODAY(),"DUE","")))</f>
        <v/>
      </c>
      <c r="P254" s="62" t="n"/>
    </row>
    <row r="255" ht="15" customHeight="1" s="32">
      <c r="A255" s="62" t="n">
        <v>254</v>
      </c>
      <c r="B255" s="62" t="inlineStr">
        <is>
          <t>2. Search, Strings &amp; Math - Core</t>
        </is>
      </c>
      <c r="C255" s="62" t="inlineStr">
        <is>
          <t>11. Matrix / 2D</t>
        </is>
      </c>
      <c r="D255" s="62" t="inlineStr">
        <is>
          <t>Construction</t>
        </is>
      </c>
      <c r="E255" s="62" t="inlineStr">
        <is>
          <t>Pascal's Triangle</t>
        </is>
      </c>
      <c r="F255" s="62" t="inlineStr">
        <is>
          <t>Easy</t>
        </is>
      </c>
      <c r="G255" s="62" t="inlineStr">
        <is>
          <t>Core</t>
        </is>
      </c>
      <c r="H255" s="62" t="inlineStr">
        <is>
          <t>LeetCode</t>
        </is>
      </c>
      <c r="I255" s="62" t="inlineStr">
        <is>
          <t>https://leetcode.com/problems/pascals-triangle/</t>
        </is>
      </c>
      <c r="J255" s="62" t="inlineStr">
        <is>
          <t>Not Started</t>
        </is>
      </c>
      <c r="K255" s="62" t="n"/>
      <c r="L255" s="62" t="n"/>
      <c r="M255" s="68" t="n"/>
      <c r="N255" s="68">
        <f>IF($M255="","",$M255+IF($K255="",Dashboard!$M$9,INDEX(Dashboard!$M$5:$M$9,$K255)))</f>
        <v/>
      </c>
      <c r="O255" s="62">
        <f>IF(OR($J255="Attempted",$J255="Revisit"),"DUE",IF($N255="","",IF($N255&lt;=TODAY(),"DUE","")))</f>
        <v/>
      </c>
      <c r="P255" s="62" t="n"/>
    </row>
    <row r="256" ht="15" customHeight="1" s="32">
      <c r="A256" s="62" t="n">
        <v>255</v>
      </c>
      <c r="B256" s="62" t="inlineStr">
        <is>
          <t>2. Search, Strings &amp; Math - Core</t>
        </is>
      </c>
      <c r="C256" s="62" t="inlineStr">
        <is>
          <t>11. Matrix / 2D</t>
        </is>
      </c>
      <c r="D256" s="62" t="inlineStr">
        <is>
          <t>Construction</t>
        </is>
      </c>
      <c r="E256" s="62" t="inlineStr">
        <is>
          <t>Pascal's Triangle II</t>
        </is>
      </c>
      <c r="F256" s="62" t="inlineStr">
        <is>
          <t>Easy</t>
        </is>
      </c>
      <c r="G256" s="62" t="inlineStr">
        <is>
          <t>Core</t>
        </is>
      </c>
      <c r="H256" s="62" t="inlineStr">
        <is>
          <t>LeetCode</t>
        </is>
      </c>
      <c r="I256" s="62" t="inlineStr">
        <is>
          <t>https://leetcode.com/problems/pascals-triangle-ii/</t>
        </is>
      </c>
      <c r="J256" s="62" t="inlineStr">
        <is>
          <t>Not Started</t>
        </is>
      </c>
      <c r="K256" s="62" t="n"/>
      <c r="L256" s="62" t="n"/>
      <c r="M256" s="68" t="n"/>
      <c r="N256" s="68">
        <f>IF($M256="","",$M256+IF($K256="",Dashboard!$M$9,INDEX(Dashboard!$M$5:$M$9,$K256)))</f>
        <v/>
      </c>
      <c r="O256" s="62">
        <f>IF(OR($J256="Attempted",$J256="Revisit"),"DUE",IF($N256="","",IF($N256&lt;=TODAY(),"DUE","")))</f>
        <v/>
      </c>
      <c r="P256" s="62" t="n"/>
    </row>
    <row r="257" ht="15" customHeight="1" s="32">
      <c r="A257" s="62" t="n">
        <v>256</v>
      </c>
      <c r="B257" s="62" t="inlineStr">
        <is>
          <t>2. Search, Strings &amp; Math - Core</t>
        </is>
      </c>
      <c r="C257" s="62" t="inlineStr">
        <is>
          <t>11. Matrix / 2D</t>
        </is>
      </c>
      <c r="D257" s="62" t="inlineStr">
        <is>
          <t>Construction</t>
        </is>
      </c>
      <c r="E257" s="62" t="inlineStr">
        <is>
          <t>Image Smoother</t>
        </is>
      </c>
      <c r="F257" s="62" t="inlineStr">
        <is>
          <t>Easy</t>
        </is>
      </c>
      <c r="G257" s="62" t="inlineStr">
        <is>
          <t>Core</t>
        </is>
      </c>
      <c r="H257" s="62" t="inlineStr">
        <is>
          <t>LeetCode</t>
        </is>
      </c>
      <c r="I257" s="62" t="inlineStr">
        <is>
          <t>https://leetcode.com/problems/image-smoother/</t>
        </is>
      </c>
      <c r="J257" s="62" t="inlineStr">
        <is>
          <t>Not Started</t>
        </is>
      </c>
      <c r="K257" s="62" t="n"/>
      <c r="L257" s="62" t="n"/>
      <c r="M257" s="68" t="n"/>
      <c r="N257" s="68">
        <f>IF($M257="","",$M257+IF($K257="",Dashboard!$M$9,INDEX(Dashboard!$M$5:$M$9,$K257)))</f>
        <v/>
      </c>
      <c r="O257" s="62">
        <f>IF(OR($J257="Attempted",$J257="Revisit"),"DUE",IF($N257="","",IF($N257&lt;=TODAY(),"DUE","")))</f>
        <v/>
      </c>
      <c r="P257" s="62" t="n"/>
    </row>
    <row r="258" ht="15" customHeight="1" s="32">
      <c r="A258" s="62" t="n">
        <v>257</v>
      </c>
      <c r="B258" s="62" t="inlineStr">
        <is>
          <t>2. Search, Strings &amp; Math - Core</t>
        </is>
      </c>
      <c r="C258" s="62" t="inlineStr">
        <is>
          <t>11. Matrix / 2D</t>
        </is>
      </c>
      <c r="D258" s="62" t="inlineStr">
        <is>
          <t>Construction</t>
        </is>
      </c>
      <c r="E258" s="62" t="inlineStr">
        <is>
          <t>Convert 1D Array Into 2D Array</t>
        </is>
      </c>
      <c r="F258" s="62" t="inlineStr">
        <is>
          <t>Easy</t>
        </is>
      </c>
      <c r="G258" s="62" t="inlineStr">
        <is>
          <t>Core</t>
        </is>
      </c>
      <c r="H258" s="62" t="inlineStr">
        <is>
          <t>LeetCode</t>
        </is>
      </c>
      <c r="I258" s="62" t="inlineStr">
        <is>
          <t>https://leetcode.com/problems/convert-1d-array-into-2d-array/</t>
        </is>
      </c>
      <c r="J258" s="62" t="inlineStr">
        <is>
          <t>Not Started</t>
        </is>
      </c>
      <c r="K258" s="62" t="n"/>
      <c r="L258" s="62" t="n"/>
      <c r="M258" s="68" t="n"/>
      <c r="N258" s="68">
        <f>IF($M258="","",$M258+IF($K258="",Dashboard!$M$9,INDEX(Dashboard!$M$5:$M$9,$K258)))</f>
        <v/>
      </c>
      <c r="O258" s="62">
        <f>IF(OR($J258="Attempted",$J258="Revisit"),"DUE",IF($N258="","",IF($N258&lt;=TODAY(),"DUE","")))</f>
        <v/>
      </c>
      <c r="P258" s="62" t="n"/>
    </row>
    <row r="259" ht="15" customHeight="1" s="32">
      <c r="A259" s="62" t="n">
        <v>258</v>
      </c>
      <c r="B259" s="62" t="inlineStr">
        <is>
          <t>2. Search, Strings &amp; Math - Depth</t>
        </is>
      </c>
      <c r="C259" s="62" t="inlineStr">
        <is>
          <t>07. Binary Search</t>
        </is>
      </c>
      <c r="D259" s="62" t="inlineStr">
        <is>
          <t>BS on answer</t>
        </is>
      </c>
      <c r="E259" s="62" t="inlineStr">
        <is>
          <t>Find K Closest Elements</t>
        </is>
      </c>
      <c r="F259" s="62" t="inlineStr">
        <is>
          <t>Medium</t>
        </is>
      </c>
      <c r="G259" s="62" t="inlineStr">
        <is>
          <t>Depth</t>
        </is>
      </c>
      <c r="H259" s="62" t="inlineStr">
        <is>
          <t>LeetCode</t>
        </is>
      </c>
      <c r="I259" s="62" t="inlineStr">
        <is>
          <t>https://leetcode.com/problems/find-k-closest-elements/</t>
        </is>
      </c>
      <c r="J259" s="62" t="inlineStr">
        <is>
          <t>Not Started</t>
        </is>
      </c>
      <c r="K259" s="62" t="n"/>
      <c r="L259" s="62" t="n"/>
      <c r="M259" s="68" t="n"/>
      <c r="N259" s="68">
        <f>IF($M259="","",$M259+IF($K259="",Dashboard!$M$9,INDEX(Dashboard!$M$5:$M$9,$K259)))</f>
        <v/>
      </c>
      <c r="O259" s="62">
        <f>IF(OR($J259="Attempted",$J259="Revisit"),"DUE",IF($N259="","",IF($N259&lt;=TODAY(),"DUE","")))</f>
        <v/>
      </c>
      <c r="P259" s="62" t="n"/>
    </row>
    <row r="260" ht="15" customHeight="1" s="32">
      <c r="A260" s="62" t="n">
        <v>259</v>
      </c>
      <c r="B260" s="62" t="inlineStr">
        <is>
          <t>2. Search, Strings &amp; Math - Depth</t>
        </is>
      </c>
      <c r="C260" s="62" t="inlineStr">
        <is>
          <t>07. Binary Search</t>
        </is>
      </c>
      <c r="D260" s="62" t="inlineStr">
        <is>
          <t>BS on answer</t>
        </is>
      </c>
      <c r="E260" s="62" t="inlineStr">
        <is>
          <t>Minimum Number of Days to Make m Bouquets</t>
        </is>
      </c>
      <c r="F260" s="62" t="inlineStr">
        <is>
          <t>Medium</t>
        </is>
      </c>
      <c r="G260" s="62" t="inlineStr">
        <is>
          <t>Depth</t>
        </is>
      </c>
      <c r="H260" s="62" t="inlineStr">
        <is>
          <t>LeetCode</t>
        </is>
      </c>
      <c r="I260" s="62" t="inlineStr">
        <is>
          <t>https://leetcode.com/problems/minimum-number-of-days-to-make-m-bouquets/</t>
        </is>
      </c>
      <c r="J260" s="62" t="inlineStr">
        <is>
          <t>Not Started</t>
        </is>
      </c>
      <c r="K260" s="62" t="n"/>
      <c r="L260" s="62" t="n"/>
      <c r="M260" s="68" t="n"/>
      <c r="N260" s="68">
        <f>IF($M260="","",$M260+IF($K260="",Dashboard!$M$9,INDEX(Dashboard!$M$5:$M$9,$K260)))</f>
        <v/>
      </c>
      <c r="O260" s="62">
        <f>IF(OR($J260="Attempted",$J260="Revisit"),"DUE",IF($N260="","",IF($N260&lt;=TODAY(),"DUE","")))</f>
        <v/>
      </c>
      <c r="P260" s="62" t="n"/>
    </row>
    <row r="261" ht="15" customHeight="1" s="32">
      <c r="A261" s="62" t="n">
        <v>260</v>
      </c>
      <c r="B261" s="62" t="inlineStr">
        <is>
          <t>2. Search, Strings &amp; Math - Depth</t>
        </is>
      </c>
      <c r="C261" s="62" t="inlineStr">
        <is>
          <t>07. Binary Search</t>
        </is>
      </c>
      <c r="D261" s="62" t="inlineStr">
        <is>
          <t>BS on answer</t>
        </is>
      </c>
      <c r="E261" s="62" t="inlineStr">
        <is>
          <t>Find the Smallest Divisor Given a Threshold</t>
        </is>
      </c>
      <c r="F261" s="62" t="inlineStr">
        <is>
          <t>Medium</t>
        </is>
      </c>
      <c r="G261" s="62" t="inlineStr">
        <is>
          <t>Depth</t>
        </is>
      </c>
      <c r="H261" s="62" t="inlineStr">
        <is>
          <t>LeetCode</t>
        </is>
      </c>
      <c r="I261" s="62" t="inlineStr">
        <is>
          <t>https://leetcode.com/problems/find-the-smallest-divisor-given-a-threshold/</t>
        </is>
      </c>
      <c r="J261" s="62" t="inlineStr">
        <is>
          <t>Not Started</t>
        </is>
      </c>
      <c r="K261" s="62" t="n"/>
      <c r="L261" s="62" t="n"/>
      <c r="M261" s="68" t="n"/>
      <c r="N261" s="68">
        <f>IF($M261="","",$M261+IF($K261="",Dashboard!$M$9,INDEX(Dashboard!$M$5:$M$9,$K261)))</f>
        <v/>
      </c>
      <c r="O261" s="62">
        <f>IF(OR($J261="Attempted",$J261="Revisit"),"DUE",IF($N261="","",IF($N261&lt;=TODAY(),"DUE","")))</f>
        <v/>
      </c>
      <c r="P261" s="62" t="n"/>
    </row>
    <row r="262" ht="15" customHeight="1" s="32">
      <c r="A262" s="62" t="n">
        <v>261</v>
      </c>
      <c r="B262" s="62" t="inlineStr">
        <is>
          <t>2. Search, Strings &amp; Math - Depth</t>
        </is>
      </c>
      <c r="C262" s="62" t="inlineStr">
        <is>
          <t>07. Binary Search</t>
        </is>
      </c>
      <c r="D262" s="62" t="inlineStr">
        <is>
          <t>BS on answer</t>
        </is>
      </c>
      <c r="E262" s="62" t="inlineStr">
        <is>
          <t>Minimum Speed to Arrive on Time</t>
        </is>
      </c>
      <c r="F262" s="62" t="inlineStr">
        <is>
          <t>Medium</t>
        </is>
      </c>
      <c r="G262" s="62" t="inlineStr">
        <is>
          <t>Depth</t>
        </is>
      </c>
      <c r="H262" s="62" t="inlineStr">
        <is>
          <t>LeetCode</t>
        </is>
      </c>
      <c r="I262" s="62" t="inlineStr">
        <is>
          <t>https://leetcode.com/problems/minimum-speed-to-arrive-on-time/</t>
        </is>
      </c>
      <c r="J262" s="62" t="inlineStr">
        <is>
          <t>Not Started</t>
        </is>
      </c>
      <c r="K262" s="62" t="n"/>
      <c r="L262" s="62" t="n"/>
      <c r="M262" s="68" t="n"/>
      <c r="N262" s="68">
        <f>IF($M262="","",$M262+IF($K262="",Dashboard!$M$9,INDEX(Dashboard!$M$5:$M$9,$K262)))</f>
        <v/>
      </c>
      <c r="O262" s="62">
        <f>IF(OR($J262="Attempted",$J262="Revisit"),"DUE",IF($N262="","",IF($N262&lt;=TODAY(),"DUE","")))</f>
        <v/>
      </c>
      <c r="P262" s="62" t="inlineStr">
        <is>
          <t>v3 addition</t>
        </is>
      </c>
    </row>
    <row r="263" ht="15" customHeight="1" s="32">
      <c r="A263" s="62" t="n">
        <v>262</v>
      </c>
      <c r="B263" s="62" t="inlineStr">
        <is>
          <t>2. Search, Strings &amp; Math - Depth</t>
        </is>
      </c>
      <c r="C263" s="62" t="inlineStr">
        <is>
          <t>07. Binary Search</t>
        </is>
      </c>
      <c r="D263" s="62" t="inlineStr">
        <is>
          <t>BS on answer</t>
        </is>
      </c>
      <c r="E263" s="62" t="inlineStr">
        <is>
          <t>Magnetic Force Between Two Balls</t>
        </is>
      </c>
      <c r="F263" s="62" t="inlineStr">
        <is>
          <t>Medium</t>
        </is>
      </c>
      <c r="G263" s="62" t="inlineStr">
        <is>
          <t>Depth</t>
        </is>
      </c>
      <c r="H263" s="62" t="inlineStr">
        <is>
          <t>LeetCode</t>
        </is>
      </c>
      <c r="I263" s="62" t="inlineStr">
        <is>
          <t>https://leetcode.com/problems/magnetic-force-between-two-balls/</t>
        </is>
      </c>
      <c r="J263" s="62" t="inlineStr">
        <is>
          <t>Not Started</t>
        </is>
      </c>
      <c r="K263" s="62" t="n"/>
      <c r="L263" s="62" t="n"/>
      <c r="M263" s="68" t="n"/>
      <c r="N263" s="68">
        <f>IF($M263="","",$M263+IF($K263="",Dashboard!$M$9,INDEX(Dashboard!$M$5:$M$9,$K263)))</f>
        <v/>
      </c>
      <c r="O263" s="62">
        <f>IF(OR($J263="Attempted",$J263="Revisit"),"DUE",IF($N263="","",IF($N263&lt;=TODAY(),"DUE","")))</f>
        <v/>
      </c>
      <c r="P263" s="62" t="inlineStr">
        <is>
          <t>v3 addition</t>
        </is>
      </c>
    </row>
    <row r="264" ht="15" customHeight="1" s="32">
      <c r="A264" s="62" t="n">
        <v>263</v>
      </c>
      <c r="B264" s="62" t="inlineStr">
        <is>
          <t>2. Search, Strings &amp; Math - Depth</t>
        </is>
      </c>
      <c r="C264" s="62" t="inlineStr">
        <is>
          <t>07. Binary Search</t>
        </is>
      </c>
      <c r="D264" s="62" t="inlineStr">
        <is>
          <t>BS on answer</t>
        </is>
      </c>
      <c r="E264" s="62" t="inlineStr">
        <is>
          <t>Maximum Candies Allocated to K Children</t>
        </is>
      </c>
      <c r="F264" s="62" t="inlineStr">
        <is>
          <t>Medium</t>
        </is>
      </c>
      <c r="G264" s="62" t="inlineStr">
        <is>
          <t>Depth</t>
        </is>
      </c>
      <c r="H264" s="62" t="inlineStr">
        <is>
          <t>LeetCode</t>
        </is>
      </c>
      <c r="I264" s="62" t="inlineStr">
        <is>
          <t>https://leetcode.com/problems/maximum-candies-allocated-to-k-children/</t>
        </is>
      </c>
      <c r="J264" s="62" t="inlineStr">
        <is>
          <t>Not Started</t>
        </is>
      </c>
      <c r="K264" s="62" t="n"/>
      <c r="L264" s="62" t="n"/>
      <c r="M264" s="68" t="n"/>
      <c r="N264" s="68">
        <f>IF($M264="","",$M264+IF($K264="",Dashboard!$M$9,INDEX(Dashboard!$M$5:$M$9,$K264)))</f>
        <v/>
      </c>
      <c r="O264" s="62">
        <f>IF(OR($J264="Attempted",$J264="Revisit"),"DUE",IF($N264="","",IF($N264&lt;=TODAY(),"DUE","")))</f>
        <v/>
      </c>
      <c r="P264" s="62" t="inlineStr">
        <is>
          <t>v3 addition</t>
        </is>
      </c>
    </row>
    <row r="265" ht="15" customHeight="1" s="32">
      <c r="A265" s="62" t="n">
        <v>264</v>
      </c>
      <c r="B265" s="62" t="inlineStr">
        <is>
          <t>2. Search, Strings &amp; Math - Depth</t>
        </is>
      </c>
      <c r="C265" s="62" t="inlineStr">
        <is>
          <t>07. Binary Search</t>
        </is>
      </c>
      <c r="D265" s="62" t="inlineStr">
        <is>
          <t>BS on answer</t>
        </is>
      </c>
      <c r="E265" s="62" t="inlineStr">
        <is>
          <t>H-Index II</t>
        </is>
      </c>
      <c r="F265" s="62" t="inlineStr">
        <is>
          <t>Medium</t>
        </is>
      </c>
      <c r="G265" s="62" t="inlineStr">
        <is>
          <t>Depth</t>
        </is>
      </c>
      <c r="H265" s="62" t="inlineStr">
        <is>
          <t>LeetCode</t>
        </is>
      </c>
      <c r="I265" s="62" t="inlineStr">
        <is>
          <t>https://leetcode.com/problems/h-index-ii/</t>
        </is>
      </c>
      <c r="J265" s="62" t="inlineStr">
        <is>
          <t>Not Started</t>
        </is>
      </c>
      <c r="K265" s="62" t="n"/>
      <c r="L265" s="62" t="n"/>
      <c r="M265" s="68" t="n"/>
      <c r="N265" s="68">
        <f>IF($M265="","",$M265+IF($K265="",Dashboard!$M$9,INDEX(Dashboard!$M$5:$M$9,$K265)))</f>
        <v/>
      </c>
      <c r="O265" s="62">
        <f>IF(OR($J265="Attempted",$J265="Revisit"),"DUE",IF($N265="","",IF($N265&lt;=TODAY(),"DUE","")))</f>
        <v/>
      </c>
      <c r="P265" s="62" t="inlineStr">
        <is>
          <t>v3 addition</t>
        </is>
      </c>
    </row>
    <row r="266" ht="15" customHeight="1" s="32">
      <c r="A266" s="62" t="n">
        <v>265</v>
      </c>
      <c r="B266" s="62" t="inlineStr">
        <is>
          <t>2. Search, Strings &amp; Math - Depth</t>
        </is>
      </c>
      <c r="C266" s="62" t="inlineStr">
        <is>
          <t>07. Binary Search</t>
        </is>
      </c>
      <c r="D266" s="62" t="inlineStr">
        <is>
          <t>BS on answer</t>
        </is>
      </c>
      <c r="E266" s="62" t="inlineStr">
        <is>
          <t>Allocate Minimum Number of Pages</t>
        </is>
      </c>
      <c r="F266" s="62" t="inlineStr">
        <is>
          <t>Hard</t>
        </is>
      </c>
      <c r="G266" s="62" t="inlineStr">
        <is>
          <t>Depth</t>
        </is>
      </c>
      <c r="H266" s="62" t="inlineStr">
        <is>
          <t>GeeksforGeeks</t>
        </is>
      </c>
      <c r="I266" s="62" t="inlineStr">
        <is>
          <t>https://www.geeksforgeeks.org/problems/allocate-minimum-number-of-pages0937/1</t>
        </is>
      </c>
      <c r="J266" s="62" t="inlineStr">
        <is>
          <t>Not Started</t>
        </is>
      </c>
      <c r="K266" s="62" t="n"/>
      <c r="L266" s="62" t="n"/>
      <c r="M266" s="68" t="n"/>
      <c r="N266" s="68">
        <f>IF($M266="","",$M266+IF($K266="",Dashboard!$M$9,INDEX(Dashboard!$M$5:$M$9,$K266)))</f>
        <v/>
      </c>
      <c r="O266" s="62">
        <f>IF(OR($J266="Attempted",$J266="Revisit"),"DUE",IF($N266="","",IF($N266&lt;=TODAY(),"DUE","")))</f>
        <v/>
      </c>
      <c r="P266" s="62" t="inlineStr">
        <is>
          <t>v3 addition</t>
        </is>
      </c>
    </row>
    <row r="267" ht="15" customHeight="1" s="32">
      <c r="A267" s="62" t="n">
        <v>266</v>
      </c>
      <c r="B267" s="62" t="inlineStr">
        <is>
          <t>2. Search, Strings &amp; Math - Depth</t>
        </is>
      </c>
      <c r="C267" s="62" t="inlineStr">
        <is>
          <t>07. Binary Search</t>
        </is>
      </c>
      <c r="D267" s="62" t="inlineStr">
        <is>
          <t>BS on answer</t>
        </is>
      </c>
      <c r="E267" s="62" t="inlineStr">
        <is>
          <t>Aggressive Cows</t>
        </is>
      </c>
      <c r="F267" s="62" t="inlineStr">
        <is>
          <t>Hard</t>
        </is>
      </c>
      <c r="G267" s="62" t="inlineStr">
        <is>
          <t>Depth</t>
        </is>
      </c>
      <c r="H267" s="62" t="inlineStr">
        <is>
          <t>GeeksforGeeks</t>
        </is>
      </c>
      <c r="I267" s="62" t="inlineStr">
        <is>
          <t>https://www.geeksforgeeks.org/problems/aggressive-cows/1</t>
        </is>
      </c>
      <c r="J267" s="62" t="inlineStr">
        <is>
          <t>Not Started</t>
        </is>
      </c>
      <c r="K267" s="62" t="n"/>
      <c r="L267" s="62" t="n"/>
      <c r="M267" s="68" t="n"/>
      <c r="N267" s="68">
        <f>IF($M267="","",$M267+IF($K267="",Dashboard!$M$9,INDEX(Dashboard!$M$5:$M$9,$K267)))</f>
        <v/>
      </c>
      <c r="O267" s="62">
        <f>IF(OR($J267="Attempted",$J267="Revisit"),"DUE",IF($N267="","",IF($N267&lt;=TODAY(),"DUE","")))</f>
        <v/>
      </c>
      <c r="P267" s="62" t="inlineStr">
        <is>
          <t>v3 addition</t>
        </is>
      </c>
    </row>
    <row r="268" ht="15" customHeight="1" s="32">
      <c r="A268" s="62" t="n">
        <v>267</v>
      </c>
      <c r="B268" s="62" t="inlineStr">
        <is>
          <t>2. Search, Strings &amp; Math - Depth</t>
        </is>
      </c>
      <c r="C268" s="62" t="inlineStr">
        <is>
          <t>07. Binary Search</t>
        </is>
      </c>
      <c r="D268" s="62" t="inlineStr">
        <is>
          <t>Lower/Upper bound</t>
        </is>
      </c>
      <c r="E268" s="62" t="inlineStr">
        <is>
          <t>Floor in a Sorted Array</t>
        </is>
      </c>
      <c r="F268" s="62" t="inlineStr">
        <is>
          <t>Easy</t>
        </is>
      </c>
      <c r="G268" s="62" t="inlineStr">
        <is>
          <t>Depth</t>
        </is>
      </c>
      <c r="H268" s="62" t="inlineStr">
        <is>
          <t>GeeksforGeeks</t>
        </is>
      </c>
      <c r="I268" s="62" t="inlineStr">
        <is>
          <t>https://www.geeksforgeeks.org/problems/floor-in-a-sorted-array-1587115620/1</t>
        </is>
      </c>
      <c r="J268" s="62" t="inlineStr">
        <is>
          <t>Not Started</t>
        </is>
      </c>
      <c r="K268" s="62" t="n"/>
      <c r="L268" s="62" t="n"/>
      <c r="M268" s="68" t="n"/>
      <c r="N268" s="68">
        <f>IF($M268="","",$M268+IF($K268="",Dashboard!$M$9,INDEX(Dashboard!$M$5:$M$9,$K268)))</f>
        <v/>
      </c>
      <c r="O268" s="62">
        <f>IF(OR($J268="Attempted",$J268="Revisit"),"DUE",IF($N268="","",IF($N268&lt;=TODAY(),"DUE","")))</f>
        <v/>
      </c>
      <c r="P268" s="62" t="inlineStr">
        <is>
          <t>v3 addition</t>
        </is>
      </c>
    </row>
    <row r="269" ht="15" customHeight="1" s="32">
      <c r="A269" s="62" t="n">
        <v>268</v>
      </c>
      <c r="B269" s="62" t="inlineStr">
        <is>
          <t>2. Search, Strings &amp; Math - Depth</t>
        </is>
      </c>
      <c r="C269" s="62" t="inlineStr">
        <is>
          <t>07. Binary Search</t>
        </is>
      </c>
      <c r="D269" s="62" t="inlineStr">
        <is>
          <t>Interactive</t>
        </is>
      </c>
      <c r="E269" s="62" t="inlineStr">
        <is>
          <t>Guess Number Higher or Lower II</t>
        </is>
      </c>
      <c r="F269" s="62" t="inlineStr">
        <is>
          <t>Medium</t>
        </is>
      </c>
      <c r="G269" s="62" t="inlineStr">
        <is>
          <t>Depth</t>
        </is>
      </c>
      <c r="H269" s="62" t="inlineStr">
        <is>
          <t>LeetCode</t>
        </is>
      </c>
      <c r="I269" s="62" t="inlineStr">
        <is>
          <t>https://leetcode.com/problems/guess-number-higher-or-lower-ii/</t>
        </is>
      </c>
      <c r="J269" s="62" t="inlineStr">
        <is>
          <t>Not Started</t>
        </is>
      </c>
      <c r="K269" s="62" t="n"/>
      <c r="L269" s="62" t="n"/>
      <c r="M269" s="68" t="n"/>
      <c r="N269" s="68">
        <f>IF($M269="","",$M269+IF($K269="",Dashboard!$M$9,INDEX(Dashboard!$M$5:$M$9,$K269)))</f>
        <v/>
      </c>
      <c r="O269" s="62">
        <f>IF(OR($J269="Attempted",$J269="Revisit"),"DUE",IF($N269="","",IF($N269&lt;=TODAY(),"DUE","")))</f>
        <v/>
      </c>
      <c r="P269" s="62" t="inlineStr">
        <is>
          <t>v3 addition</t>
        </is>
      </c>
    </row>
    <row r="270" ht="15" customHeight="1" s="32">
      <c r="A270" s="62" t="n">
        <v>269</v>
      </c>
      <c r="B270" s="62" t="inlineStr">
        <is>
          <t>2. Search, Strings &amp; Math - Depth</t>
        </is>
      </c>
      <c r="C270" s="62" t="inlineStr">
        <is>
          <t>07. Binary Search</t>
        </is>
      </c>
      <c r="D270" s="62" t="inlineStr">
        <is>
          <t>Rotated array</t>
        </is>
      </c>
      <c r="E270" s="62" t="inlineStr">
        <is>
          <t>Search in Rotated Sorted Array II</t>
        </is>
      </c>
      <c r="F270" s="62" t="inlineStr">
        <is>
          <t>Medium</t>
        </is>
      </c>
      <c r="G270" s="62" t="inlineStr">
        <is>
          <t>Depth</t>
        </is>
      </c>
      <c r="H270" s="62" t="inlineStr">
        <is>
          <t>LeetCode</t>
        </is>
      </c>
      <c r="I270" s="62" t="inlineStr">
        <is>
          <t>https://leetcode.com/problems/search-in-rotated-sorted-array-ii/</t>
        </is>
      </c>
      <c r="J270" s="62" t="inlineStr">
        <is>
          <t>Not Started</t>
        </is>
      </c>
      <c r="K270" s="62" t="n"/>
      <c r="L270" s="62" t="n"/>
      <c r="M270" s="68" t="n"/>
      <c r="N270" s="68">
        <f>IF($M270="","",$M270+IF($K270="",Dashboard!$M$9,INDEX(Dashboard!$M$5:$M$9,$K270)))</f>
        <v/>
      </c>
      <c r="O270" s="62">
        <f>IF(OR($J270="Attempted",$J270="Revisit"),"DUE",IF($N270="","",IF($N270&lt;=TODAY(),"DUE","")))</f>
        <v/>
      </c>
      <c r="P270" s="62" t="inlineStr">
        <is>
          <t>v3 addition</t>
        </is>
      </c>
    </row>
    <row r="271" ht="15" customHeight="1" s="32">
      <c r="A271" s="62" t="n">
        <v>270</v>
      </c>
      <c r="B271" s="62" t="inlineStr">
        <is>
          <t>2. Search, Strings &amp; Math - Depth</t>
        </is>
      </c>
      <c r="C271" s="62" t="inlineStr">
        <is>
          <t>07. Binary Search</t>
        </is>
      </c>
      <c r="D271" s="62" t="inlineStr">
        <is>
          <t>Peak finding</t>
        </is>
      </c>
      <c r="E271" s="62" t="inlineStr">
        <is>
          <t>Find a Peak Element II</t>
        </is>
      </c>
      <c r="F271" s="62" t="inlineStr">
        <is>
          <t>Medium</t>
        </is>
      </c>
      <c r="G271" s="62" t="inlineStr">
        <is>
          <t>Depth</t>
        </is>
      </c>
      <c r="H271" s="62" t="inlineStr">
        <is>
          <t>LeetCode</t>
        </is>
      </c>
      <c r="I271" s="62" t="inlineStr">
        <is>
          <t>https://leetcode.com/problems/find-a-peak-element-ii/</t>
        </is>
      </c>
      <c r="J271" s="62" t="inlineStr">
        <is>
          <t>Not Started</t>
        </is>
      </c>
      <c r="K271" s="62" t="n"/>
      <c r="L271" s="62" t="n"/>
      <c r="M271" s="68" t="n"/>
      <c r="N271" s="68">
        <f>IF($M271="","",$M271+IF($K271="",Dashboard!$M$9,INDEX(Dashboard!$M$5:$M$9,$K271)))</f>
        <v/>
      </c>
      <c r="O271" s="62">
        <f>IF(OR($J271="Attempted",$J271="Revisit"),"DUE",IF($N271="","",IF($N271&lt;=TODAY(),"DUE","")))</f>
        <v/>
      </c>
      <c r="P271" s="62" t="inlineStr">
        <is>
          <t>v3 addition</t>
        </is>
      </c>
    </row>
    <row r="272" ht="15" customHeight="1" s="32">
      <c r="A272" s="62" t="n">
        <v>271</v>
      </c>
      <c r="B272" s="62" t="inlineStr">
        <is>
          <t>2. Search, Strings &amp; Math - Depth</t>
        </is>
      </c>
      <c r="C272" s="62" t="inlineStr">
        <is>
          <t>07. Binary Search</t>
        </is>
      </c>
      <c r="D272" s="62" t="inlineStr">
        <is>
          <t>Peak finding</t>
        </is>
      </c>
      <c r="E272" s="62" t="inlineStr">
        <is>
          <t>Search in Bitonic Array</t>
        </is>
      </c>
      <c r="F272" s="62" t="inlineStr">
        <is>
          <t>Medium</t>
        </is>
      </c>
      <c r="G272" s="62" t="inlineStr">
        <is>
          <t>Depth</t>
        </is>
      </c>
      <c r="H272" s="62" t="inlineStr">
        <is>
          <t>GeeksforGeeks</t>
        </is>
      </c>
      <c r="I272" s="62" t="inlineStr">
        <is>
          <t>https://www.geeksforgeeks.org/search/?q=Search+in+Bitonic+Array</t>
        </is>
      </c>
      <c r="J272" s="62" t="inlineStr">
        <is>
          <t>Not Started</t>
        </is>
      </c>
      <c r="K272" s="62" t="n"/>
      <c r="L272" s="62" t="n"/>
      <c r="M272" s="68" t="n"/>
      <c r="N272" s="68">
        <f>IF($M272="","",$M272+IF($K272="",Dashboard!$M$9,INDEX(Dashboard!$M$5:$M$9,$K272)))</f>
        <v/>
      </c>
      <c r="O272" s="62">
        <f>IF(OR($J272="Attempted",$J272="Revisit"),"DUE",IF($N272="","",IF($N272&lt;=TODAY(),"DUE","")))</f>
        <v/>
      </c>
      <c r="P272" s="62" t="n"/>
    </row>
    <row r="273" ht="15" customHeight="1" s="32">
      <c r="A273" s="62" t="n">
        <v>272</v>
      </c>
      <c r="B273" s="62" t="inlineStr">
        <is>
          <t>2. Search, Strings &amp; Math - Depth</t>
        </is>
      </c>
      <c r="C273" s="62" t="inlineStr">
        <is>
          <t>07. Binary Search</t>
        </is>
      </c>
      <c r="D273" s="62" t="inlineStr">
        <is>
          <t>Parity trick</t>
        </is>
      </c>
      <c r="E273" s="62" t="inlineStr">
        <is>
          <t>Missing Element in Sorted Array</t>
        </is>
      </c>
      <c r="F273" s="62" t="inlineStr">
        <is>
          <t>Medium</t>
        </is>
      </c>
      <c r="G273" s="62" t="inlineStr">
        <is>
          <t>Depth</t>
        </is>
      </c>
      <c r="H273" s="62" t="inlineStr">
        <is>
          <t>GeeksforGeeks</t>
        </is>
      </c>
      <c r="I273" s="62" t="inlineStr">
        <is>
          <t>https://www.geeksforgeeks.org/search/?q=Missing+Element+in+Sorted+Array</t>
        </is>
      </c>
      <c r="J273" s="62" t="inlineStr">
        <is>
          <t>Not Started</t>
        </is>
      </c>
      <c r="K273" s="62" t="n"/>
      <c r="L273" s="62" t="n"/>
      <c r="M273" s="68" t="n"/>
      <c r="N273" s="68">
        <f>IF($M273="","",$M273+IF($K273="",Dashboard!$M$9,INDEX(Dashboard!$M$5:$M$9,$K273)))</f>
        <v/>
      </c>
      <c r="O273" s="62">
        <f>IF(OR($J273="Attempted",$J273="Revisit"),"DUE",IF($N273="","",IF($N273&lt;=TODAY(),"DUE","")))</f>
        <v/>
      </c>
      <c r="P273" s="62" t="n"/>
    </row>
    <row r="274" ht="15" customHeight="1" s="32">
      <c r="A274" s="62" t="n">
        <v>273</v>
      </c>
      <c r="B274" s="62" t="inlineStr">
        <is>
          <t>2. Search, Strings &amp; Math - Depth</t>
        </is>
      </c>
      <c r="C274" s="62" t="inlineStr">
        <is>
          <t>07. Binary Search</t>
        </is>
      </c>
      <c r="D274" s="62" t="inlineStr">
        <is>
          <t>Unbounded BS</t>
        </is>
      </c>
      <c r="E274" s="62" t="inlineStr">
        <is>
          <t>Search in a Sorted Array of Unknown Size</t>
        </is>
      </c>
      <c r="F274" s="62" t="inlineStr">
        <is>
          <t>Medium</t>
        </is>
      </c>
      <c r="G274" s="62" t="inlineStr">
        <is>
          <t>Depth</t>
        </is>
      </c>
      <c r="H274" s="62" t="inlineStr">
        <is>
          <t>LeetCode</t>
        </is>
      </c>
      <c r="I274" s="62" t="inlineStr">
        <is>
          <t>https://leetcode.com/problems/search-in-a-sorted-array-of-unknown-size/</t>
        </is>
      </c>
      <c r="J274" s="62" t="inlineStr">
        <is>
          <t>Not Started</t>
        </is>
      </c>
      <c r="K274" s="62" t="n"/>
      <c r="L274" s="62" t="n"/>
      <c r="M274" s="68" t="n"/>
      <c r="N274" s="68">
        <f>IF($M274="","",$M274+IF($K274="",Dashboard!$M$9,INDEX(Dashboard!$M$5:$M$9,$K274)))</f>
        <v/>
      </c>
      <c r="O274" s="62">
        <f>IF(OR($J274="Attempted",$J274="Revisit"),"DUE",IF($N274="","",IF($N274&lt;=TODAY(),"DUE","")))</f>
        <v/>
      </c>
      <c r="P274" s="62" t="inlineStr">
        <is>
          <t>v3 addition</t>
        </is>
      </c>
    </row>
    <row r="275" ht="15" customHeight="1" s="32">
      <c r="A275" s="62" t="n">
        <v>274</v>
      </c>
      <c r="B275" s="62" t="inlineStr">
        <is>
          <t>2. Search, Strings &amp; Math - Depth</t>
        </is>
      </c>
      <c r="C275" s="62" t="inlineStr">
        <is>
          <t>07. Binary Search</t>
        </is>
      </c>
      <c r="D275" s="62" t="inlineStr">
        <is>
          <t>Unbounded BS</t>
        </is>
      </c>
      <c r="E275" s="62" t="inlineStr">
        <is>
          <t>First Occurrence in an Infinite Sorted Array</t>
        </is>
      </c>
      <c r="F275" s="62" t="inlineStr">
        <is>
          <t>Medium</t>
        </is>
      </c>
      <c r="G275" s="62" t="inlineStr">
        <is>
          <t>Depth</t>
        </is>
      </c>
      <c r="H275" s="62" t="inlineStr">
        <is>
          <t>GeeksforGeeks</t>
        </is>
      </c>
      <c r="I275" s="62" t="inlineStr">
        <is>
          <t>https://www.geeksforgeeks.org/search/?q=First+Occurrence+in+an+Infinite+Sorted+Array</t>
        </is>
      </c>
      <c r="J275" s="62" t="inlineStr">
        <is>
          <t>Not Started</t>
        </is>
      </c>
      <c r="K275" s="62" t="n"/>
      <c r="L275" s="62" t="n"/>
      <c r="M275" s="68" t="n"/>
      <c r="N275" s="68">
        <f>IF($M275="","",$M275+IF($K275="",Dashboard!$M$9,INDEX(Dashboard!$M$5:$M$9,$K275)))</f>
        <v/>
      </c>
      <c r="O275" s="62">
        <f>IF(OR($J275="Attempted",$J275="Revisit"),"DUE",IF($N275="","",IF($N275&lt;=TODAY(),"DUE","")))</f>
        <v/>
      </c>
      <c r="P275" s="62" t="n"/>
    </row>
    <row r="276" ht="15" customHeight="1" s="32">
      <c r="A276" s="62" t="n">
        <v>275</v>
      </c>
      <c r="B276" s="62" t="inlineStr">
        <is>
          <t>2. Search, Strings &amp; Math - Depth</t>
        </is>
      </c>
      <c r="C276" s="62" t="inlineStr">
        <is>
          <t>07. Binary Search</t>
        </is>
      </c>
      <c r="D276" s="62" t="inlineStr">
        <is>
          <t>Unbounded BS</t>
        </is>
      </c>
      <c r="E276" s="62" t="inlineStr">
        <is>
          <t>Find Position of First 1 in an Infinite Sorted Binary Array</t>
        </is>
      </c>
      <c r="F276" s="62" t="inlineStr">
        <is>
          <t>Medium</t>
        </is>
      </c>
      <c r="G276" s="62" t="inlineStr">
        <is>
          <t>Depth</t>
        </is>
      </c>
      <c r="H276" s="62" t="inlineStr">
        <is>
          <t>GeeksforGeeks</t>
        </is>
      </c>
      <c r="I276" s="62" t="inlineStr">
        <is>
          <t>https://www.geeksforgeeks.org/search/?q=Find+Position+of+First+1+in+an+Infinite+Sorted+Binary+Array</t>
        </is>
      </c>
      <c r="J276" s="62" t="inlineStr">
        <is>
          <t>Not Started</t>
        </is>
      </c>
      <c r="K276" s="62" t="n"/>
      <c r="L276" s="62" t="n"/>
      <c r="M276" s="68" t="n"/>
      <c r="N276" s="68">
        <f>IF($M276="","",$M276+IF($K276="",Dashboard!$M$9,INDEX(Dashboard!$M$5:$M$9,$K276)))</f>
        <v/>
      </c>
      <c r="O276" s="62">
        <f>IF(OR($J276="Attempted",$J276="Revisit"),"DUE",IF($N276="","",IF($N276&lt;=TODAY(),"DUE","")))</f>
        <v/>
      </c>
      <c r="P276" s="62" t="n"/>
    </row>
    <row r="277" ht="15" customHeight="1" s="32">
      <c r="A277" s="62" t="n">
        <v>276</v>
      </c>
      <c r="B277" s="62" t="inlineStr">
        <is>
          <t>2. Search, Strings &amp; Math - Depth</t>
        </is>
      </c>
      <c r="C277" s="62" t="inlineStr">
        <is>
          <t>07. Binary Search</t>
        </is>
      </c>
      <c r="D277" s="62" t="inlineStr">
        <is>
          <t>BS on matrix</t>
        </is>
      </c>
      <c r="E277" s="62" t="inlineStr">
        <is>
          <t>Kth Smallest Element in a Sorted Matrix</t>
        </is>
      </c>
      <c r="F277" s="62" t="inlineStr">
        <is>
          <t>Medium</t>
        </is>
      </c>
      <c r="G277" s="62" t="inlineStr">
        <is>
          <t>Depth</t>
        </is>
      </c>
      <c r="H277" s="62" t="inlineStr">
        <is>
          <t>LeetCode</t>
        </is>
      </c>
      <c r="I277" s="62" t="inlineStr">
        <is>
          <t>https://leetcode.com/problems/kth-smallest-element-in-a-sorted-matrix/</t>
        </is>
      </c>
      <c r="J277" s="62" t="inlineStr">
        <is>
          <t>Not Started</t>
        </is>
      </c>
      <c r="K277" s="62" t="n"/>
      <c r="L277" s="62" t="n"/>
      <c r="M277" s="68" t="n"/>
      <c r="N277" s="68">
        <f>IF($M277="","",$M277+IF($K277="",Dashboard!$M$9,INDEX(Dashboard!$M$5:$M$9,$K277)))</f>
        <v/>
      </c>
      <c r="O277" s="62">
        <f>IF(OR($J277="Attempted",$J277="Revisit"),"DUE",IF($N277="","",IF($N277&lt;=TODAY(),"DUE","")))</f>
        <v/>
      </c>
      <c r="P277" s="62" t="inlineStr">
        <is>
          <t>v3 addition</t>
        </is>
      </c>
    </row>
    <row r="278" ht="15" customHeight="1" s="32">
      <c r="A278" s="62" t="n">
        <v>277</v>
      </c>
      <c r="B278" s="62" t="inlineStr">
        <is>
          <t>2. Search, Strings &amp; Math - Depth</t>
        </is>
      </c>
      <c r="C278" s="62" t="inlineStr">
        <is>
          <t>07. Binary Search</t>
        </is>
      </c>
      <c r="D278" s="62" t="inlineStr">
        <is>
          <t>Partition BS</t>
        </is>
      </c>
      <c r="E278" s="62" t="inlineStr">
        <is>
          <t>Median of Two Sorted Arrays</t>
        </is>
      </c>
      <c r="F278" s="62" t="inlineStr">
        <is>
          <t>Hard</t>
        </is>
      </c>
      <c r="G278" s="62" t="inlineStr">
        <is>
          <t>Depth</t>
        </is>
      </c>
      <c r="H278" s="62" t="inlineStr">
        <is>
          <t>LeetCode</t>
        </is>
      </c>
      <c r="I278" s="62" t="inlineStr">
        <is>
          <t>https://leetcode.com/problems/median-of-two-sorted-arrays/</t>
        </is>
      </c>
      <c r="J278" s="62" t="inlineStr">
        <is>
          <t>Not Started</t>
        </is>
      </c>
      <c r="K278" s="62" t="n"/>
      <c r="L278" s="62" t="n"/>
      <c r="M278" s="68" t="n"/>
      <c r="N278" s="68">
        <f>IF($M278="","",$M278+IF($K278="",Dashboard!$M$9,INDEX(Dashboard!$M$5:$M$9,$K278)))</f>
        <v/>
      </c>
      <c r="O278" s="62">
        <f>IF(OR($J278="Attempted",$J278="Revisit"),"DUE",IF($N278="","",IF($N278&lt;=TODAY(),"DUE","")))</f>
        <v/>
      </c>
      <c r="P278" s="62" t="inlineStr">
        <is>
          <t>v3 addition</t>
        </is>
      </c>
    </row>
    <row r="279" ht="15" customHeight="1" s="32">
      <c r="A279" s="62" t="n">
        <v>278</v>
      </c>
      <c r="B279" s="62" t="inlineStr">
        <is>
          <t>2. Search, Strings &amp; Math - Depth</t>
        </is>
      </c>
      <c r="C279" s="62" t="inlineStr">
        <is>
          <t>07. Binary Search</t>
        </is>
      </c>
      <c r="D279" s="62" t="inlineStr">
        <is>
          <t>Partition BS</t>
        </is>
      </c>
      <c r="E279" s="62" t="inlineStr">
        <is>
          <t>K-th Element of Two Sorted Arrays</t>
        </is>
      </c>
      <c r="F279" s="62" t="inlineStr">
        <is>
          <t>Hard</t>
        </is>
      </c>
      <c r="G279" s="62" t="inlineStr">
        <is>
          <t>Depth</t>
        </is>
      </c>
      <c r="H279" s="62" t="inlineStr">
        <is>
          <t>GeeksforGeeks</t>
        </is>
      </c>
      <c r="I279" s="62" t="inlineStr">
        <is>
          <t>https://www.geeksforgeeks.org/problems/k-th-element-of-two-sorted-array1317/1</t>
        </is>
      </c>
      <c r="J279" s="62" t="inlineStr">
        <is>
          <t>Not Started</t>
        </is>
      </c>
      <c r="K279" s="62" t="n"/>
      <c r="L279" s="62" t="n"/>
      <c r="M279" s="68" t="n"/>
      <c r="N279" s="68">
        <f>IF($M279="","",$M279+IF($K279="",Dashboard!$M$9,INDEX(Dashboard!$M$5:$M$9,$K279)))</f>
        <v/>
      </c>
      <c r="O279" s="62">
        <f>IF(OR($J279="Attempted",$J279="Revisit"),"DUE",IF($N279="","",IF($N279&lt;=TODAY(),"DUE","")))</f>
        <v/>
      </c>
      <c r="P279" s="62" t="inlineStr">
        <is>
          <t>v3 addition</t>
        </is>
      </c>
    </row>
    <row r="280" ht="15" customHeight="1" s="32">
      <c r="A280" s="62" t="n">
        <v>279</v>
      </c>
      <c r="B280" s="62" t="inlineStr">
        <is>
          <t>2. Search, Strings &amp; Math - Depth</t>
        </is>
      </c>
      <c r="C280" s="62" t="inlineStr">
        <is>
          <t>08. Strings</t>
        </is>
      </c>
      <c r="D280" s="62" t="inlineStr">
        <is>
          <t>Basics</t>
        </is>
      </c>
      <c r="E280" s="62" t="inlineStr">
        <is>
          <t>String Compression</t>
        </is>
      </c>
      <c r="F280" s="62" t="inlineStr">
        <is>
          <t>Medium</t>
        </is>
      </c>
      <c r="G280" s="62" t="inlineStr">
        <is>
          <t>Depth</t>
        </is>
      </c>
      <c r="H280" s="62" t="inlineStr">
        <is>
          <t>LeetCode</t>
        </is>
      </c>
      <c r="I280" s="62" t="inlineStr">
        <is>
          <t>https://leetcode.com/problems/string-compression/</t>
        </is>
      </c>
      <c r="J280" s="62" t="inlineStr">
        <is>
          <t>Not Started</t>
        </is>
      </c>
      <c r="K280" s="62" t="n"/>
      <c r="L280" s="62" t="n"/>
      <c r="M280" s="68" t="n"/>
      <c r="N280" s="68">
        <f>IF($M280="","",$M280+IF($K280="",Dashboard!$M$9,INDEX(Dashboard!$M$5:$M$9,$K280)))</f>
        <v/>
      </c>
      <c r="O280" s="62">
        <f>IF(OR($J280="Attempted",$J280="Revisit"),"DUE",IF($N280="","",IF($N280&lt;=TODAY(),"DUE","")))</f>
        <v/>
      </c>
      <c r="P280" s="62" t="n"/>
    </row>
    <row r="281" ht="15" customHeight="1" s="32">
      <c r="A281" s="62" t="n">
        <v>280</v>
      </c>
      <c r="B281" s="62" t="inlineStr">
        <is>
          <t>2. Search, Strings &amp; Math - Depth</t>
        </is>
      </c>
      <c r="C281" s="62" t="inlineStr">
        <is>
          <t>08. Strings</t>
        </is>
      </c>
      <c r="D281" s="62" t="inlineStr">
        <is>
          <t>Anagram</t>
        </is>
      </c>
      <c r="E281" s="62" t="inlineStr">
        <is>
          <t>Minimum Number of Steps to Make Two Strings Anagram</t>
        </is>
      </c>
      <c r="F281" s="62" t="inlineStr">
        <is>
          <t>Medium</t>
        </is>
      </c>
      <c r="G281" s="62" t="inlineStr">
        <is>
          <t>Depth</t>
        </is>
      </c>
      <c r="H281" s="62" t="inlineStr">
        <is>
          <t>LeetCode</t>
        </is>
      </c>
      <c r="I281" s="62" t="inlineStr">
        <is>
          <t>https://leetcode.com/problems/minimum-number-of-steps-to-make-two-strings-anagram/</t>
        </is>
      </c>
      <c r="J281" s="62" t="inlineStr">
        <is>
          <t>Not Started</t>
        </is>
      </c>
      <c r="K281" s="62" t="n"/>
      <c r="L281" s="62" t="n"/>
      <c r="M281" s="68" t="n"/>
      <c r="N281" s="68">
        <f>IF($M281="","",$M281+IF($K281="",Dashboard!$M$9,INDEX(Dashboard!$M$5:$M$9,$K281)))</f>
        <v/>
      </c>
      <c r="O281" s="62">
        <f>IF(OR($J281="Attempted",$J281="Revisit"),"DUE",IF($N281="","",IF($N281&lt;=TODAY(),"DUE","")))</f>
        <v/>
      </c>
      <c r="P281" s="62" t="n"/>
    </row>
    <row r="282" ht="15" customHeight="1" s="32">
      <c r="A282" s="62" t="n">
        <v>281</v>
      </c>
      <c r="B282" s="62" t="inlineStr">
        <is>
          <t>2. Search, Strings &amp; Math - Depth</t>
        </is>
      </c>
      <c r="C282" s="62" t="inlineStr">
        <is>
          <t>08. Strings</t>
        </is>
      </c>
      <c r="D282" s="62" t="inlineStr">
        <is>
          <t>Anagram</t>
        </is>
      </c>
      <c r="E282" s="62" t="inlineStr">
        <is>
          <t>Determine if Two Strings Are Close</t>
        </is>
      </c>
      <c r="F282" s="62" t="inlineStr">
        <is>
          <t>Medium</t>
        </is>
      </c>
      <c r="G282" s="62" t="inlineStr">
        <is>
          <t>Depth</t>
        </is>
      </c>
      <c r="H282" s="62" t="inlineStr">
        <is>
          <t>LeetCode</t>
        </is>
      </c>
      <c r="I282" s="62" t="inlineStr">
        <is>
          <t>https://leetcode.com/problems/determine-if-two-strings-are-close/</t>
        </is>
      </c>
      <c r="J282" s="62" t="inlineStr">
        <is>
          <t>Not Started</t>
        </is>
      </c>
      <c r="K282" s="62" t="n"/>
      <c r="L282" s="62" t="n"/>
      <c r="M282" s="68" t="n"/>
      <c r="N282" s="68">
        <f>IF($M282="","",$M282+IF($K282="",Dashboard!$M$9,INDEX(Dashboard!$M$5:$M$9,$K282)))</f>
        <v/>
      </c>
      <c r="O282" s="62">
        <f>IF(OR($J282="Attempted",$J282="Revisit"),"DUE",IF($N282="","",IF($N282&lt;=TODAY(),"DUE","")))</f>
        <v/>
      </c>
      <c r="P282" s="62" t="n"/>
    </row>
    <row r="283" ht="15" customHeight="1" s="32">
      <c r="A283" s="62" t="n">
        <v>282</v>
      </c>
      <c r="B283" s="62" t="inlineStr">
        <is>
          <t>2. Search, Strings &amp; Math - Depth</t>
        </is>
      </c>
      <c r="C283" s="62" t="inlineStr">
        <is>
          <t>08. Strings</t>
        </is>
      </c>
      <c r="D283" s="62" t="inlineStr">
        <is>
          <t>Mapping</t>
        </is>
      </c>
      <c r="E283" s="62" t="inlineStr">
        <is>
          <t>Find and Replace Pattern</t>
        </is>
      </c>
      <c r="F283" s="62" t="inlineStr">
        <is>
          <t>Medium</t>
        </is>
      </c>
      <c r="G283" s="62" t="inlineStr">
        <is>
          <t>Depth</t>
        </is>
      </c>
      <c r="H283" s="62" t="inlineStr">
        <is>
          <t>LeetCode</t>
        </is>
      </c>
      <c r="I283" s="62" t="inlineStr">
        <is>
          <t>https://leetcode.com/problems/find-and-replace-pattern/</t>
        </is>
      </c>
      <c r="J283" s="62" t="inlineStr">
        <is>
          <t>Not Started</t>
        </is>
      </c>
      <c r="K283" s="62" t="n"/>
      <c r="L283" s="62" t="n"/>
      <c r="M283" s="68" t="n"/>
      <c r="N283" s="68">
        <f>IF($M283="","",$M283+IF($K283="",Dashboard!$M$9,INDEX(Dashboard!$M$5:$M$9,$K283)))</f>
        <v/>
      </c>
      <c r="O283" s="62">
        <f>IF(OR($J283="Attempted",$J283="Revisit"),"DUE",IF($N283="","",IF($N283&lt;=TODAY(),"DUE","")))</f>
        <v/>
      </c>
      <c r="P283" s="62" t="n"/>
    </row>
    <row r="284" ht="15" customHeight="1" s="32">
      <c r="A284" s="62" t="n">
        <v>283</v>
      </c>
      <c r="B284" s="62" t="inlineStr">
        <is>
          <t>2. Search, Strings &amp; Math - Depth</t>
        </is>
      </c>
      <c r="C284" s="62" t="inlineStr">
        <is>
          <t>08. Strings</t>
        </is>
      </c>
      <c r="D284" s="62" t="inlineStr">
        <is>
          <t>Mapping</t>
        </is>
      </c>
      <c r="E284" s="62" t="inlineStr">
        <is>
          <t>Bulls and Cows</t>
        </is>
      </c>
      <c r="F284" s="62" t="inlineStr">
        <is>
          <t>Medium</t>
        </is>
      </c>
      <c r="G284" s="62" t="inlineStr">
        <is>
          <t>Depth</t>
        </is>
      </c>
      <c r="H284" s="62" t="inlineStr">
        <is>
          <t>LeetCode</t>
        </is>
      </c>
      <c r="I284" s="62" t="inlineStr">
        <is>
          <t>https://leetcode.com/problems/bulls-and-cows/</t>
        </is>
      </c>
      <c r="J284" s="62" t="inlineStr">
        <is>
          <t>Not Started</t>
        </is>
      </c>
      <c r="K284" s="62" t="n"/>
      <c r="L284" s="62" t="n"/>
      <c r="M284" s="68" t="n"/>
      <c r="N284" s="68">
        <f>IF($M284="","",$M284+IF($K284="",Dashboard!$M$9,INDEX(Dashboard!$M$5:$M$9,$K284)))</f>
        <v/>
      </c>
      <c r="O284" s="62">
        <f>IF(OR($J284="Attempted",$J284="Revisit"),"DUE",IF($N284="","",IF($N284&lt;=TODAY(),"DUE","")))</f>
        <v/>
      </c>
      <c r="P284" s="62" t="n"/>
    </row>
    <row r="285" ht="15" customHeight="1" s="32">
      <c r="A285" s="62" t="n">
        <v>284</v>
      </c>
      <c r="B285" s="62" t="inlineStr">
        <is>
          <t>2. Search, Strings &amp; Math - Depth</t>
        </is>
      </c>
      <c r="C285" s="62" t="inlineStr">
        <is>
          <t>08. Strings</t>
        </is>
      </c>
      <c r="D285" s="62" t="inlineStr">
        <is>
          <t>Palindrome</t>
        </is>
      </c>
      <c r="E285" s="62" t="inlineStr">
        <is>
          <t>Break a Palindrome</t>
        </is>
      </c>
      <c r="F285" s="62" t="inlineStr">
        <is>
          <t>Medium</t>
        </is>
      </c>
      <c r="G285" s="62" t="inlineStr">
        <is>
          <t>Depth</t>
        </is>
      </c>
      <c r="H285" s="62" t="inlineStr">
        <is>
          <t>LeetCode</t>
        </is>
      </c>
      <c r="I285" s="62" t="inlineStr">
        <is>
          <t>https://leetcode.com/problems/break-a-palindrome/</t>
        </is>
      </c>
      <c r="J285" s="62" t="inlineStr">
        <is>
          <t>Not Started</t>
        </is>
      </c>
      <c r="K285" s="62" t="n"/>
      <c r="L285" s="62" t="n"/>
      <c r="M285" s="68" t="n"/>
      <c r="N285" s="68">
        <f>IF($M285="","",$M285+IF($K285="",Dashboard!$M$9,INDEX(Dashboard!$M$5:$M$9,$K285)))</f>
        <v/>
      </c>
      <c r="O285" s="62">
        <f>IF(OR($J285="Attempted",$J285="Revisit"),"DUE",IF($N285="","",IF($N285&lt;=TODAY(),"DUE","")))</f>
        <v/>
      </c>
      <c r="P285" s="62" t="n"/>
    </row>
    <row r="286" ht="15" customHeight="1" s="32">
      <c r="A286" s="62" t="n">
        <v>285</v>
      </c>
      <c r="B286" s="62" t="inlineStr">
        <is>
          <t>2. Search, Strings &amp; Math - Depth</t>
        </is>
      </c>
      <c r="C286" s="62" t="inlineStr">
        <is>
          <t>08. Strings</t>
        </is>
      </c>
      <c r="D286" s="62" t="inlineStr">
        <is>
          <t>Palindrome</t>
        </is>
      </c>
      <c r="E286" s="62" t="inlineStr">
        <is>
          <t>Longest Palindrome by Concatenating Two Letter Words</t>
        </is>
      </c>
      <c r="F286" s="62" t="inlineStr">
        <is>
          <t>Medium</t>
        </is>
      </c>
      <c r="G286" s="62" t="inlineStr">
        <is>
          <t>Depth</t>
        </is>
      </c>
      <c r="H286" s="62" t="inlineStr">
        <is>
          <t>LeetCode</t>
        </is>
      </c>
      <c r="I286" s="62" t="inlineStr">
        <is>
          <t>https://leetcode.com/problems/longest-palindrome-by-concatenating-two-letter-words/</t>
        </is>
      </c>
      <c r="J286" s="62" t="inlineStr">
        <is>
          <t>Not Started</t>
        </is>
      </c>
      <c r="K286" s="62" t="n"/>
      <c r="L286" s="62" t="n"/>
      <c r="M286" s="68" t="n"/>
      <c r="N286" s="68">
        <f>IF($M286="","",$M286+IF($K286="",Dashboard!$M$9,INDEX(Dashboard!$M$5:$M$9,$K286)))</f>
        <v/>
      </c>
      <c r="O286" s="62">
        <f>IF(OR($J286="Attempted",$J286="Revisit"),"DUE",IF($N286="","",IF($N286&lt;=TODAY(),"DUE","")))</f>
        <v/>
      </c>
      <c r="P286" s="62" t="n"/>
    </row>
    <row r="287" ht="15" customHeight="1" s="32">
      <c r="A287" s="62" t="n">
        <v>286</v>
      </c>
      <c r="B287" s="62" t="inlineStr">
        <is>
          <t>2. Search, Strings &amp; Math - Depth</t>
        </is>
      </c>
      <c r="C287" s="62" t="inlineStr">
        <is>
          <t>08. Strings</t>
        </is>
      </c>
      <c r="D287" s="62" t="inlineStr">
        <is>
          <t>Parsing</t>
        </is>
      </c>
      <c r="E287" s="62" t="inlineStr">
        <is>
          <t>Integer to Roman</t>
        </is>
      </c>
      <c r="F287" s="62" t="inlineStr">
        <is>
          <t>Medium</t>
        </is>
      </c>
      <c r="G287" s="62" t="inlineStr">
        <is>
          <t>Depth</t>
        </is>
      </c>
      <c r="H287" s="62" t="inlineStr">
        <is>
          <t>LeetCode</t>
        </is>
      </c>
      <c r="I287" s="62" t="inlineStr">
        <is>
          <t>https://leetcode.com/problems/integer-to-roman/</t>
        </is>
      </c>
      <c r="J287" s="62" t="inlineStr">
        <is>
          <t>Not Started</t>
        </is>
      </c>
      <c r="K287" s="62" t="n"/>
      <c r="L287" s="62" t="n"/>
      <c r="M287" s="68" t="n"/>
      <c r="N287" s="68">
        <f>IF($M287="","",$M287+IF($K287="",Dashboard!$M$9,INDEX(Dashboard!$M$5:$M$9,$K287)))</f>
        <v/>
      </c>
      <c r="O287" s="62">
        <f>IF(OR($J287="Attempted",$J287="Revisit"),"DUE",IF($N287="","",IF($N287&lt;=TODAY(),"DUE","")))</f>
        <v/>
      </c>
      <c r="P287" s="62" t="inlineStr">
        <is>
          <t>v3 addition</t>
        </is>
      </c>
    </row>
    <row r="288" ht="15" customHeight="1" s="32">
      <c r="A288" s="62" t="n">
        <v>287</v>
      </c>
      <c r="B288" s="62" t="inlineStr">
        <is>
          <t>2. Search, Strings &amp; Math - Depth</t>
        </is>
      </c>
      <c r="C288" s="62" t="inlineStr">
        <is>
          <t>08. Strings</t>
        </is>
      </c>
      <c r="D288" s="62" t="inlineStr">
        <is>
          <t>Parsing</t>
        </is>
      </c>
      <c r="E288" s="62" t="inlineStr">
        <is>
          <t>String to Integer (atoi)</t>
        </is>
      </c>
      <c r="F288" s="62" t="inlineStr">
        <is>
          <t>Medium</t>
        </is>
      </c>
      <c r="G288" s="62" t="inlineStr">
        <is>
          <t>Depth</t>
        </is>
      </c>
      <c r="H288" s="62" t="inlineStr">
        <is>
          <t>LeetCode</t>
        </is>
      </c>
      <c r="I288" s="62" t="inlineStr">
        <is>
          <t>https://leetcode.com/problems/string-to-integer-atoi/</t>
        </is>
      </c>
      <c r="J288" s="62" t="inlineStr">
        <is>
          <t>Not Started</t>
        </is>
      </c>
      <c r="K288" s="62" t="n"/>
      <c r="L288" s="62" t="n"/>
      <c r="M288" s="68" t="n"/>
      <c r="N288" s="68">
        <f>IF($M288="","",$M288+IF($K288="",Dashboard!$M$9,INDEX(Dashboard!$M$5:$M$9,$K288)))</f>
        <v/>
      </c>
      <c r="O288" s="62">
        <f>IF(OR($J288="Attempted",$J288="Revisit"),"DUE",IF($N288="","",IF($N288&lt;=TODAY(),"DUE","")))</f>
        <v/>
      </c>
      <c r="P288" s="62" t="inlineStr">
        <is>
          <t>v3 addition</t>
        </is>
      </c>
    </row>
    <row r="289" ht="15" customHeight="1" s="32">
      <c r="A289" s="62" t="n">
        <v>288</v>
      </c>
      <c r="B289" s="62" t="inlineStr">
        <is>
          <t>2. Search, Strings &amp; Math - Depth</t>
        </is>
      </c>
      <c r="C289" s="62" t="inlineStr">
        <is>
          <t>08. Strings</t>
        </is>
      </c>
      <c r="D289" s="62" t="inlineStr">
        <is>
          <t>Parsing</t>
        </is>
      </c>
      <c r="E289" s="62" t="inlineStr">
        <is>
          <t>Multiply Strings</t>
        </is>
      </c>
      <c r="F289" s="62" t="inlineStr">
        <is>
          <t>Medium</t>
        </is>
      </c>
      <c r="G289" s="62" t="inlineStr">
        <is>
          <t>Depth</t>
        </is>
      </c>
      <c r="H289" s="62" t="inlineStr">
        <is>
          <t>LeetCode</t>
        </is>
      </c>
      <c r="I289" s="62" t="inlineStr">
        <is>
          <t>https://leetcode.com/problems/multiply-strings/</t>
        </is>
      </c>
      <c r="J289" s="62" t="inlineStr">
        <is>
          <t>Not Started</t>
        </is>
      </c>
      <c r="K289" s="62" t="n"/>
      <c r="L289" s="62" t="n"/>
      <c r="M289" s="68" t="n"/>
      <c r="N289" s="68">
        <f>IF($M289="","",$M289+IF($K289="",Dashboard!$M$9,INDEX(Dashboard!$M$5:$M$9,$K289)))</f>
        <v/>
      </c>
      <c r="O289" s="62">
        <f>IF(OR($J289="Attempted",$J289="Revisit"),"DUE",IF($N289="","",IF($N289&lt;=TODAY(),"DUE","")))</f>
        <v/>
      </c>
      <c r="P289" s="62" t="inlineStr">
        <is>
          <t>v3 addition</t>
        </is>
      </c>
    </row>
    <row r="290" ht="15" customHeight="1" s="32">
      <c r="A290" s="62" t="n">
        <v>289</v>
      </c>
      <c r="B290" s="62" t="inlineStr">
        <is>
          <t>2. Search, Strings &amp; Math - Depth</t>
        </is>
      </c>
      <c r="C290" s="62" t="inlineStr">
        <is>
          <t>08. Strings</t>
        </is>
      </c>
      <c r="D290" s="62" t="inlineStr">
        <is>
          <t>Parsing</t>
        </is>
      </c>
      <c r="E290" s="62" t="inlineStr">
        <is>
          <t>Compare Version Numbers</t>
        </is>
      </c>
      <c r="F290" s="62" t="inlineStr">
        <is>
          <t>Medium</t>
        </is>
      </c>
      <c r="G290" s="62" t="inlineStr">
        <is>
          <t>Depth</t>
        </is>
      </c>
      <c r="H290" s="62" t="inlineStr">
        <is>
          <t>LeetCode</t>
        </is>
      </c>
      <c r="I290" s="62" t="inlineStr">
        <is>
          <t>https://leetcode.com/problems/compare-version-numbers/</t>
        </is>
      </c>
      <c r="J290" s="62" t="inlineStr">
        <is>
          <t>Not Started</t>
        </is>
      </c>
      <c r="K290" s="62" t="n"/>
      <c r="L290" s="62" t="n"/>
      <c r="M290" s="68" t="n"/>
      <c r="N290" s="68">
        <f>IF($M290="","",$M290+IF($K290="",Dashboard!$M$9,INDEX(Dashboard!$M$5:$M$9,$K290)))</f>
        <v/>
      </c>
      <c r="O290" s="62">
        <f>IF(OR($J290="Attempted",$J290="Revisit"),"DUE",IF($N290="","",IF($N290&lt;=TODAY(),"DUE","")))</f>
        <v/>
      </c>
      <c r="P290" s="62" t="n"/>
    </row>
    <row r="291" ht="15" customHeight="1" s="32">
      <c r="A291" s="62" t="n">
        <v>290</v>
      </c>
      <c r="B291" s="62" t="inlineStr">
        <is>
          <t>2. Search, Strings &amp; Math - Depth</t>
        </is>
      </c>
      <c r="C291" s="62" t="inlineStr">
        <is>
          <t>08. Strings</t>
        </is>
      </c>
      <c r="D291" s="62" t="inlineStr">
        <is>
          <t>Parsing</t>
        </is>
      </c>
      <c r="E291" s="62" t="inlineStr">
        <is>
          <t>Count and Say</t>
        </is>
      </c>
      <c r="F291" s="62" t="inlineStr">
        <is>
          <t>Medium</t>
        </is>
      </c>
      <c r="G291" s="62" t="inlineStr">
        <is>
          <t>Depth</t>
        </is>
      </c>
      <c r="H291" s="62" t="inlineStr">
        <is>
          <t>LeetCode</t>
        </is>
      </c>
      <c r="I291" s="62" t="inlineStr">
        <is>
          <t>https://leetcode.com/problems/count-and-say/</t>
        </is>
      </c>
      <c r="J291" s="62" t="inlineStr">
        <is>
          <t>Not Started</t>
        </is>
      </c>
      <c r="K291" s="62" t="n"/>
      <c r="L291" s="62" t="n"/>
      <c r="M291" s="68" t="n"/>
      <c r="N291" s="68">
        <f>IF($M291="","",$M291+IF($K291="",Dashboard!$M$9,INDEX(Dashboard!$M$5:$M$9,$K291)))</f>
        <v/>
      </c>
      <c r="O291" s="62">
        <f>IF(OR($J291="Attempted",$J291="Revisit"),"DUE",IF($N291="","",IF($N291&lt;=TODAY(),"DUE","")))</f>
        <v/>
      </c>
      <c r="P291" s="62" t="n"/>
    </row>
    <row r="292" ht="15" customHeight="1" s="32">
      <c r="A292" s="62" t="n">
        <v>291</v>
      </c>
      <c r="B292" s="62" t="inlineStr">
        <is>
          <t>2. Search, Strings &amp; Math - Depth</t>
        </is>
      </c>
      <c r="C292" s="62" t="inlineStr">
        <is>
          <t>08. Strings</t>
        </is>
      </c>
      <c r="D292" s="62" t="inlineStr">
        <is>
          <t>Simulation</t>
        </is>
      </c>
      <c r="E292" s="62" t="inlineStr">
        <is>
          <t>Repeated String Match</t>
        </is>
      </c>
      <c r="F292" s="62" t="inlineStr">
        <is>
          <t>Medium</t>
        </is>
      </c>
      <c r="G292" s="62" t="inlineStr">
        <is>
          <t>Depth</t>
        </is>
      </c>
      <c r="H292" s="62" t="inlineStr">
        <is>
          <t>LeetCode</t>
        </is>
      </c>
      <c r="I292" s="62" t="inlineStr">
        <is>
          <t>https://leetcode.com/problems/repeated-string-match/</t>
        </is>
      </c>
      <c r="J292" s="62" t="inlineStr">
        <is>
          <t>Not Started</t>
        </is>
      </c>
      <c r="K292" s="62" t="n"/>
      <c r="L292" s="62" t="n"/>
      <c r="M292" s="68" t="n"/>
      <c r="N292" s="68">
        <f>IF($M292="","",$M292+IF($K292="",Dashboard!$M$9,INDEX(Dashboard!$M$5:$M$9,$K292)))</f>
        <v/>
      </c>
      <c r="O292" s="62">
        <f>IF(OR($J292="Attempted",$J292="Revisit"),"DUE",IF($N292="","",IF($N292&lt;=TODAY(),"DUE","")))</f>
        <v/>
      </c>
      <c r="P292" s="62" t="n"/>
    </row>
    <row r="293" ht="15" customHeight="1" s="32">
      <c r="A293" s="62" t="n">
        <v>292</v>
      </c>
      <c r="B293" s="62" t="inlineStr">
        <is>
          <t>2. Search, Strings &amp; Math - Depth</t>
        </is>
      </c>
      <c r="C293" s="62" t="inlineStr">
        <is>
          <t>08. Strings</t>
        </is>
      </c>
      <c r="D293" s="62" t="inlineStr">
        <is>
          <t>Pattern matching</t>
        </is>
      </c>
      <c r="E293" s="62" t="inlineStr">
        <is>
          <t>Rotate String</t>
        </is>
      </c>
      <c r="F293" s="62" t="inlineStr">
        <is>
          <t>Easy</t>
        </is>
      </c>
      <c r="G293" s="62" t="inlineStr">
        <is>
          <t>Depth</t>
        </is>
      </c>
      <c r="H293" s="62" t="inlineStr">
        <is>
          <t>LeetCode</t>
        </is>
      </c>
      <c r="I293" s="62" t="inlineStr">
        <is>
          <t>https://leetcode.com/problems/rotate-string/</t>
        </is>
      </c>
      <c r="J293" s="62" t="inlineStr">
        <is>
          <t>Not Started</t>
        </is>
      </c>
      <c r="K293" s="62" t="n"/>
      <c r="L293" s="62" t="n"/>
      <c r="M293" s="68" t="n"/>
      <c r="N293" s="68">
        <f>IF($M293="","",$M293+IF($K293="",Dashboard!$M$9,INDEX(Dashboard!$M$5:$M$9,$K293)))</f>
        <v/>
      </c>
      <c r="O293" s="62">
        <f>IF(OR($J293="Attempted",$J293="Revisit"),"DUE",IF($N293="","",IF($N293&lt;=TODAY(),"DUE","")))</f>
        <v/>
      </c>
      <c r="P293" s="62" t="inlineStr">
        <is>
          <t>v3 addition</t>
        </is>
      </c>
    </row>
    <row r="294" ht="15" customHeight="1" s="32">
      <c r="A294" s="62" t="n">
        <v>293</v>
      </c>
      <c r="B294" s="62" t="inlineStr">
        <is>
          <t>2. Search, Strings &amp; Math - Depth</t>
        </is>
      </c>
      <c r="C294" s="62" t="inlineStr">
        <is>
          <t>08. Strings</t>
        </is>
      </c>
      <c r="D294" s="62" t="inlineStr">
        <is>
          <t>Pattern matching</t>
        </is>
      </c>
      <c r="E294" s="62" t="inlineStr">
        <is>
          <t>Longest Prefix Suffix (KMP)</t>
        </is>
      </c>
      <c r="F294" s="62" t="inlineStr">
        <is>
          <t>Medium</t>
        </is>
      </c>
      <c r="G294" s="62" t="inlineStr">
        <is>
          <t>Depth</t>
        </is>
      </c>
      <c r="H294" s="62" t="inlineStr">
        <is>
          <t>GeeksforGeeks</t>
        </is>
      </c>
      <c r="I294" s="62" t="inlineStr">
        <is>
          <t>https://www.geeksforgeeks.org/problems/longest-prefix-suffix2527/1</t>
        </is>
      </c>
      <c r="J294" s="62" t="inlineStr">
        <is>
          <t>Not Started</t>
        </is>
      </c>
      <c r="K294" s="62" t="n"/>
      <c r="L294" s="62" t="n"/>
      <c r="M294" s="68" t="n"/>
      <c r="N294" s="68">
        <f>IF($M294="","",$M294+IF($K294="",Dashboard!$M$9,INDEX(Dashboard!$M$5:$M$9,$K294)))</f>
        <v/>
      </c>
      <c r="O294" s="62">
        <f>IF(OR($J294="Attempted",$J294="Revisit"),"DUE",IF($N294="","",IF($N294&lt;=TODAY(),"DUE","")))</f>
        <v/>
      </c>
      <c r="P294" s="62" t="inlineStr">
        <is>
          <t>v3 addition</t>
        </is>
      </c>
    </row>
    <row r="295" ht="15" customHeight="1" s="32">
      <c r="A295" s="62" t="n">
        <v>294</v>
      </c>
      <c r="B295" s="62" t="inlineStr">
        <is>
          <t>2. Search, Strings &amp; Math - Depth</t>
        </is>
      </c>
      <c r="C295" s="62" t="inlineStr">
        <is>
          <t>08. Strings</t>
        </is>
      </c>
      <c r="D295" s="62" t="inlineStr">
        <is>
          <t>Pattern matching</t>
        </is>
      </c>
      <c r="E295" s="62" t="inlineStr">
        <is>
          <t>Rabin-Karp Algorithm</t>
        </is>
      </c>
      <c r="F295" s="62" t="inlineStr">
        <is>
          <t>Medium</t>
        </is>
      </c>
      <c r="G295" s="62" t="inlineStr">
        <is>
          <t>Depth</t>
        </is>
      </c>
      <c r="H295" s="62" t="inlineStr">
        <is>
          <t>GeeksforGeeks</t>
        </is>
      </c>
      <c r="I295" s="62" t="inlineStr">
        <is>
          <t>https://www.geeksforgeeks.org/problems/search-pattern-rabin-karp-algorithm--141631/1</t>
        </is>
      </c>
      <c r="J295" s="62" t="inlineStr">
        <is>
          <t>Not Started</t>
        </is>
      </c>
      <c r="K295" s="62" t="n"/>
      <c r="L295" s="62" t="n"/>
      <c r="M295" s="68" t="n"/>
      <c r="N295" s="68">
        <f>IF($M295="","",$M295+IF($K295="",Dashboard!$M$9,INDEX(Dashboard!$M$5:$M$9,$K295)))</f>
        <v/>
      </c>
      <c r="O295" s="62">
        <f>IF(OR($J295="Attempted",$J295="Revisit"),"DUE",IF($N295="","",IF($N295&lt;=TODAY(),"DUE","")))</f>
        <v/>
      </c>
      <c r="P295" s="62" t="inlineStr">
        <is>
          <t>v3 addition</t>
        </is>
      </c>
    </row>
    <row r="296" ht="15" customHeight="1" s="32">
      <c r="A296" s="63" t="n">
        <v>295</v>
      </c>
      <c r="B296" s="63" t="inlineStr">
        <is>
          <t>2. Search, Strings &amp; Math - Depth</t>
        </is>
      </c>
      <c r="C296" s="63" t="inlineStr">
        <is>
          <t>09. Bit Manipulation</t>
        </is>
      </c>
      <c r="D296" s="63" t="inlineStr">
        <is>
          <t>Basics</t>
        </is>
      </c>
      <c r="E296" s="63" t="inlineStr">
        <is>
          <t>Reverse Bits</t>
        </is>
      </c>
      <c r="F296" s="63" t="inlineStr">
        <is>
          <t>Easy</t>
        </is>
      </c>
      <c r="G296" s="63" t="inlineStr">
        <is>
          <t>Depth</t>
        </is>
      </c>
      <c r="H296" s="63" t="inlineStr">
        <is>
          <t>LeetCode</t>
        </is>
      </c>
      <c r="I296" s="63" t="inlineStr">
        <is>
          <t>https://leetcode.com/problems/reverse-bits/</t>
        </is>
      </c>
      <c r="J296" s="63" t="inlineStr">
        <is>
          <t>Not Started</t>
        </is>
      </c>
      <c r="K296" s="63" t="n"/>
      <c r="L296" s="63" t="n"/>
      <c r="M296" s="69" t="n"/>
      <c r="N296" s="69">
        <f>IF($M296="","",$M296+IF($K296="",Dashboard!$M$9,INDEX(Dashboard!$M$5:$M$9,$K296)))</f>
        <v/>
      </c>
      <c r="O296" s="63">
        <f>IF(OR($J296="Attempted",$J296="Revisit"),"DUE",IF($N296="","",IF($N296&lt;=TODAY(),"DUE","")))</f>
        <v/>
      </c>
      <c r="P296" s="63" t="n"/>
    </row>
    <row r="297" ht="15" customHeight="1" s="32">
      <c r="A297" s="63" t="n">
        <v>296</v>
      </c>
      <c r="B297" s="63" t="inlineStr">
        <is>
          <t>2. Search, Strings &amp; Math - Depth</t>
        </is>
      </c>
      <c r="C297" s="63" t="inlineStr">
        <is>
          <t>09. Bit Manipulation</t>
        </is>
      </c>
      <c r="D297" s="63" t="inlineStr">
        <is>
          <t>Basics</t>
        </is>
      </c>
      <c r="E297" s="63" t="inlineStr">
        <is>
          <t>Power of Two</t>
        </is>
      </c>
      <c r="F297" s="63" t="inlineStr">
        <is>
          <t>Easy</t>
        </is>
      </c>
      <c r="G297" s="63" t="inlineStr">
        <is>
          <t>Depth</t>
        </is>
      </c>
      <c r="H297" s="63" t="inlineStr">
        <is>
          <t>LeetCode</t>
        </is>
      </c>
      <c r="I297" s="63" t="inlineStr">
        <is>
          <t>https://leetcode.com/problems/power-of-two/</t>
        </is>
      </c>
      <c r="J297" s="63" t="inlineStr">
        <is>
          <t>Not Started</t>
        </is>
      </c>
      <c r="K297" s="63" t="n"/>
      <c r="L297" s="63" t="n"/>
      <c r="M297" s="69" t="n"/>
      <c r="N297" s="69">
        <f>IF($M297="","",$M297+IF($K297="",Dashboard!$M$9,INDEX(Dashboard!$M$5:$M$9,$K297)))</f>
        <v/>
      </c>
      <c r="O297" s="63">
        <f>IF(OR($J297="Attempted",$J297="Revisit"),"DUE",IF($N297="","",IF($N297&lt;=TODAY(),"DUE","")))</f>
        <v/>
      </c>
      <c r="P297" s="63" t="n"/>
    </row>
    <row r="298" ht="15" customHeight="1" s="32">
      <c r="A298" s="63" t="n">
        <v>297</v>
      </c>
      <c r="B298" s="63" t="inlineStr">
        <is>
          <t>2. Search, Strings &amp; Math - Depth</t>
        </is>
      </c>
      <c r="C298" s="63" t="inlineStr">
        <is>
          <t>09. Bit Manipulation</t>
        </is>
      </c>
      <c r="D298" s="63" t="inlineStr">
        <is>
          <t>Basics</t>
        </is>
      </c>
      <c r="E298" s="63" t="inlineStr">
        <is>
          <t>Power of Four</t>
        </is>
      </c>
      <c r="F298" s="63" t="inlineStr">
        <is>
          <t>Easy</t>
        </is>
      </c>
      <c r="G298" s="63" t="inlineStr">
        <is>
          <t>Depth</t>
        </is>
      </c>
      <c r="H298" s="63" t="inlineStr">
        <is>
          <t>LeetCode</t>
        </is>
      </c>
      <c r="I298" s="63" t="inlineStr">
        <is>
          <t>https://leetcode.com/problems/power-of-four/</t>
        </is>
      </c>
      <c r="J298" s="63" t="inlineStr">
        <is>
          <t>Not Started</t>
        </is>
      </c>
      <c r="K298" s="63" t="n"/>
      <c r="L298" s="63" t="n"/>
      <c r="M298" s="69" t="n"/>
      <c r="N298" s="69">
        <f>IF($M298="","",$M298+IF($K298="",Dashboard!$M$9,INDEX(Dashboard!$M$5:$M$9,$K298)))</f>
        <v/>
      </c>
      <c r="O298" s="63">
        <f>IF(OR($J298="Attempted",$J298="Revisit"),"DUE",IF($N298="","",IF($N298&lt;=TODAY(),"DUE","")))</f>
        <v/>
      </c>
      <c r="P298" s="63" t="n"/>
    </row>
    <row r="299" ht="15" customHeight="1" s="32">
      <c r="A299" s="63" t="n">
        <v>298</v>
      </c>
      <c r="B299" s="63" t="inlineStr">
        <is>
          <t>2. Search, Strings &amp; Math - Depth</t>
        </is>
      </c>
      <c r="C299" s="63" t="inlineStr">
        <is>
          <t>09. Bit Manipulation</t>
        </is>
      </c>
      <c r="D299" s="63" t="inlineStr">
        <is>
          <t>Basics</t>
        </is>
      </c>
      <c r="E299" s="63" t="inlineStr">
        <is>
          <t>Swap Two Numbers Without Temp Variable</t>
        </is>
      </c>
      <c r="F299" s="63" t="inlineStr">
        <is>
          <t>Easy</t>
        </is>
      </c>
      <c r="G299" s="63" t="inlineStr">
        <is>
          <t>Depth</t>
        </is>
      </c>
      <c r="H299" s="63" t="inlineStr">
        <is>
          <t>GeeksforGeeks</t>
        </is>
      </c>
      <c r="I299" s="63" t="inlineStr">
        <is>
          <t>https://www.geeksforgeeks.org/problems/swap-the-numbers/1</t>
        </is>
      </c>
      <c r="J299" s="63" t="inlineStr">
        <is>
          <t>Not Started</t>
        </is>
      </c>
      <c r="K299" s="63" t="n"/>
      <c r="L299" s="63" t="n"/>
      <c r="M299" s="69" t="n"/>
      <c r="N299" s="69">
        <f>IF($M299="","",$M299+IF($K299="",Dashboard!$M$9,INDEX(Dashboard!$M$5:$M$9,$K299)))</f>
        <v/>
      </c>
      <c r="O299" s="63">
        <f>IF(OR($J299="Attempted",$J299="Revisit"),"DUE",IF($N299="","",IF($N299&lt;=TODAY(),"DUE","")))</f>
        <v/>
      </c>
      <c r="P299" s="63" t="n"/>
    </row>
    <row r="300" ht="15" customHeight="1" s="32">
      <c r="A300" s="63" t="n">
        <v>299</v>
      </c>
      <c r="B300" s="63" t="inlineStr">
        <is>
          <t>2. Search, Strings &amp; Math - Depth</t>
        </is>
      </c>
      <c r="C300" s="63" t="inlineStr">
        <is>
          <t>09. Bit Manipulation</t>
        </is>
      </c>
      <c r="D300" s="63" t="inlineStr">
        <is>
          <t>Basics</t>
        </is>
      </c>
      <c r="E300" s="63" t="inlineStr">
        <is>
          <t>Minimum Bit Flips to Convert Number</t>
        </is>
      </c>
      <c r="F300" s="63" t="inlineStr">
        <is>
          <t>Easy</t>
        </is>
      </c>
      <c r="G300" s="63" t="inlineStr">
        <is>
          <t>Depth</t>
        </is>
      </c>
      <c r="H300" s="63" t="inlineStr">
        <is>
          <t>LeetCode</t>
        </is>
      </c>
      <c r="I300" s="63" t="inlineStr">
        <is>
          <t>https://leetcode.com/problems/minimum-bit-flips-to-convert-number/</t>
        </is>
      </c>
      <c r="J300" s="63" t="inlineStr">
        <is>
          <t>Not Started</t>
        </is>
      </c>
      <c r="K300" s="63" t="n"/>
      <c r="L300" s="63" t="n"/>
      <c r="M300" s="69" t="n"/>
      <c r="N300" s="69">
        <f>IF($M300="","",$M300+IF($K300="",Dashboard!$M$9,INDEX(Dashboard!$M$5:$M$9,$K300)))</f>
        <v/>
      </c>
      <c r="O300" s="63">
        <f>IF(OR($J300="Attempted",$J300="Revisit"),"DUE",IF($N300="","",IF($N300&lt;=TODAY(),"DUE","")))</f>
        <v/>
      </c>
      <c r="P300" s="63" t="n"/>
    </row>
    <row r="301" ht="15" customHeight="1" s="32">
      <c r="A301" s="63" t="n">
        <v>300</v>
      </c>
      <c r="B301" s="63" t="inlineStr">
        <is>
          <t>2. Search, Strings &amp; Math - Depth</t>
        </is>
      </c>
      <c r="C301" s="63" t="inlineStr">
        <is>
          <t>09. Bit Manipulation</t>
        </is>
      </c>
      <c r="D301" s="63" t="inlineStr">
        <is>
          <t>XOR tricks</t>
        </is>
      </c>
      <c r="E301" s="63" t="inlineStr">
        <is>
          <t>Find XOR of Numbers from 1 to N</t>
        </is>
      </c>
      <c r="F301" s="63" t="inlineStr">
        <is>
          <t>Easy</t>
        </is>
      </c>
      <c r="G301" s="63" t="inlineStr">
        <is>
          <t>Depth</t>
        </is>
      </c>
      <c r="H301" s="63" t="inlineStr">
        <is>
          <t>GeeksforGeeks</t>
        </is>
      </c>
      <c r="I301" s="63" t="inlineStr">
        <is>
          <t>https://www.geeksforgeeks.org/problems/find-xor-of-numbers-from-l-to-r/1</t>
        </is>
      </c>
      <c r="J301" s="63" t="inlineStr">
        <is>
          <t>Not Started</t>
        </is>
      </c>
      <c r="K301" s="63" t="n"/>
      <c r="L301" s="63" t="n"/>
      <c r="M301" s="69" t="n"/>
      <c r="N301" s="69">
        <f>IF($M301="","",$M301+IF($K301="",Dashboard!$M$9,INDEX(Dashboard!$M$5:$M$9,$K301)))</f>
        <v/>
      </c>
      <c r="O301" s="63">
        <f>IF(OR($J301="Attempted",$J301="Revisit"),"DUE",IF($N301="","",IF($N301&lt;=TODAY(),"DUE","")))</f>
        <v/>
      </c>
      <c r="P301" s="63" t="n"/>
    </row>
    <row r="302" ht="15" customHeight="1" s="32">
      <c r="A302" s="63" t="n">
        <v>301</v>
      </c>
      <c r="B302" s="63" t="inlineStr">
        <is>
          <t>2. Search, Strings &amp; Math - Depth</t>
        </is>
      </c>
      <c r="C302" s="63" t="inlineStr">
        <is>
          <t>09. Bit Manipulation</t>
        </is>
      </c>
      <c r="D302" s="63" t="inlineStr">
        <is>
          <t>XOR tricks</t>
        </is>
      </c>
      <c r="E302" s="63" t="inlineStr">
        <is>
          <t>Single Number II</t>
        </is>
      </c>
      <c r="F302" s="63" t="inlineStr">
        <is>
          <t>Medium</t>
        </is>
      </c>
      <c r="G302" s="63" t="inlineStr">
        <is>
          <t>Depth</t>
        </is>
      </c>
      <c r="H302" s="63" t="inlineStr">
        <is>
          <t>LeetCode</t>
        </is>
      </c>
      <c r="I302" s="63" t="inlineStr">
        <is>
          <t>https://leetcode.com/problems/single-number-ii/</t>
        </is>
      </c>
      <c r="J302" s="63" t="inlineStr">
        <is>
          <t>Not Started</t>
        </is>
      </c>
      <c r="K302" s="63" t="n"/>
      <c r="L302" s="63" t="n"/>
      <c r="M302" s="69" t="n"/>
      <c r="N302" s="69">
        <f>IF($M302="","",$M302+IF($K302="",Dashboard!$M$9,INDEX(Dashboard!$M$5:$M$9,$K302)))</f>
        <v/>
      </c>
      <c r="O302" s="63">
        <f>IF(OR($J302="Attempted",$J302="Revisit"),"DUE",IF($N302="","",IF($N302&lt;=TODAY(),"DUE","")))</f>
        <v/>
      </c>
      <c r="P302" s="63" t="n"/>
    </row>
    <row r="303" ht="15" customHeight="1" s="32">
      <c r="A303" s="63" t="n">
        <v>302</v>
      </c>
      <c r="B303" s="63" t="inlineStr">
        <is>
          <t>2. Search, Strings &amp; Math - Depth</t>
        </is>
      </c>
      <c r="C303" s="63" t="inlineStr">
        <is>
          <t>09. Bit Manipulation</t>
        </is>
      </c>
      <c r="D303" s="63" t="inlineStr">
        <is>
          <t>XOR tricks</t>
        </is>
      </c>
      <c r="E303" s="63" t="inlineStr">
        <is>
          <t>Single Number III</t>
        </is>
      </c>
      <c r="F303" s="63" t="inlineStr">
        <is>
          <t>Medium</t>
        </is>
      </c>
      <c r="G303" s="63" t="inlineStr">
        <is>
          <t>Depth</t>
        </is>
      </c>
      <c r="H303" s="63" t="inlineStr">
        <is>
          <t>LeetCode</t>
        </is>
      </c>
      <c r="I303" s="63" t="inlineStr">
        <is>
          <t>https://leetcode.com/problems/single-number-iii/</t>
        </is>
      </c>
      <c r="J303" s="63" t="inlineStr">
        <is>
          <t>Not Started</t>
        </is>
      </c>
      <c r="K303" s="63" t="n"/>
      <c r="L303" s="63" t="n"/>
      <c r="M303" s="69" t="n"/>
      <c r="N303" s="69">
        <f>IF($M303="","",$M303+IF($K303="",Dashboard!$M$9,INDEX(Dashboard!$M$5:$M$9,$K303)))</f>
        <v/>
      </c>
      <c r="O303" s="63">
        <f>IF(OR($J303="Attempted",$J303="Revisit"),"DUE",IF($N303="","",IF($N303&lt;=TODAY(),"DUE","")))</f>
        <v/>
      </c>
      <c r="P303" s="63" t="n"/>
    </row>
    <row r="304" ht="15" customHeight="1" s="32">
      <c r="A304" s="63" t="n">
        <v>303</v>
      </c>
      <c r="B304" s="63" t="inlineStr">
        <is>
          <t>2. Search, Strings &amp; Math - Depth</t>
        </is>
      </c>
      <c r="C304" s="63" t="inlineStr">
        <is>
          <t>09. Bit Manipulation</t>
        </is>
      </c>
      <c r="D304" s="63" t="inlineStr">
        <is>
          <t>XOR tricks</t>
        </is>
      </c>
      <c r="E304" s="63" t="inlineStr">
        <is>
          <t>Total Hamming Distance</t>
        </is>
      </c>
      <c r="F304" s="63" t="inlineStr">
        <is>
          <t>Medium</t>
        </is>
      </c>
      <c r="G304" s="63" t="inlineStr">
        <is>
          <t>Depth</t>
        </is>
      </c>
      <c r="H304" s="63" t="inlineStr">
        <is>
          <t>LeetCode</t>
        </is>
      </c>
      <c r="I304" s="63" t="inlineStr">
        <is>
          <t>https://leetcode.com/problems/total-hamming-distance/</t>
        </is>
      </c>
      <c r="J304" s="63" t="inlineStr">
        <is>
          <t>Not Started</t>
        </is>
      </c>
      <c r="K304" s="63" t="n"/>
      <c r="L304" s="63" t="n"/>
      <c r="M304" s="69" t="n"/>
      <c r="N304" s="69">
        <f>IF($M304="","",$M304+IF($K304="",Dashboard!$M$9,INDEX(Dashboard!$M$5:$M$9,$K304)))</f>
        <v/>
      </c>
      <c r="O304" s="63">
        <f>IF(OR($J304="Attempted",$J304="Revisit"),"DUE",IF($N304="","",IF($N304&lt;=TODAY(),"DUE","")))</f>
        <v/>
      </c>
      <c r="P304" s="63" t="n"/>
    </row>
    <row r="305" ht="15" customHeight="1" s="32">
      <c r="A305" s="63" t="n">
        <v>304</v>
      </c>
      <c r="B305" s="63" t="inlineStr">
        <is>
          <t>2. Search, Strings &amp; Math - Depth</t>
        </is>
      </c>
      <c r="C305" s="63" t="inlineStr">
        <is>
          <t>09. Bit Manipulation</t>
        </is>
      </c>
      <c r="D305" s="63" t="inlineStr">
        <is>
          <t>XOR tricks</t>
        </is>
      </c>
      <c r="E305" s="63" t="inlineStr">
        <is>
          <t>XOR Queries of a Subarray</t>
        </is>
      </c>
      <c r="F305" s="63" t="inlineStr">
        <is>
          <t>Medium</t>
        </is>
      </c>
      <c r="G305" s="63" t="inlineStr">
        <is>
          <t>Depth</t>
        </is>
      </c>
      <c r="H305" s="63" t="inlineStr">
        <is>
          <t>LeetCode</t>
        </is>
      </c>
      <c r="I305" s="63" t="inlineStr">
        <is>
          <t>https://leetcode.com/problems/xor-queries-of-a-subarray/</t>
        </is>
      </c>
      <c r="J305" s="63" t="inlineStr">
        <is>
          <t>Not Started</t>
        </is>
      </c>
      <c r="K305" s="63" t="n"/>
      <c r="L305" s="63" t="n"/>
      <c r="M305" s="69" t="n"/>
      <c r="N305" s="69">
        <f>IF($M305="","",$M305+IF($K305="",Dashboard!$M$9,INDEX(Dashboard!$M$5:$M$9,$K305)))</f>
        <v/>
      </c>
      <c r="O305" s="63">
        <f>IF(OR($J305="Attempted",$J305="Revisit"),"DUE",IF($N305="","",IF($N305&lt;=TODAY(),"DUE","")))</f>
        <v/>
      </c>
      <c r="P305" s="63" t="n"/>
    </row>
    <row r="306" ht="15" customHeight="1" s="32">
      <c r="A306" s="63" t="n">
        <v>305</v>
      </c>
      <c r="B306" s="63" t="inlineStr">
        <is>
          <t>2. Search, Strings &amp; Math - Depth</t>
        </is>
      </c>
      <c r="C306" s="63" t="inlineStr">
        <is>
          <t>09. Bit Manipulation</t>
        </is>
      </c>
      <c r="D306" s="63" t="inlineStr">
        <is>
          <t>Bit arithmetic</t>
        </is>
      </c>
      <c r="E306" s="63" t="inlineStr">
        <is>
          <t>Bitwise AND of Numbers Range</t>
        </is>
      </c>
      <c r="F306" s="63" t="inlineStr">
        <is>
          <t>Medium</t>
        </is>
      </c>
      <c r="G306" s="63" t="inlineStr">
        <is>
          <t>Depth</t>
        </is>
      </c>
      <c r="H306" s="63" t="inlineStr">
        <is>
          <t>LeetCode</t>
        </is>
      </c>
      <c r="I306" s="63" t="inlineStr">
        <is>
          <t>https://leetcode.com/problems/bitwise-and-of-numbers-range/</t>
        </is>
      </c>
      <c r="J306" s="63" t="inlineStr">
        <is>
          <t>Not Started</t>
        </is>
      </c>
      <c r="K306" s="63" t="n"/>
      <c r="L306" s="63" t="n"/>
      <c r="M306" s="69" t="n"/>
      <c r="N306" s="69">
        <f>IF($M306="","",$M306+IF($K306="",Dashboard!$M$9,INDEX(Dashboard!$M$5:$M$9,$K306)))</f>
        <v/>
      </c>
      <c r="O306" s="63">
        <f>IF(OR($J306="Attempted",$J306="Revisit"),"DUE",IF($N306="","",IF($N306&lt;=TODAY(),"DUE","")))</f>
        <v/>
      </c>
      <c r="P306" s="63" t="n"/>
    </row>
    <row r="307" ht="15" customHeight="1" s="32">
      <c r="A307" s="63" t="n">
        <v>306</v>
      </c>
      <c r="B307" s="63" t="inlineStr">
        <is>
          <t>2. Search, Strings &amp; Math - Depth</t>
        </is>
      </c>
      <c r="C307" s="63" t="inlineStr">
        <is>
          <t>09. Bit Manipulation</t>
        </is>
      </c>
      <c r="D307" s="63" t="inlineStr">
        <is>
          <t>Counting</t>
        </is>
      </c>
      <c r="E307" s="63" t="inlineStr">
        <is>
          <t>Concatenation of Consecutive Binary Numbers</t>
        </is>
      </c>
      <c r="F307" s="63" t="inlineStr">
        <is>
          <t>Medium</t>
        </is>
      </c>
      <c r="G307" s="63" t="inlineStr">
        <is>
          <t>Depth</t>
        </is>
      </c>
      <c r="H307" s="63" t="inlineStr">
        <is>
          <t>LeetCode</t>
        </is>
      </c>
      <c r="I307" s="63" t="inlineStr">
        <is>
          <t>https://leetcode.com/problems/concatenation-of-consecutive-binary-numbers/</t>
        </is>
      </c>
      <c r="J307" s="63" t="inlineStr">
        <is>
          <t>Not Started</t>
        </is>
      </c>
      <c r="K307" s="63" t="n"/>
      <c r="L307" s="63" t="n"/>
      <c r="M307" s="69" t="n"/>
      <c r="N307" s="69">
        <f>IF($M307="","",$M307+IF($K307="",Dashboard!$M$9,INDEX(Dashboard!$M$5:$M$9,$K307)))</f>
        <v/>
      </c>
      <c r="O307" s="63">
        <f>IF(OR($J307="Attempted",$J307="Revisit"),"DUE",IF($N307="","",IF($N307&lt;=TODAY(),"DUE","")))</f>
        <v/>
      </c>
      <c r="P307" s="63" t="n"/>
    </row>
    <row r="308" ht="15" customHeight="1" s="32">
      <c r="A308" s="63" t="n">
        <v>307</v>
      </c>
      <c r="B308" s="63" t="inlineStr">
        <is>
          <t>2. Search, Strings &amp; Math - Depth</t>
        </is>
      </c>
      <c r="C308" s="63" t="inlineStr">
        <is>
          <t>09. Bit Manipulation</t>
        </is>
      </c>
      <c r="D308" s="63" t="inlineStr">
        <is>
          <t>Bitmask</t>
        </is>
      </c>
      <c r="E308" s="63" t="inlineStr">
        <is>
          <t>Power Set</t>
        </is>
      </c>
      <c r="F308" s="63" t="inlineStr">
        <is>
          <t>Medium</t>
        </is>
      </c>
      <c r="G308" s="63" t="inlineStr">
        <is>
          <t>Depth</t>
        </is>
      </c>
      <c r="H308" s="63" t="inlineStr">
        <is>
          <t>GeeksforGeeks</t>
        </is>
      </c>
      <c r="I308" s="63" t="inlineStr">
        <is>
          <t>https://www.geeksforgeeks.org/search/?q=Power+Set</t>
        </is>
      </c>
      <c r="J308" s="63" t="inlineStr">
        <is>
          <t>Not Started</t>
        </is>
      </c>
      <c r="K308" s="63" t="n"/>
      <c r="L308" s="63" t="n"/>
      <c r="M308" s="69" t="n"/>
      <c r="N308" s="69">
        <f>IF($M308="","",$M308+IF($K308="",Dashboard!$M$9,INDEX(Dashboard!$M$5:$M$9,$K308)))</f>
        <v/>
      </c>
      <c r="O308" s="63">
        <f>IF(OR($J308="Attempted",$J308="Revisit"),"DUE",IF($N308="","",IF($N308&lt;=TODAY(),"DUE","")))</f>
        <v/>
      </c>
      <c r="P308" s="63" t="n"/>
    </row>
    <row r="309" ht="15" customHeight="1" s="32">
      <c r="A309" s="63" t="n">
        <v>308</v>
      </c>
      <c r="B309" s="63" t="inlineStr">
        <is>
          <t>2. Search, Strings &amp; Math - Depth</t>
        </is>
      </c>
      <c r="C309" s="63" t="inlineStr">
        <is>
          <t>09. Bit Manipulation</t>
        </is>
      </c>
      <c r="D309" s="63" t="inlineStr">
        <is>
          <t>Bitmask</t>
        </is>
      </c>
      <c r="E309" s="63" t="inlineStr">
        <is>
          <t>Bitwise ORs of Subarrays</t>
        </is>
      </c>
      <c r="F309" s="63" t="inlineStr">
        <is>
          <t>Medium</t>
        </is>
      </c>
      <c r="G309" s="63" t="inlineStr">
        <is>
          <t>Depth</t>
        </is>
      </c>
      <c r="H309" s="63" t="inlineStr">
        <is>
          <t>LeetCode</t>
        </is>
      </c>
      <c r="I309" s="63" t="inlineStr">
        <is>
          <t>https://leetcode.com/problems/bitwise-ors-of-subarrays/</t>
        </is>
      </c>
      <c r="J309" s="63" t="inlineStr">
        <is>
          <t>Not Started</t>
        </is>
      </c>
      <c r="K309" s="63" t="n"/>
      <c r="L309" s="63" t="n"/>
      <c r="M309" s="69" t="n"/>
      <c r="N309" s="69">
        <f>IF($M309="","",$M309+IF($K309="",Dashboard!$M$9,INDEX(Dashboard!$M$5:$M$9,$K309)))</f>
        <v/>
      </c>
      <c r="O309" s="63">
        <f>IF(OR($J309="Attempted",$J309="Revisit"),"DUE",IF($N309="","",IF($N309&lt;=TODAY(),"DUE","")))</f>
        <v/>
      </c>
      <c r="P309" s="63" t="inlineStr">
        <is>
          <t>v3 addition</t>
        </is>
      </c>
    </row>
    <row r="310" ht="15" customHeight="1" s="32">
      <c r="A310" s="63" t="n">
        <v>309</v>
      </c>
      <c r="B310" s="63" t="inlineStr">
        <is>
          <t>2. Search, Strings &amp; Math - Depth</t>
        </is>
      </c>
      <c r="C310" s="63" t="inlineStr">
        <is>
          <t>10. Math &amp; Number Theory</t>
        </is>
      </c>
      <c r="D310" s="63" t="inlineStr">
        <is>
          <t>Digits</t>
        </is>
      </c>
      <c r="E310" s="63" t="inlineStr">
        <is>
          <t>Reverse Integer</t>
        </is>
      </c>
      <c r="F310" s="63" t="inlineStr">
        <is>
          <t>Medium</t>
        </is>
      </c>
      <c r="G310" s="63" t="inlineStr">
        <is>
          <t>Depth</t>
        </is>
      </c>
      <c r="H310" s="63" t="inlineStr">
        <is>
          <t>LeetCode</t>
        </is>
      </c>
      <c r="I310" s="63" t="inlineStr">
        <is>
          <t>https://leetcode.com/problems/reverse-integer/</t>
        </is>
      </c>
      <c r="J310" s="63" t="inlineStr">
        <is>
          <t>Not Started</t>
        </is>
      </c>
      <c r="K310" s="63" t="n"/>
      <c r="L310" s="63" t="n"/>
      <c r="M310" s="69" t="n"/>
      <c r="N310" s="69">
        <f>IF($M310="","",$M310+IF($K310="",Dashboard!$M$9,INDEX(Dashboard!$M$5:$M$9,$K310)))</f>
        <v/>
      </c>
      <c r="O310" s="63">
        <f>IF(OR($J310="Attempted",$J310="Revisit"),"DUE",IF($N310="","",IF($N310&lt;=TODAY(),"DUE","")))</f>
        <v/>
      </c>
      <c r="P310" s="63" t="n"/>
    </row>
    <row r="311" ht="15" customHeight="1" s="32">
      <c r="A311" s="63" t="n">
        <v>310</v>
      </c>
      <c r="B311" s="63" t="inlineStr">
        <is>
          <t>2. Search, Strings &amp; Math - Depth</t>
        </is>
      </c>
      <c r="C311" s="63" t="inlineStr">
        <is>
          <t>10. Math &amp; Number Theory</t>
        </is>
      </c>
      <c r="D311" s="63" t="inlineStr">
        <is>
          <t>GCD/LCM</t>
        </is>
      </c>
      <c r="E311" s="63" t="inlineStr">
        <is>
          <t>Water and Jug Problem</t>
        </is>
      </c>
      <c r="F311" s="63" t="inlineStr">
        <is>
          <t>Medium</t>
        </is>
      </c>
      <c r="G311" s="63" t="inlineStr">
        <is>
          <t>Depth</t>
        </is>
      </c>
      <c r="H311" s="63" t="inlineStr">
        <is>
          <t>LeetCode</t>
        </is>
      </c>
      <c r="I311" s="63" t="inlineStr">
        <is>
          <t>https://leetcode.com/problems/water-and-jug-problem/</t>
        </is>
      </c>
      <c r="J311" s="63" t="inlineStr">
        <is>
          <t>Not Started</t>
        </is>
      </c>
      <c r="K311" s="63" t="n"/>
      <c r="L311" s="63" t="n"/>
      <c r="M311" s="69" t="n"/>
      <c r="N311" s="69">
        <f>IF($M311="","",$M311+IF($K311="",Dashboard!$M$9,INDEX(Dashboard!$M$5:$M$9,$K311)))</f>
        <v/>
      </c>
      <c r="O311" s="63">
        <f>IF(OR($J311="Attempted",$J311="Revisit"),"DUE",IF($N311="","",IF($N311&lt;=TODAY(),"DUE","")))</f>
        <v/>
      </c>
      <c r="P311" s="63" t="inlineStr">
        <is>
          <t>v3 addition</t>
        </is>
      </c>
    </row>
    <row r="312" ht="15" customHeight="1" s="32">
      <c r="A312" s="63" t="n">
        <v>311</v>
      </c>
      <c r="B312" s="63" t="inlineStr">
        <is>
          <t>2. Search, Strings &amp; Math - Depth</t>
        </is>
      </c>
      <c r="C312" s="63" t="inlineStr">
        <is>
          <t>10. Math &amp; Number Theory</t>
        </is>
      </c>
      <c r="D312" s="63" t="inlineStr">
        <is>
          <t>Base conversion</t>
        </is>
      </c>
      <c r="E312" s="63" t="inlineStr">
        <is>
          <t>Convert to Base -2</t>
        </is>
      </c>
      <c r="F312" s="63" t="inlineStr">
        <is>
          <t>Medium</t>
        </is>
      </c>
      <c r="G312" s="63" t="inlineStr">
        <is>
          <t>Depth</t>
        </is>
      </c>
      <c r="H312" s="63" t="inlineStr">
        <is>
          <t>LeetCode</t>
        </is>
      </c>
      <c r="I312" s="63" t="inlineStr">
        <is>
          <t>https://leetcode.com/problems/convert-to-base-2/</t>
        </is>
      </c>
      <c r="J312" s="63" t="inlineStr">
        <is>
          <t>Not Started</t>
        </is>
      </c>
      <c r="K312" s="63" t="n"/>
      <c r="L312" s="63" t="n"/>
      <c r="M312" s="69" t="n"/>
      <c r="N312" s="69">
        <f>IF($M312="","",$M312+IF($K312="",Dashboard!$M$9,INDEX(Dashboard!$M$5:$M$9,$K312)))</f>
        <v/>
      </c>
      <c r="O312" s="63">
        <f>IF(OR($J312="Attempted",$J312="Revisit"),"DUE",IF($N312="","",IF($N312&lt;=TODAY(),"DUE","")))</f>
        <v/>
      </c>
      <c r="P312" s="63" t="n"/>
    </row>
    <row r="313" ht="15" customHeight="1" s="32">
      <c r="A313" s="63" t="n">
        <v>312</v>
      </c>
      <c r="B313" s="63" t="inlineStr">
        <is>
          <t>2. Search, Strings &amp; Math - Depth</t>
        </is>
      </c>
      <c r="C313" s="63" t="inlineStr">
        <is>
          <t>10. Math &amp; Number Theory</t>
        </is>
      </c>
      <c r="D313" s="63" t="inlineStr">
        <is>
          <t>Primes</t>
        </is>
      </c>
      <c r="E313" s="63" t="inlineStr">
        <is>
          <t>Prime Factorization using Smallest Prime Factor</t>
        </is>
      </c>
      <c r="F313" s="63" t="inlineStr">
        <is>
          <t>Medium</t>
        </is>
      </c>
      <c r="G313" s="63" t="inlineStr">
        <is>
          <t>Depth</t>
        </is>
      </c>
      <c r="H313" s="63" t="inlineStr">
        <is>
          <t>GeeksforGeeks</t>
        </is>
      </c>
      <c r="I313" s="63" t="inlineStr">
        <is>
          <t>https://www.geeksforgeeks.org/problems/prime-factorization-using-sieve/1</t>
        </is>
      </c>
      <c r="J313" s="63" t="inlineStr">
        <is>
          <t>Not Started</t>
        </is>
      </c>
      <c r="K313" s="63" t="n"/>
      <c r="L313" s="63" t="n"/>
      <c r="M313" s="69" t="n"/>
      <c r="N313" s="69">
        <f>IF($M313="","",$M313+IF($K313="",Dashboard!$M$9,INDEX(Dashboard!$M$5:$M$9,$K313)))</f>
        <v/>
      </c>
      <c r="O313" s="63">
        <f>IF(OR($J313="Attempted",$J313="Revisit"),"DUE",IF($N313="","",IF($N313&lt;=TODAY(),"DUE","")))</f>
        <v/>
      </c>
      <c r="P313" s="63" t="n"/>
    </row>
    <row r="314" ht="15" customHeight="1" s="32">
      <c r="A314" s="63" t="n">
        <v>313</v>
      </c>
      <c r="B314" s="63" t="inlineStr">
        <is>
          <t>2. Search, Strings &amp; Math - Depth</t>
        </is>
      </c>
      <c r="C314" s="63" t="inlineStr">
        <is>
          <t>10. Math &amp; Number Theory</t>
        </is>
      </c>
      <c r="D314" s="63" t="inlineStr">
        <is>
          <t>Primes</t>
        </is>
      </c>
      <c r="E314" s="63" t="inlineStr">
        <is>
          <t>Segmented Sieve</t>
        </is>
      </c>
      <c r="F314" s="63" t="inlineStr">
        <is>
          <t>Medium</t>
        </is>
      </c>
      <c r="G314" s="63" t="inlineStr">
        <is>
          <t>Depth</t>
        </is>
      </c>
      <c r="H314" s="63" t="inlineStr">
        <is>
          <t>GeeksforGeeks</t>
        </is>
      </c>
      <c r="I314" s="63" t="inlineStr">
        <is>
          <t>https://www.geeksforgeeks.org/search/?q=Segmented+Sieve</t>
        </is>
      </c>
      <c r="J314" s="63" t="inlineStr">
        <is>
          <t>Not Started</t>
        </is>
      </c>
      <c r="K314" s="63" t="n"/>
      <c r="L314" s="63" t="n"/>
      <c r="M314" s="69" t="n"/>
      <c r="N314" s="69">
        <f>IF($M314="","",$M314+IF($K314="",Dashboard!$M$9,INDEX(Dashboard!$M$5:$M$9,$K314)))</f>
        <v/>
      </c>
      <c r="O314" s="63">
        <f>IF(OR($J314="Attempted",$J314="Revisit"),"DUE",IF($N314="","",IF($N314&lt;=TODAY(),"DUE","")))</f>
        <v/>
      </c>
      <c r="P314" s="63" t="inlineStr">
        <is>
          <t>v3 addition</t>
        </is>
      </c>
    </row>
    <row r="315" ht="15" customHeight="1" s="32">
      <c r="A315" s="63" t="n">
        <v>314</v>
      </c>
      <c r="B315" s="63" t="inlineStr">
        <is>
          <t>2. Search, Strings &amp; Math - Depth</t>
        </is>
      </c>
      <c r="C315" s="63" t="inlineStr">
        <is>
          <t>10. Math &amp; Number Theory</t>
        </is>
      </c>
      <c r="D315" s="63" t="inlineStr">
        <is>
          <t>Primes</t>
        </is>
      </c>
      <c r="E315" s="63" t="inlineStr">
        <is>
          <t>Closest Prime Numbers in Range</t>
        </is>
      </c>
      <c r="F315" s="63" t="inlineStr">
        <is>
          <t>Medium</t>
        </is>
      </c>
      <c r="G315" s="63" t="inlineStr">
        <is>
          <t>Depth</t>
        </is>
      </c>
      <c r="H315" s="63" t="inlineStr">
        <is>
          <t>LeetCode</t>
        </is>
      </c>
      <c r="I315" s="63" t="inlineStr">
        <is>
          <t>https://leetcode.com/problems/closest-prime-numbers-in-range/</t>
        </is>
      </c>
      <c r="J315" s="63" t="inlineStr">
        <is>
          <t>Not Started</t>
        </is>
      </c>
      <c r="K315" s="63" t="n"/>
      <c r="L315" s="63" t="n"/>
      <c r="M315" s="69" t="n"/>
      <c r="N315" s="69">
        <f>IF($M315="","",$M315+IF($K315="",Dashboard!$M$9,INDEX(Dashboard!$M$5:$M$9,$K315)))</f>
        <v/>
      </c>
      <c r="O315" s="63">
        <f>IF(OR($J315="Attempted",$J315="Revisit"),"DUE",IF($N315="","",IF($N315&lt;=TODAY(),"DUE","")))</f>
        <v/>
      </c>
      <c r="P315" s="63" t="n"/>
    </row>
    <row r="316" ht="15" customHeight="1" s="32">
      <c r="A316" s="63" t="n">
        <v>315</v>
      </c>
      <c r="B316" s="63" t="inlineStr">
        <is>
          <t>2. Search, Strings &amp; Math - Depth</t>
        </is>
      </c>
      <c r="C316" s="63" t="inlineStr">
        <is>
          <t>10. Math &amp; Number Theory</t>
        </is>
      </c>
      <c r="D316" s="63" t="inlineStr">
        <is>
          <t>Sequences</t>
        </is>
      </c>
      <c r="E316" s="63" t="inlineStr">
        <is>
          <t>Arithmetic Slices</t>
        </is>
      </c>
      <c r="F316" s="63" t="inlineStr">
        <is>
          <t>Medium</t>
        </is>
      </c>
      <c r="G316" s="63" t="inlineStr">
        <is>
          <t>Depth</t>
        </is>
      </c>
      <c r="H316" s="63" t="inlineStr">
        <is>
          <t>LeetCode</t>
        </is>
      </c>
      <c r="I316" s="63" t="inlineStr">
        <is>
          <t>https://leetcode.com/problems/arithmetic-slices/</t>
        </is>
      </c>
      <c r="J316" s="63" t="inlineStr">
        <is>
          <t>Not Started</t>
        </is>
      </c>
      <c r="K316" s="63" t="n"/>
      <c r="L316" s="63" t="n"/>
      <c r="M316" s="69" t="n"/>
      <c r="N316" s="69">
        <f>IF($M316="","",$M316+IF($K316="",Dashboard!$M$9,INDEX(Dashboard!$M$5:$M$9,$K316)))</f>
        <v/>
      </c>
      <c r="O316" s="63">
        <f>IF(OR($J316="Attempted",$J316="Revisit"),"DUE",IF($N316="","",IF($N316&lt;=TODAY(),"DUE","")))</f>
        <v/>
      </c>
      <c r="P316" s="63" t="n"/>
    </row>
    <row r="317" ht="15" customHeight="1" s="32">
      <c r="A317" s="63" t="n">
        <v>316</v>
      </c>
      <c r="B317" s="63" t="inlineStr">
        <is>
          <t>2. Search, Strings &amp; Math - Depth</t>
        </is>
      </c>
      <c r="C317" s="63" t="inlineStr">
        <is>
          <t>10. Math &amp; Number Theory</t>
        </is>
      </c>
      <c r="D317" s="63" t="inlineStr">
        <is>
          <t>Modular</t>
        </is>
      </c>
      <c r="E317" s="63" t="inlineStr">
        <is>
          <t>Modular Multiplicative Inverse</t>
        </is>
      </c>
      <c r="F317" s="63" t="inlineStr">
        <is>
          <t>Medium</t>
        </is>
      </c>
      <c r="G317" s="63" t="inlineStr">
        <is>
          <t>Depth</t>
        </is>
      </c>
      <c r="H317" s="63" t="inlineStr">
        <is>
          <t>GeeksforGeeks</t>
        </is>
      </c>
      <c r="I317" s="63" t="inlineStr">
        <is>
          <t>https://www.geeksforgeeks.org/search/?q=Modular+Multiplicative+Inverse</t>
        </is>
      </c>
      <c r="J317" s="63" t="inlineStr">
        <is>
          <t>Not Started</t>
        </is>
      </c>
      <c r="K317" s="63" t="n"/>
      <c r="L317" s="63" t="n"/>
      <c r="M317" s="69" t="n"/>
      <c r="N317" s="69">
        <f>IF($M317="","",$M317+IF($K317="",Dashboard!$M$9,INDEX(Dashboard!$M$5:$M$9,$K317)))</f>
        <v/>
      </c>
      <c r="O317" s="63">
        <f>IF(OR($J317="Attempted",$J317="Revisit"),"DUE",IF($N317="","",IF($N317&lt;=TODAY(),"DUE","")))</f>
        <v/>
      </c>
      <c r="P317" s="63" t="n"/>
    </row>
    <row r="318" ht="15" customHeight="1" s="32">
      <c r="A318" s="63" t="n">
        <v>317</v>
      </c>
      <c r="B318" s="63" t="inlineStr">
        <is>
          <t>2. Search, Strings &amp; Math - Depth</t>
        </is>
      </c>
      <c r="C318" s="63" t="inlineStr">
        <is>
          <t>10. Math &amp; Number Theory</t>
        </is>
      </c>
      <c r="D318" s="63" t="inlineStr">
        <is>
          <t>Modular</t>
        </is>
      </c>
      <c r="E318" s="63" t="inlineStr">
        <is>
          <t>Count Good Numbers</t>
        </is>
      </c>
      <c r="F318" s="63" t="inlineStr">
        <is>
          <t>Medium</t>
        </is>
      </c>
      <c r="G318" s="63" t="inlineStr">
        <is>
          <t>Depth</t>
        </is>
      </c>
      <c r="H318" s="63" t="inlineStr">
        <is>
          <t>LeetCode</t>
        </is>
      </c>
      <c r="I318" s="63" t="inlineStr">
        <is>
          <t>https://leetcode.com/problems/count-good-numbers/</t>
        </is>
      </c>
      <c r="J318" s="63" t="inlineStr">
        <is>
          <t>Not Started</t>
        </is>
      </c>
      <c r="K318" s="63" t="n"/>
      <c r="L318" s="63" t="n"/>
      <c r="M318" s="69" t="n"/>
      <c r="N318" s="69">
        <f>IF($M318="","",$M318+IF($K318="",Dashboard!$M$9,INDEX(Dashboard!$M$5:$M$9,$K318)))</f>
        <v/>
      </c>
      <c r="O318" s="63">
        <f>IF(OR($J318="Attempted",$J318="Revisit"),"DUE",IF($N318="","",IF($N318&lt;=TODAY(),"DUE","")))</f>
        <v/>
      </c>
      <c r="P318" s="63" t="n"/>
    </row>
    <row r="319" ht="15" customHeight="1" s="32">
      <c r="A319" s="63" t="n">
        <v>318</v>
      </c>
      <c r="B319" s="63" t="inlineStr">
        <is>
          <t>2. Search, Strings &amp; Math - Depth</t>
        </is>
      </c>
      <c r="C319" s="63" t="inlineStr">
        <is>
          <t>10. Math &amp; Number Theory</t>
        </is>
      </c>
      <c r="D319" s="63" t="inlineStr">
        <is>
          <t>Modular</t>
        </is>
      </c>
      <c r="E319" s="63" t="inlineStr">
        <is>
          <t>nCr mod p</t>
        </is>
      </c>
      <c r="F319" s="63" t="inlineStr">
        <is>
          <t>Hard</t>
        </is>
      </c>
      <c r="G319" s="63" t="inlineStr">
        <is>
          <t>Depth</t>
        </is>
      </c>
      <c r="H319" s="63" t="inlineStr">
        <is>
          <t>GeeksforGeeks</t>
        </is>
      </c>
      <c r="I319" s="63" t="inlineStr">
        <is>
          <t>https://www.geeksforgeeks.org/problems/ncr1019/1</t>
        </is>
      </c>
      <c r="J319" s="63" t="inlineStr">
        <is>
          <t>Not Started</t>
        </is>
      </c>
      <c r="K319" s="63" t="n"/>
      <c r="L319" s="63" t="n"/>
      <c r="M319" s="69" t="n"/>
      <c r="N319" s="69">
        <f>IF($M319="","",$M319+IF($K319="",Dashboard!$M$9,INDEX(Dashboard!$M$5:$M$9,$K319)))</f>
        <v/>
      </c>
      <c r="O319" s="63">
        <f>IF(OR($J319="Attempted",$J319="Revisit"),"DUE",IF($N319="","",IF($N319&lt;=TODAY(),"DUE","")))</f>
        <v/>
      </c>
      <c r="P319" s="63" t="n"/>
    </row>
    <row r="320" ht="15" customHeight="1" s="32">
      <c r="A320" s="63" t="n">
        <v>319</v>
      </c>
      <c r="B320" s="63" t="inlineStr">
        <is>
          <t>2. Search, Strings &amp; Math - Depth</t>
        </is>
      </c>
      <c r="C320" s="63" t="inlineStr">
        <is>
          <t>10. Math &amp; Number Theory</t>
        </is>
      </c>
      <c r="D320" s="63" t="inlineStr">
        <is>
          <t>Factorials</t>
        </is>
      </c>
      <c r="E320" s="63" t="inlineStr">
        <is>
          <t>Factorial of Large Number</t>
        </is>
      </c>
      <c r="F320" s="63" t="inlineStr">
        <is>
          <t>Medium</t>
        </is>
      </c>
      <c r="G320" s="63" t="inlineStr">
        <is>
          <t>Depth</t>
        </is>
      </c>
      <c r="H320" s="63" t="inlineStr">
        <is>
          <t>GeeksforGeeks</t>
        </is>
      </c>
      <c r="I320" s="63" t="inlineStr">
        <is>
          <t>https://www.geeksforgeeks.org/search/?q=Factorial+of+Large+Number</t>
        </is>
      </c>
      <c r="J320" s="63" t="inlineStr">
        <is>
          <t>Not Started</t>
        </is>
      </c>
      <c r="K320" s="63" t="n"/>
      <c r="L320" s="63" t="n"/>
      <c r="M320" s="69" t="n"/>
      <c r="N320" s="69">
        <f>IF($M320="","",$M320+IF($K320="",Dashboard!$M$9,INDEX(Dashboard!$M$5:$M$9,$K320)))</f>
        <v/>
      </c>
      <c r="O320" s="63">
        <f>IF(OR($J320="Attempted",$J320="Revisit"),"DUE",IF($N320="","",IF($N320&lt;=TODAY(),"DUE","")))</f>
        <v/>
      </c>
      <c r="P320" s="63" t="n"/>
    </row>
    <row r="321" ht="15" customHeight="1" s="32">
      <c r="A321" s="63" t="n">
        <v>320</v>
      </c>
      <c r="B321" s="63" t="inlineStr">
        <is>
          <t>2. Search, Strings &amp; Math - Depth</t>
        </is>
      </c>
      <c r="C321" s="63" t="inlineStr">
        <is>
          <t>10. Math &amp; Number Theory</t>
        </is>
      </c>
      <c r="D321" s="63" t="inlineStr">
        <is>
          <t>Factorials</t>
        </is>
      </c>
      <c r="E321" s="63" t="inlineStr">
        <is>
          <t>Clumsy Factorial</t>
        </is>
      </c>
      <c r="F321" s="63" t="inlineStr">
        <is>
          <t>Medium</t>
        </is>
      </c>
      <c r="G321" s="63" t="inlineStr">
        <is>
          <t>Depth</t>
        </is>
      </c>
      <c r="H321" s="63" t="inlineStr">
        <is>
          <t>LeetCode</t>
        </is>
      </c>
      <c r="I321" s="63" t="inlineStr">
        <is>
          <t>https://leetcode.com/problems/clumsy-factorial/</t>
        </is>
      </c>
      <c r="J321" s="63" t="inlineStr">
        <is>
          <t>Not Started</t>
        </is>
      </c>
      <c r="K321" s="63" t="n"/>
      <c r="L321" s="63" t="n"/>
      <c r="M321" s="69" t="n"/>
      <c r="N321" s="69">
        <f>IF($M321="","",$M321+IF($K321="",Dashboard!$M$9,INDEX(Dashboard!$M$5:$M$9,$K321)))</f>
        <v/>
      </c>
      <c r="O321" s="63">
        <f>IF(OR($J321="Attempted",$J321="Revisit"),"DUE",IF($N321="","",IF($N321&lt;=TODAY(),"DUE","")))</f>
        <v/>
      </c>
      <c r="P321" s="63" t="n"/>
    </row>
    <row r="322" ht="15" customHeight="1" s="32">
      <c r="A322" s="63" t="n">
        <v>321</v>
      </c>
      <c r="B322" s="63" t="inlineStr">
        <is>
          <t>2. Search, Strings &amp; Math - Depth</t>
        </is>
      </c>
      <c r="C322" s="63" t="inlineStr">
        <is>
          <t>10. Math &amp; Number Theory</t>
        </is>
      </c>
      <c r="D322" s="63" t="inlineStr">
        <is>
          <t>Factorials</t>
        </is>
      </c>
      <c r="E322" s="63" t="inlineStr">
        <is>
          <t>Number of Digits in N Factorial</t>
        </is>
      </c>
      <c r="F322" s="63" t="inlineStr">
        <is>
          <t>Medium</t>
        </is>
      </c>
      <c r="G322" s="63" t="inlineStr">
        <is>
          <t>Depth</t>
        </is>
      </c>
      <c r="H322" s="63" t="inlineStr">
        <is>
          <t>GeeksforGeeks</t>
        </is>
      </c>
      <c r="I322" s="63" t="inlineStr">
        <is>
          <t>https://www.geeksforgeeks.org/search/?q=Number+of+Digits+in+N+Factorial</t>
        </is>
      </c>
      <c r="J322" s="63" t="inlineStr">
        <is>
          <t>Not Started</t>
        </is>
      </c>
      <c r="K322" s="63" t="n"/>
      <c r="L322" s="63" t="n"/>
      <c r="M322" s="69" t="n"/>
      <c r="N322" s="69">
        <f>IF($M322="","",$M322+IF($K322="",Dashboard!$M$9,INDEX(Dashboard!$M$5:$M$9,$K322)))</f>
        <v/>
      </c>
      <c r="O322" s="63">
        <f>IF(OR($J322="Attempted",$J322="Revisit"),"DUE",IF($N322="","",IF($N322&lt;=TODAY(),"DUE","")))</f>
        <v/>
      </c>
      <c r="P322" s="63" t="n"/>
    </row>
    <row r="323" ht="15" customHeight="1" s="32">
      <c r="A323" s="63" t="n">
        <v>322</v>
      </c>
      <c r="B323" s="63" t="inlineStr">
        <is>
          <t>2. Search, Strings &amp; Math - Depth</t>
        </is>
      </c>
      <c r="C323" s="63" t="inlineStr">
        <is>
          <t>10. Math &amp; Number Theory</t>
        </is>
      </c>
      <c r="D323" s="63" t="inlineStr">
        <is>
          <t>Classic</t>
        </is>
      </c>
      <c r="E323" s="63" t="inlineStr">
        <is>
          <t>Find the Winner of the Circular Game</t>
        </is>
      </c>
      <c r="F323" s="63" t="inlineStr">
        <is>
          <t>Medium</t>
        </is>
      </c>
      <c r="G323" s="63" t="inlineStr">
        <is>
          <t>Depth</t>
        </is>
      </c>
      <c r="H323" s="63" t="inlineStr">
        <is>
          <t>LeetCode</t>
        </is>
      </c>
      <c r="I323" s="63" t="inlineStr">
        <is>
          <t>https://leetcode.com/problems/find-the-winner-of-the-circular-game/</t>
        </is>
      </c>
      <c r="J323" s="63" t="inlineStr">
        <is>
          <t>Not Started</t>
        </is>
      </c>
      <c r="K323" s="63" t="n"/>
      <c r="L323" s="63" t="n"/>
      <c r="M323" s="69" t="n"/>
      <c r="N323" s="69">
        <f>IF($M323="","",$M323+IF($K323="",Dashboard!$M$9,INDEX(Dashboard!$M$5:$M$9,$K323)))</f>
        <v/>
      </c>
      <c r="O323" s="63">
        <f>IF(OR($J323="Attempted",$J323="Revisit"),"DUE",IF($N323="","",IF($N323&lt;=TODAY(),"DUE","")))</f>
        <v/>
      </c>
      <c r="P323" s="63" t="n"/>
    </row>
    <row r="324" ht="15" customHeight="1" s="32">
      <c r="A324" s="63" t="n">
        <v>323</v>
      </c>
      <c r="B324" s="63" t="inlineStr">
        <is>
          <t>2. Search, Strings &amp; Math - Depth</t>
        </is>
      </c>
      <c r="C324" s="63" t="inlineStr">
        <is>
          <t>10. Math &amp; Number Theory</t>
        </is>
      </c>
      <c r="D324" s="63" t="inlineStr">
        <is>
          <t>Classic</t>
        </is>
      </c>
      <c r="E324" s="63" t="inlineStr">
        <is>
          <t>Bulb Switcher</t>
        </is>
      </c>
      <c r="F324" s="63" t="inlineStr">
        <is>
          <t>Medium</t>
        </is>
      </c>
      <c r="G324" s="63" t="inlineStr">
        <is>
          <t>Depth</t>
        </is>
      </c>
      <c r="H324" s="63" t="inlineStr">
        <is>
          <t>LeetCode</t>
        </is>
      </c>
      <c r="I324" s="63" t="inlineStr">
        <is>
          <t>https://leetcode.com/problems/bulb-switcher/</t>
        </is>
      </c>
      <c r="J324" s="63" t="inlineStr">
        <is>
          <t>Not Started</t>
        </is>
      </c>
      <c r="K324" s="63" t="n"/>
      <c r="L324" s="63" t="n"/>
      <c r="M324" s="69" t="n"/>
      <c r="N324" s="69">
        <f>IF($M324="","",$M324+IF($K324="",Dashboard!$M$9,INDEX(Dashboard!$M$5:$M$9,$K324)))</f>
        <v/>
      </c>
      <c r="O324" s="63">
        <f>IF(OR($J324="Attempted",$J324="Revisit"),"DUE",IF($N324="","",IF($N324&lt;=TODAY(),"DUE","")))</f>
        <v/>
      </c>
      <c r="P324" s="63" t="n"/>
    </row>
    <row r="325" ht="15" customHeight="1" s="32">
      <c r="A325" s="63" t="n">
        <v>324</v>
      </c>
      <c r="B325" s="63" t="inlineStr">
        <is>
          <t>2. Search, Strings &amp; Math - Depth</t>
        </is>
      </c>
      <c r="C325" s="63" t="inlineStr">
        <is>
          <t>11. Matrix / 2D</t>
        </is>
      </c>
      <c r="D325" s="63" t="inlineStr">
        <is>
          <t>Traversal</t>
        </is>
      </c>
      <c r="E325" s="63" t="inlineStr">
        <is>
          <t>Spiral Matrix II</t>
        </is>
      </c>
      <c r="F325" s="63" t="inlineStr">
        <is>
          <t>Medium</t>
        </is>
      </c>
      <c r="G325" s="63" t="inlineStr">
        <is>
          <t>Depth</t>
        </is>
      </c>
      <c r="H325" s="63" t="inlineStr">
        <is>
          <t>LeetCode</t>
        </is>
      </c>
      <c r="I325" s="63" t="inlineStr">
        <is>
          <t>https://leetcode.com/problems/spiral-matrix-ii/</t>
        </is>
      </c>
      <c r="J325" s="63" t="inlineStr">
        <is>
          <t>Not Started</t>
        </is>
      </c>
      <c r="K325" s="63" t="n"/>
      <c r="L325" s="63" t="n"/>
      <c r="M325" s="69" t="n"/>
      <c r="N325" s="69">
        <f>IF($M325="","",$M325+IF($K325="",Dashboard!$M$9,INDEX(Dashboard!$M$5:$M$9,$K325)))</f>
        <v/>
      </c>
      <c r="O325" s="63">
        <f>IF(OR($J325="Attempted",$J325="Revisit"),"DUE",IF($N325="","",IF($N325&lt;=TODAY(),"DUE","")))</f>
        <v/>
      </c>
      <c r="P325" s="63" t="n"/>
    </row>
    <row r="326" ht="15" customHeight="1" s="32">
      <c r="A326" s="63" t="n">
        <v>325</v>
      </c>
      <c r="B326" s="63" t="inlineStr">
        <is>
          <t>2. Search, Strings &amp; Math - Depth</t>
        </is>
      </c>
      <c r="C326" s="63" t="inlineStr">
        <is>
          <t>11. Matrix / 2D</t>
        </is>
      </c>
      <c r="D326" s="63" t="inlineStr">
        <is>
          <t>Traversal</t>
        </is>
      </c>
      <c r="E326" s="63" t="inlineStr">
        <is>
          <t>Diagonal Traverse</t>
        </is>
      </c>
      <c r="F326" s="63" t="inlineStr">
        <is>
          <t>Medium</t>
        </is>
      </c>
      <c r="G326" s="63" t="inlineStr">
        <is>
          <t>Depth</t>
        </is>
      </c>
      <c r="H326" s="63" t="inlineStr">
        <is>
          <t>LeetCode</t>
        </is>
      </c>
      <c r="I326" s="63" t="inlineStr">
        <is>
          <t>https://leetcode.com/problems/diagonal-traverse/</t>
        </is>
      </c>
      <c r="J326" s="63" t="inlineStr">
        <is>
          <t>Not Started</t>
        </is>
      </c>
      <c r="K326" s="63" t="n"/>
      <c r="L326" s="63" t="n"/>
      <c r="M326" s="69" t="n"/>
      <c r="N326" s="69">
        <f>IF($M326="","",$M326+IF($K326="",Dashboard!$M$9,INDEX(Dashboard!$M$5:$M$9,$K326)))</f>
        <v/>
      </c>
      <c r="O326" s="63">
        <f>IF(OR($J326="Attempted",$J326="Revisit"),"DUE",IF($N326="","",IF($N326&lt;=TODAY(),"DUE","")))</f>
        <v/>
      </c>
      <c r="P326" s="63" t="n"/>
    </row>
    <row r="327" ht="15" customHeight="1" s="32">
      <c r="A327" s="63" t="n">
        <v>326</v>
      </c>
      <c r="B327" s="63" t="inlineStr">
        <is>
          <t>2. Search, Strings &amp; Math - Depth</t>
        </is>
      </c>
      <c r="C327" s="63" t="inlineStr">
        <is>
          <t>11. Matrix / 2D</t>
        </is>
      </c>
      <c r="D327" s="63" t="inlineStr">
        <is>
          <t>Traversal</t>
        </is>
      </c>
      <c r="E327" s="63" t="inlineStr">
        <is>
          <t>Spiral Matrix III</t>
        </is>
      </c>
      <c r="F327" s="63" t="inlineStr">
        <is>
          <t>Medium</t>
        </is>
      </c>
      <c r="G327" s="63" t="inlineStr">
        <is>
          <t>Depth</t>
        </is>
      </c>
      <c r="H327" s="63" t="inlineStr">
        <is>
          <t>LeetCode</t>
        </is>
      </c>
      <c r="I327" s="63" t="inlineStr">
        <is>
          <t>https://leetcode.com/problems/spiral-matrix-iii/</t>
        </is>
      </c>
      <c r="J327" s="63" t="inlineStr">
        <is>
          <t>Not Started</t>
        </is>
      </c>
      <c r="K327" s="63" t="n"/>
      <c r="L327" s="63" t="n"/>
      <c r="M327" s="69" t="n"/>
      <c r="N327" s="69">
        <f>IF($M327="","",$M327+IF($K327="",Dashboard!$M$9,INDEX(Dashboard!$M$5:$M$9,$K327)))</f>
        <v/>
      </c>
      <c r="O327" s="63">
        <f>IF(OR($J327="Attempted",$J327="Revisit"),"DUE",IF($N327="","",IF($N327&lt;=TODAY(),"DUE","")))</f>
        <v/>
      </c>
      <c r="P327" s="63" t="n"/>
    </row>
    <row r="328" ht="15" customHeight="1" s="32">
      <c r="A328" s="63" t="n">
        <v>327</v>
      </c>
      <c r="B328" s="63" t="inlineStr">
        <is>
          <t>2. Search, Strings &amp; Math - Depth</t>
        </is>
      </c>
      <c r="C328" s="63" t="inlineStr">
        <is>
          <t>11. Matrix / 2D</t>
        </is>
      </c>
      <c r="D328" s="63" t="inlineStr">
        <is>
          <t>In-place ops</t>
        </is>
      </c>
      <c r="E328" s="63" t="inlineStr">
        <is>
          <t>Game of Life</t>
        </is>
      </c>
      <c r="F328" s="63" t="inlineStr">
        <is>
          <t>Medium</t>
        </is>
      </c>
      <c r="G328" s="63" t="inlineStr">
        <is>
          <t>Depth</t>
        </is>
      </c>
      <c r="H328" s="63" t="inlineStr">
        <is>
          <t>LeetCode</t>
        </is>
      </c>
      <c r="I328" s="63" t="inlineStr">
        <is>
          <t>https://leetcode.com/problems/game-of-life/</t>
        </is>
      </c>
      <c r="J328" s="63" t="inlineStr">
        <is>
          <t>Not Started</t>
        </is>
      </c>
      <c r="K328" s="63" t="n"/>
      <c r="L328" s="63" t="n"/>
      <c r="M328" s="69" t="n"/>
      <c r="N328" s="69">
        <f>IF($M328="","",$M328+IF($K328="",Dashboard!$M$9,INDEX(Dashboard!$M$5:$M$9,$K328)))</f>
        <v/>
      </c>
      <c r="O328" s="63">
        <f>IF(OR($J328="Attempted",$J328="Revisit"),"DUE",IF($N328="","",IF($N328&lt;=TODAY(),"DUE","")))</f>
        <v/>
      </c>
      <c r="P328" s="63" t="n"/>
    </row>
    <row r="329" ht="15" customHeight="1" s="32">
      <c r="A329" s="63" t="n">
        <v>328</v>
      </c>
      <c r="B329" s="63" t="inlineStr">
        <is>
          <t>2. Search, Strings &amp; Math - Depth</t>
        </is>
      </c>
      <c r="C329" s="63" t="inlineStr">
        <is>
          <t>11. Matrix / 2D</t>
        </is>
      </c>
      <c r="D329" s="63" t="inlineStr">
        <is>
          <t>Construction</t>
        </is>
      </c>
      <c r="E329" s="63" t="inlineStr">
        <is>
          <t>Matrix Block Sum</t>
        </is>
      </c>
      <c r="F329" s="63" t="inlineStr">
        <is>
          <t>Medium</t>
        </is>
      </c>
      <c r="G329" s="63" t="inlineStr">
        <is>
          <t>Depth</t>
        </is>
      </c>
      <c r="H329" s="63" t="inlineStr">
        <is>
          <t>LeetCode</t>
        </is>
      </c>
      <c r="I329" s="63" t="inlineStr">
        <is>
          <t>https://leetcode.com/problems/matrix-block-sum/</t>
        </is>
      </c>
      <c r="J329" s="63" t="inlineStr">
        <is>
          <t>Not Started</t>
        </is>
      </c>
      <c r="K329" s="63" t="n"/>
      <c r="L329" s="63" t="n"/>
      <c r="M329" s="69" t="n"/>
      <c r="N329" s="69">
        <f>IF($M329="","",$M329+IF($K329="",Dashboard!$M$9,INDEX(Dashboard!$M$5:$M$9,$K329)))</f>
        <v/>
      </c>
      <c r="O329" s="63">
        <f>IF(OR($J329="Attempted",$J329="Revisit"),"DUE",IF($N329="","",IF($N329&lt;=TODAY(),"DUE","")))</f>
        <v/>
      </c>
      <c r="P329" s="63" t="n"/>
    </row>
    <row r="330" ht="15" customHeight="1" s="32">
      <c r="A330" s="63" t="n">
        <v>329</v>
      </c>
      <c r="B330" s="63" t="inlineStr">
        <is>
          <t>2. Search, Strings &amp; Math - Stretch</t>
        </is>
      </c>
      <c r="C330" s="63" t="inlineStr">
        <is>
          <t>07. Binary Search</t>
        </is>
      </c>
      <c r="D330" s="63" t="inlineStr">
        <is>
          <t>BS on answer</t>
        </is>
      </c>
      <c r="E330" s="63" t="inlineStr">
        <is>
          <t>Split Array Largest Sum</t>
        </is>
      </c>
      <c r="F330" s="63" t="inlineStr">
        <is>
          <t>Hard</t>
        </is>
      </c>
      <c r="G330" s="63" t="inlineStr">
        <is>
          <t>Stretch</t>
        </is>
      </c>
      <c r="H330" s="63" t="inlineStr">
        <is>
          <t>LeetCode</t>
        </is>
      </c>
      <c r="I330" s="63" t="inlineStr">
        <is>
          <t>https://leetcode.com/problems/split-array-largest-sum/</t>
        </is>
      </c>
      <c r="J330" s="63" t="inlineStr">
        <is>
          <t>Not Started</t>
        </is>
      </c>
      <c r="K330" s="63" t="n"/>
      <c r="L330" s="63" t="n"/>
      <c r="M330" s="69" t="n"/>
      <c r="N330" s="69">
        <f>IF($M330="","",$M330+IF($K330="",Dashboard!$M$9,INDEX(Dashboard!$M$5:$M$9,$K330)))</f>
        <v/>
      </c>
      <c r="O330" s="63">
        <f>IF(OR($J330="Attempted",$J330="Revisit"),"DUE",IF($N330="","",IF($N330&lt;=TODAY(),"DUE","")))</f>
        <v/>
      </c>
      <c r="P330" s="63" t="n"/>
    </row>
    <row r="331" ht="15" customHeight="1" s="32">
      <c r="A331" s="63" t="n">
        <v>330</v>
      </c>
      <c r="B331" s="63" t="inlineStr">
        <is>
          <t>2. Search, Strings &amp; Math - Stretch</t>
        </is>
      </c>
      <c r="C331" s="63" t="inlineStr">
        <is>
          <t>07. Binary Search</t>
        </is>
      </c>
      <c r="D331" s="63" t="inlineStr">
        <is>
          <t>BS on answer</t>
        </is>
      </c>
      <c r="E331" s="63" t="inlineStr">
        <is>
          <t>Minimize Max Distance to Gas Station</t>
        </is>
      </c>
      <c r="F331" s="63" t="inlineStr">
        <is>
          <t>Hard</t>
        </is>
      </c>
      <c r="G331" s="63" t="inlineStr">
        <is>
          <t>Stretch</t>
        </is>
      </c>
      <c r="H331" s="63" t="inlineStr">
        <is>
          <t>GeeksforGeeks</t>
        </is>
      </c>
      <c r="I331" s="63" t="inlineStr">
        <is>
          <t>https://www.geeksforgeeks.org/problems/minimize-max-distance-to-gas-station/1</t>
        </is>
      </c>
      <c r="J331" s="63" t="inlineStr">
        <is>
          <t>Not Started</t>
        </is>
      </c>
      <c r="K331" s="63" t="n"/>
      <c r="L331" s="63" t="n"/>
      <c r="M331" s="69" t="n"/>
      <c r="N331" s="69">
        <f>IF($M331="","",$M331+IF($K331="",Dashboard!$M$9,INDEX(Dashboard!$M$5:$M$9,$K331)))</f>
        <v/>
      </c>
      <c r="O331" s="63">
        <f>IF(OR($J331="Attempted",$J331="Revisit"),"DUE",IF($N331="","",IF($N331&lt;=TODAY(),"DUE","")))</f>
        <v/>
      </c>
      <c r="P331" s="63" t="n"/>
    </row>
    <row r="332" ht="15" customHeight="1" s="32">
      <c r="A332" s="63" t="n">
        <v>331</v>
      </c>
      <c r="B332" s="63" t="inlineStr">
        <is>
          <t>2. Search, Strings &amp; Math - Stretch</t>
        </is>
      </c>
      <c r="C332" s="63" t="inlineStr">
        <is>
          <t>07. Binary Search</t>
        </is>
      </c>
      <c r="D332" s="63" t="inlineStr">
        <is>
          <t>Interactive</t>
        </is>
      </c>
      <c r="E332" s="63" t="inlineStr">
        <is>
          <t>Find in Mountain Array</t>
        </is>
      </c>
      <c r="F332" s="63" t="inlineStr">
        <is>
          <t>Hard</t>
        </is>
      </c>
      <c r="G332" s="63" t="inlineStr">
        <is>
          <t>Stretch</t>
        </is>
      </c>
      <c r="H332" s="63" t="inlineStr">
        <is>
          <t>LeetCode</t>
        </is>
      </c>
      <c r="I332" s="63" t="inlineStr">
        <is>
          <t>https://leetcode.com/problems/find-in-mountain-array/</t>
        </is>
      </c>
      <c r="J332" s="63" t="inlineStr">
        <is>
          <t>Not Started</t>
        </is>
      </c>
      <c r="K332" s="63" t="n"/>
      <c r="L332" s="63" t="n"/>
      <c r="M332" s="69" t="n"/>
      <c r="N332" s="69">
        <f>IF($M332="","",$M332+IF($K332="",Dashboard!$M$9,INDEX(Dashboard!$M$5:$M$9,$K332)))</f>
        <v/>
      </c>
      <c r="O332" s="63">
        <f>IF(OR($J332="Attempted",$J332="Revisit"),"DUE",IF($N332="","",IF($N332&lt;=TODAY(),"DUE","")))</f>
        <v/>
      </c>
      <c r="P332" s="63" t="n"/>
    </row>
    <row r="333" ht="15" customHeight="1" s="32">
      <c r="A333" s="63" t="n">
        <v>332</v>
      </c>
      <c r="B333" s="63" t="inlineStr">
        <is>
          <t>2. Search, Strings &amp; Math - Stretch</t>
        </is>
      </c>
      <c r="C333" s="63" t="inlineStr">
        <is>
          <t>07. Binary Search</t>
        </is>
      </c>
      <c r="D333" s="63" t="inlineStr">
        <is>
          <t>Interactive</t>
        </is>
      </c>
      <c r="E333" s="63" t="inlineStr">
        <is>
          <t>Guess the Word</t>
        </is>
      </c>
      <c r="F333" s="63" t="inlineStr">
        <is>
          <t>Hard</t>
        </is>
      </c>
      <c r="G333" s="63" t="inlineStr">
        <is>
          <t>Stretch</t>
        </is>
      </c>
      <c r="H333" s="63" t="inlineStr">
        <is>
          <t>LeetCode</t>
        </is>
      </c>
      <c r="I333" s="63" t="inlineStr">
        <is>
          <t>https://leetcode.com/problems/guess-the-word/</t>
        </is>
      </c>
      <c r="J333" s="63" t="inlineStr">
        <is>
          <t>Not Started</t>
        </is>
      </c>
      <c r="K333" s="63" t="n"/>
      <c r="L333" s="63" t="n"/>
      <c r="M333" s="69" t="n"/>
      <c r="N333" s="69">
        <f>IF($M333="","",$M333+IF($K333="",Dashboard!$M$9,INDEX(Dashboard!$M$5:$M$9,$K333)))</f>
        <v/>
      </c>
      <c r="O333" s="63">
        <f>IF(OR($J333="Attempted",$J333="Revisit"),"DUE",IF($N333="","",IF($N333&lt;=TODAY(),"DUE","")))</f>
        <v/>
      </c>
      <c r="P333" s="63" t="n"/>
    </row>
    <row r="334" ht="15" customHeight="1" s="32">
      <c r="A334" s="63" t="n">
        <v>333</v>
      </c>
      <c r="B334" s="63" t="inlineStr">
        <is>
          <t>2. Search, Strings &amp; Math - Stretch</t>
        </is>
      </c>
      <c r="C334" s="63" t="inlineStr">
        <is>
          <t>07. Binary Search</t>
        </is>
      </c>
      <c r="D334" s="63" t="inlineStr">
        <is>
          <t>Rotated array</t>
        </is>
      </c>
      <c r="E334" s="63" t="inlineStr">
        <is>
          <t>Find Minimum in Rotated Sorted Array II</t>
        </is>
      </c>
      <c r="F334" s="63" t="inlineStr">
        <is>
          <t>Hard</t>
        </is>
      </c>
      <c r="G334" s="63" t="inlineStr">
        <is>
          <t>Stretch</t>
        </is>
      </c>
      <c r="H334" s="63" t="inlineStr">
        <is>
          <t>LeetCode</t>
        </is>
      </c>
      <c r="I334" s="63" t="inlineStr">
        <is>
          <t>https://leetcode.com/problems/find-minimum-in-rotated-sorted-array-ii/</t>
        </is>
      </c>
      <c r="J334" s="63" t="inlineStr">
        <is>
          <t>Not Started</t>
        </is>
      </c>
      <c r="K334" s="63" t="n"/>
      <c r="L334" s="63" t="n"/>
      <c r="M334" s="69" t="n"/>
      <c r="N334" s="69">
        <f>IF($M334="","",$M334+IF($K334="",Dashboard!$M$9,INDEX(Dashboard!$M$5:$M$9,$K334)))</f>
        <v/>
      </c>
      <c r="O334" s="63">
        <f>IF(OR($J334="Attempted",$J334="Revisit"),"DUE",IF($N334="","",IF($N334&lt;=TODAY(),"DUE","")))</f>
        <v/>
      </c>
      <c r="P334" s="63" t="n"/>
    </row>
    <row r="335" ht="15" customHeight="1" s="32">
      <c r="A335" s="63" t="n">
        <v>334</v>
      </c>
      <c r="B335" s="63" t="inlineStr">
        <is>
          <t>2. Search, Strings &amp; Math - Stretch</t>
        </is>
      </c>
      <c r="C335" s="63" t="inlineStr">
        <is>
          <t>07. Binary Search</t>
        </is>
      </c>
      <c r="D335" s="63" t="inlineStr">
        <is>
          <t>BS on matrix</t>
        </is>
      </c>
      <c r="E335" s="63" t="inlineStr">
        <is>
          <t>Kth Smallest Number in Multiplication Table</t>
        </is>
      </c>
      <c r="F335" s="63" t="inlineStr">
        <is>
          <t>Hard</t>
        </is>
      </c>
      <c r="G335" s="63" t="inlineStr">
        <is>
          <t>Stretch</t>
        </is>
      </c>
      <c r="H335" s="63" t="inlineStr">
        <is>
          <t>LeetCode</t>
        </is>
      </c>
      <c r="I335" s="63" t="inlineStr">
        <is>
          <t>https://leetcode.com/problems/kth-smallest-number-in-multiplication-table/</t>
        </is>
      </c>
      <c r="J335" s="63" t="inlineStr">
        <is>
          <t>Not Started</t>
        </is>
      </c>
      <c r="K335" s="63" t="n"/>
      <c r="L335" s="63" t="n"/>
      <c r="M335" s="69" t="n"/>
      <c r="N335" s="69">
        <f>IF($M335="","",$M335+IF($K335="",Dashboard!$M$9,INDEX(Dashboard!$M$5:$M$9,$K335)))</f>
        <v/>
      </c>
      <c r="O335" s="63">
        <f>IF(OR($J335="Attempted",$J335="Revisit"),"DUE",IF($N335="","",IF($N335&lt;=TODAY(),"DUE","")))</f>
        <v/>
      </c>
      <c r="P335" s="63" t="n"/>
    </row>
    <row r="336" ht="15" customHeight="1" s="32">
      <c r="A336" s="63" t="n">
        <v>335</v>
      </c>
      <c r="B336" s="63" t="inlineStr">
        <is>
          <t>2. Search, Strings &amp; Math - Stretch</t>
        </is>
      </c>
      <c r="C336" s="63" t="inlineStr">
        <is>
          <t>07. Binary Search</t>
        </is>
      </c>
      <c r="D336" s="63" t="inlineStr">
        <is>
          <t>BS on matrix</t>
        </is>
      </c>
      <c r="E336" s="63" t="inlineStr">
        <is>
          <t>Median in a Row-wise Sorted Matrix</t>
        </is>
      </c>
      <c r="F336" s="63" t="inlineStr">
        <is>
          <t>Hard</t>
        </is>
      </c>
      <c r="G336" s="63" t="inlineStr">
        <is>
          <t>Stretch</t>
        </is>
      </c>
      <c r="H336" s="63" t="inlineStr">
        <is>
          <t>GeeksforGeeks</t>
        </is>
      </c>
      <c r="I336" s="63" t="inlineStr">
        <is>
          <t>https://www.geeksforgeeks.org/problems/median-in-a-row-wise-sorted-matrix1527/1</t>
        </is>
      </c>
      <c r="J336" s="63" t="inlineStr">
        <is>
          <t>Not Started</t>
        </is>
      </c>
      <c r="K336" s="63" t="n"/>
      <c r="L336" s="63" t="n"/>
      <c r="M336" s="69" t="n"/>
      <c r="N336" s="69">
        <f>IF($M336="","",$M336+IF($K336="",Dashboard!$M$9,INDEX(Dashboard!$M$5:$M$9,$K336)))</f>
        <v/>
      </c>
      <c r="O336" s="63">
        <f>IF(OR($J336="Attempted",$J336="Revisit"),"DUE",IF($N336="","",IF($N336&lt;=TODAY(),"DUE","")))</f>
        <v/>
      </c>
      <c r="P336" s="63" t="n"/>
    </row>
    <row r="337" ht="15" customHeight="1" s="32">
      <c r="A337" s="63" t="n">
        <v>336</v>
      </c>
      <c r="B337" s="63" t="inlineStr">
        <is>
          <t>2. Search, Strings &amp; Math - Stretch</t>
        </is>
      </c>
      <c r="C337" s="63" t="inlineStr">
        <is>
          <t>07. Binary Search</t>
        </is>
      </c>
      <c r="D337" s="63" t="inlineStr">
        <is>
          <t>Partition BS</t>
        </is>
      </c>
      <c r="E337" s="63" t="inlineStr">
        <is>
          <t>Kth Smallest Product of Two Sorted Arrays</t>
        </is>
      </c>
      <c r="F337" s="63" t="inlineStr">
        <is>
          <t>Hard</t>
        </is>
      </c>
      <c r="G337" s="63" t="inlineStr">
        <is>
          <t>Stretch</t>
        </is>
      </c>
      <c r="H337" s="63" t="inlineStr">
        <is>
          <t>LeetCode</t>
        </is>
      </c>
      <c r="I337" s="63" t="inlineStr">
        <is>
          <t>https://leetcode.com/problems/kth-smallest-product-of-two-sorted-arrays/</t>
        </is>
      </c>
      <c r="J337" s="63" t="inlineStr">
        <is>
          <t>Not Started</t>
        </is>
      </c>
      <c r="K337" s="63" t="n"/>
      <c r="L337" s="63" t="n"/>
      <c r="M337" s="69" t="n"/>
      <c r="N337" s="69">
        <f>IF($M337="","",$M337+IF($K337="",Dashboard!$M$9,INDEX(Dashboard!$M$5:$M$9,$K337)))</f>
        <v/>
      </c>
      <c r="O337" s="63">
        <f>IF(OR($J337="Attempted",$J337="Revisit"),"DUE",IF($N337="","",IF($N337&lt;=TODAY(),"DUE","")))</f>
        <v/>
      </c>
      <c r="P337" s="63" t="n"/>
    </row>
    <row r="338" ht="15" customHeight="1" s="32">
      <c r="A338" s="63" t="n">
        <v>337</v>
      </c>
      <c r="B338" s="63" t="inlineStr">
        <is>
          <t>2. Search, Strings &amp; Math - Stretch</t>
        </is>
      </c>
      <c r="C338" s="63" t="inlineStr">
        <is>
          <t>07. Binary Search</t>
        </is>
      </c>
      <c r="D338" s="63" t="inlineStr">
        <is>
          <t>Partition BS</t>
        </is>
      </c>
      <c r="E338" s="63" t="inlineStr">
        <is>
          <t>Find K-th Smallest Pair Distance</t>
        </is>
      </c>
      <c r="F338" s="63" t="inlineStr">
        <is>
          <t>Hard</t>
        </is>
      </c>
      <c r="G338" s="63" t="inlineStr">
        <is>
          <t>Stretch</t>
        </is>
      </c>
      <c r="H338" s="63" t="inlineStr">
        <is>
          <t>LeetCode</t>
        </is>
      </c>
      <c r="I338" s="63" t="inlineStr">
        <is>
          <t>https://leetcode.com/problems/find-k-th-smallest-pair-distance/</t>
        </is>
      </c>
      <c r="J338" s="63" t="inlineStr">
        <is>
          <t>Not Started</t>
        </is>
      </c>
      <c r="K338" s="63" t="n"/>
      <c r="L338" s="63" t="n"/>
      <c r="M338" s="69" t="n"/>
      <c r="N338" s="69">
        <f>IF($M338="","",$M338+IF($K338="",Dashboard!$M$9,INDEX(Dashboard!$M$5:$M$9,$K338)))</f>
        <v/>
      </c>
      <c r="O338" s="63">
        <f>IF(OR($J338="Attempted",$J338="Revisit"),"DUE",IF($N338="","",IF($N338&lt;=TODAY(),"DUE","")))</f>
        <v/>
      </c>
      <c r="P338" s="63" t="n"/>
    </row>
    <row r="339" ht="15" customHeight="1" s="32">
      <c r="A339" s="63" t="n">
        <v>338</v>
      </c>
      <c r="B339" s="63" t="inlineStr">
        <is>
          <t>2. Search, Strings &amp; Math - Stretch</t>
        </is>
      </c>
      <c r="C339" s="63" t="inlineStr">
        <is>
          <t>07. Binary Search</t>
        </is>
      </c>
      <c r="D339" s="63" t="inlineStr">
        <is>
          <t>Partition BS</t>
        </is>
      </c>
      <c r="E339" s="63" t="inlineStr">
        <is>
          <t>Median of Two Sorted Arrays of Different Sizes</t>
        </is>
      </c>
      <c r="F339" s="63" t="inlineStr">
        <is>
          <t>Hard</t>
        </is>
      </c>
      <c r="G339" s="63" t="inlineStr">
        <is>
          <t>Stretch</t>
        </is>
      </c>
      <c r="H339" s="63" t="inlineStr">
        <is>
          <t>GeeksforGeeks</t>
        </is>
      </c>
      <c r="I339" s="63" t="inlineStr">
        <is>
          <t>https://www.geeksforgeeks.org/search/?q=Median+of+Two+Sorted+Arrays+of+Different+Sizes</t>
        </is>
      </c>
      <c r="J339" s="63" t="inlineStr">
        <is>
          <t>Not Started</t>
        </is>
      </c>
      <c r="K339" s="63" t="n"/>
      <c r="L339" s="63" t="n"/>
      <c r="M339" s="69" t="n"/>
      <c r="N339" s="69">
        <f>IF($M339="","",$M339+IF($K339="",Dashboard!$M$9,INDEX(Dashboard!$M$5:$M$9,$K339)))</f>
        <v/>
      </c>
      <c r="O339" s="63">
        <f>IF(OR($J339="Attempted",$J339="Revisit"),"DUE",IF($N339="","",IF($N339&lt;=TODAY(),"DUE","")))</f>
        <v/>
      </c>
      <c r="P339" s="63" t="n"/>
    </row>
    <row r="340" ht="15" customHeight="1" s="32">
      <c r="A340" s="63" t="n">
        <v>339</v>
      </c>
      <c r="B340" s="63" t="inlineStr">
        <is>
          <t>2. Search, Strings &amp; Math - Stretch</t>
        </is>
      </c>
      <c r="C340" s="63" t="inlineStr">
        <is>
          <t>08. Strings</t>
        </is>
      </c>
      <c r="D340" s="63" t="inlineStr">
        <is>
          <t>Palindrome</t>
        </is>
      </c>
      <c r="E340" s="63" t="inlineStr">
        <is>
          <t>Shortest Palindrome</t>
        </is>
      </c>
      <c r="F340" s="63" t="inlineStr">
        <is>
          <t>Hard</t>
        </is>
      </c>
      <c r="G340" s="63" t="inlineStr">
        <is>
          <t>Stretch</t>
        </is>
      </c>
      <c r="H340" s="63" t="inlineStr">
        <is>
          <t>LeetCode</t>
        </is>
      </c>
      <c r="I340" s="63" t="inlineStr">
        <is>
          <t>https://leetcode.com/problems/shortest-palindrome/</t>
        </is>
      </c>
      <c r="J340" s="63" t="inlineStr">
        <is>
          <t>Not Started</t>
        </is>
      </c>
      <c r="K340" s="63" t="n"/>
      <c r="L340" s="63" t="n"/>
      <c r="M340" s="69" t="n"/>
      <c r="N340" s="69">
        <f>IF($M340="","",$M340+IF($K340="",Dashboard!$M$9,INDEX(Dashboard!$M$5:$M$9,$K340)))</f>
        <v/>
      </c>
      <c r="O340" s="63">
        <f>IF(OR($J340="Attempted",$J340="Revisit"),"DUE",IF($N340="","",IF($N340&lt;=TODAY(),"DUE","")))</f>
        <v/>
      </c>
      <c r="P340" s="63" t="n"/>
    </row>
    <row r="341" ht="15" customHeight="1" s="32">
      <c r="A341" s="63" t="n">
        <v>340</v>
      </c>
      <c r="B341" s="63" t="inlineStr">
        <is>
          <t>2. Search, Strings &amp; Math - Stretch</t>
        </is>
      </c>
      <c r="C341" s="63" t="inlineStr">
        <is>
          <t>08. Strings</t>
        </is>
      </c>
      <c r="D341" s="63" t="inlineStr">
        <is>
          <t>Simulation</t>
        </is>
      </c>
      <c r="E341" s="63" t="inlineStr">
        <is>
          <t>Text Justification</t>
        </is>
      </c>
      <c r="F341" s="63" t="inlineStr">
        <is>
          <t>Hard</t>
        </is>
      </c>
      <c r="G341" s="63" t="inlineStr">
        <is>
          <t>Stretch</t>
        </is>
      </c>
      <c r="H341" s="63" t="inlineStr">
        <is>
          <t>LeetCode</t>
        </is>
      </c>
      <c r="I341" s="63" t="inlineStr">
        <is>
          <t>https://leetcode.com/problems/text-justification/</t>
        </is>
      </c>
      <c r="J341" s="63" t="inlineStr">
        <is>
          <t>Not Started</t>
        </is>
      </c>
      <c r="K341" s="63" t="n"/>
      <c r="L341" s="63" t="n"/>
      <c r="M341" s="69" t="n"/>
      <c r="N341" s="69">
        <f>IF($M341="","",$M341+IF($K341="",Dashboard!$M$9,INDEX(Dashboard!$M$5:$M$9,$K341)))</f>
        <v/>
      </c>
      <c r="O341" s="63">
        <f>IF(OR($J341="Attempted",$J341="Revisit"),"DUE",IF($N341="","",IF($N341&lt;=TODAY(),"DUE","")))</f>
        <v/>
      </c>
      <c r="P341" s="63" t="n"/>
    </row>
    <row r="342" ht="15" customHeight="1" s="32">
      <c r="A342" s="63" t="n">
        <v>341</v>
      </c>
      <c r="B342" s="63" t="inlineStr">
        <is>
          <t>2. Search, Strings &amp; Math - Stretch</t>
        </is>
      </c>
      <c r="C342" s="63" t="inlineStr">
        <is>
          <t>08. Strings</t>
        </is>
      </c>
      <c r="D342" s="63" t="inlineStr">
        <is>
          <t>Pattern matching</t>
        </is>
      </c>
      <c r="E342" s="63" t="inlineStr">
        <is>
          <t>Z Algorithm for Pattern Searching</t>
        </is>
      </c>
      <c r="F342" s="63" t="inlineStr">
        <is>
          <t>Hard</t>
        </is>
      </c>
      <c r="G342" s="63" t="inlineStr">
        <is>
          <t>Stretch</t>
        </is>
      </c>
      <c r="H342" s="63" t="inlineStr">
        <is>
          <t>GeeksforGeeks</t>
        </is>
      </c>
      <c r="I342" s="63" t="inlineStr">
        <is>
          <t>https://www.geeksforgeeks.org/problems/search-pattern-z-algorithm--141631/1</t>
        </is>
      </c>
      <c r="J342" s="63" t="inlineStr">
        <is>
          <t>Not Started</t>
        </is>
      </c>
      <c r="K342" s="63" t="n"/>
      <c r="L342" s="63" t="n"/>
      <c r="M342" s="69" t="n"/>
      <c r="N342" s="69">
        <f>IF($M342="","",$M342+IF($K342="",Dashboard!$M$9,INDEX(Dashboard!$M$5:$M$9,$K342)))</f>
        <v/>
      </c>
      <c r="O342" s="63">
        <f>IF(OR($J342="Attempted",$J342="Revisit"),"DUE",IF($N342="","",IF($N342&lt;=TODAY(),"DUE","")))</f>
        <v/>
      </c>
      <c r="P342" s="63" t="n"/>
    </row>
    <row r="343" ht="15" customHeight="1" s="32">
      <c r="A343" s="63" t="n">
        <v>342</v>
      </c>
      <c r="B343" s="63" t="inlineStr">
        <is>
          <t>2. Search, Strings &amp; Math - Stretch</t>
        </is>
      </c>
      <c r="C343" s="63" t="inlineStr">
        <is>
          <t>09. Bit Manipulation</t>
        </is>
      </c>
      <c r="D343" s="63" t="inlineStr">
        <is>
          <t>Bitmask</t>
        </is>
      </c>
      <c r="E343" s="63" t="inlineStr">
        <is>
          <t>Number of Valid Words for Each Puzzle</t>
        </is>
      </c>
      <c r="F343" s="63" t="inlineStr">
        <is>
          <t>Hard</t>
        </is>
      </c>
      <c r="G343" s="63" t="inlineStr">
        <is>
          <t>Stretch</t>
        </is>
      </c>
      <c r="H343" s="63" t="inlineStr">
        <is>
          <t>LeetCode</t>
        </is>
      </c>
      <c r="I343" s="63" t="inlineStr">
        <is>
          <t>https://leetcode.com/problems/number-of-valid-words-for-each-puzzle/</t>
        </is>
      </c>
      <c r="J343" s="63" t="inlineStr">
        <is>
          <t>Not Started</t>
        </is>
      </c>
      <c r="K343" s="63" t="n"/>
      <c r="L343" s="63" t="n"/>
      <c r="M343" s="69" t="n"/>
      <c r="N343" s="69">
        <f>IF($M343="","",$M343+IF($K343="",Dashboard!$M$9,INDEX(Dashboard!$M$5:$M$9,$K343)))</f>
        <v/>
      </c>
      <c r="O343" s="63">
        <f>IF(OR($J343="Attempted",$J343="Revisit"),"DUE",IF($N343="","",IF($N343&lt;=TODAY(),"DUE","")))</f>
        <v/>
      </c>
      <c r="P343" s="63" t="n"/>
    </row>
    <row r="344" ht="15" customHeight="1" s="32">
      <c r="A344" s="63" t="n">
        <v>343</v>
      </c>
      <c r="B344" s="63" t="inlineStr">
        <is>
          <t>2. Search, Strings &amp; Math - Stretch</t>
        </is>
      </c>
      <c r="C344" s="63" t="inlineStr">
        <is>
          <t>10. Math &amp; Number Theory</t>
        </is>
      </c>
      <c r="D344" s="63" t="inlineStr">
        <is>
          <t>Digits</t>
        </is>
      </c>
      <c r="E344" s="63" t="inlineStr">
        <is>
          <t>Number of Digit One</t>
        </is>
      </c>
      <c r="F344" s="63" t="inlineStr">
        <is>
          <t>Hard</t>
        </is>
      </c>
      <c r="G344" s="63" t="inlineStr">
        <is>
          <t>Stretch</t>
        </is>
      </c>
      <c r="H344" s="63" t="inlineStr">
        <is>
          <t>LeetCode</t>
        </is>
      </c>
      <c r="I344" s="63" t="inlineStr">
        <is>
          <t>https://leetcode.com/problems/number-of-digit-one/</t>
        </is>
      </c>
      <c r="J344" s="63" t="inlineStr">
        <is>
          <t>Not Started</t>
        </is>
      </c>
      <c r="K344" s="63" t="n"/>
      <c r="L344" s="63" t="n"/>
      <c r="M344" s="69" t="n"/>
      <c r="N344" s="69">
        <f>IF($M344="","",$M344+IF($K344="",Dashboard!$M$9,INDEX(Dashboard!$M$5:$M$9,$K344)))</f>
        <v/>
      </c>
      <c r="O344" s="63">
        <f>IF(OR($J344="Attempted",$J344="Revisit"),"DUE",IF($N344="","",IF($N344&lt;=TODAY(),"DUE","")))</f>
        <v/>
      </c>
      <c r="P344" s="63" t="n"/>
    </row>
    <row r="345" ht="15" customHeight="1" s="32">
      <c r="A345" s="63" t="n">
        <v>344</v>
      </c>
      <c r="B345" s="63" t="inlineStr">
        <is>
          <t>2. Search, Strings &amp; Math - Stretch</t>
        </is>
      </c>
      <c r="C345" s="63" t="inlineStr">
        <is>
          <t>10. Math &amp; Number Theory</t>
        </is>
      </c>
      <c r="D345" s="63" t="inlineStr">
        <is>
          <t>GCD/LCM</t>
        </is>
      </c>
      <c r="E345" s="63" t="inlineStr">
        <is>
          <t>Replace Non-Coprime Numbers in Array</t>
        </is>
      </c>
      <c r="F345" s="63" t="inlineStr">
        <is>
          <t>Hard</t>
        </is>
      </c>
      <c r="G345" s="63" t="inlineStr">
        <is>
          <t>Stretch</t>
        </is>
      </c>
      <c r="H345" s="63" t="inlineStr">
        <is>
          <t>LeetCode</t>
        </is>
      </c>
      <c r="I345" s="63" t="inlineStr">
        <is>
          <t>https://leetcode.com/problems/replace-non-coprime-numbers-in-array/</t>
        </is>
      </c>
      <c r="J345" s="63" t="inlineStr">
        <is>
          <t>Not Started</t>
        </is>
      </c>
      <c r="K345" s="63" t="n"/>
      <c r="L345" s="63" t="n"/>
      <c r="M345" s="69" t="n"/>
      <c r="N345" s="69">
        <f>IF($M345="","",$M345+IF($K345="",Dashboard!$M$9,INDEX(Dashboard!$M$5:$M$9,$K345)))</f>
        <v/>
      </c>
      <c r="O345" s="63">
        <f>IF(OR($J345="Attempted",$J345="Revisit"),"DUE",IF($N345="","",IF($N345&lt;=TODAY(),"DUE","")))</f>
        <v/>
      </c>
      <c r="P345" s="63" t="inlineStr">
        <is>
          <t>v3 addition</t>
        </is>
      </c>
    </row>
    <row r="346" ht="15" customHeight="1" s="32">
      <c r="A346" s="63" t="n">
        <v>345</v>
      </c>
      <c r="B346" s="63" t="inlineStr">
        <is>
          <t>2. Search, Strings &amp; Math - Stretch</t>
        </is>
      </c>
      <c r="C346" s="63" t="inlineStr">
        <is>
          <t>10. Math &amp; Number Theory</t>
        </is>
      </c>
      <c r="D346" s="63" t="inlineStr">
        <is>
          <t>Sequences</t>
        </is>
      </c>
      <c r="E346" s="63" t="inlineStr">
        <is>
          <t>Nth Magical Number</t>
        </is>
      </c>
      <c r="F346" s="63" t="inlineStr">
        <is>
          <t>Hard</t>
        </is>
      </c>
      <c r="G346" s="63" t="inlineStr">
        <is>
          <t>Stretch</t>
        </is>
      </c>
      <c r="H346" s="63" t="inlineStr">
        <is>
          <t>LeetCode</t>
        </is>
      </c>
      <c r="I346" s="63" t="inlineStr">
        <is>
          <t>https://leetcode.com/problems/nth-magical-number/</t>
        </is>
      </c>
      <c r="J346" s="63" t="inlineStr">
        <is>
          <t>Not Started</t>
        </is>
      </c>
      <c r="K346" s="63" t="n"/>
      <c r="L346" s="63" t="n"/>
      <c r="M346" s="69" t="n"/>
      <c r="N346" s="69">
        <f>IF($M346="","",$M346+IF($K346="",Dashboard!$M$9,INDEX(Dashboard!$M$5:$M$9,$K346)))</f>
        <v/>
      </c>
      <c r="O346" s="63">
        <f>IF(OR($J346="Attempted",$J346="Revisit"),"DUE",IF($N346="","",IF($N346&lt;=TODAY(),"DUE","")))</f>
        <v/>
      </c>
      <c r="P346" s="63" t="inlineStr">
        <is>
          <t>v3 addition</t>
        </is>
      </c>
    </row>
    <row r="347" ht="15" customHeight="1" s="32">
      <c r="A347" s="63" t="n">
        <v>346</v>
      </c>
      <c r="B347" s="63" t="inlineStr">
        <is>
          <t>2. Search, Strings &amp; Math - Stretch</t>
        </is>
      </c>
      <c r="C347" s="63" t="inlineStr">
        <is>
          <t>10. Math &amp; Number Theory</t>
        </is>
      </c>
      <c r="D347" s="63" t="inlineStr">
        <is>
          <t>Modular</t>
        </is>
      </c>
      <c r="E347" s="63" t="inlineStr">
        <is>
          <t>Number of Ways to Reorder Array to Get Same BST</t>
        </is>
      </c>
      <c r="F347" s="63" t="inlineStr">
        <is>
          <t>Hard</t>
        </is>
      </c>
      <c r="G347" s="63" t="inlineStr">
        <is>
          <t>Stretch</t>
        </is>
      </c>
      <c r="H347" s="63" t="inlineStr">
        <is>
          <t>LeetCode</t>
        </is>
      </c>
      <c r="I347" s="63" t="inlineStr">
        <is>
          <t>https://leetcode.com/problems/number-of-ways-to-reorder-array-to-get-same-bst/</t>
        </is>
      </c>
      <c r="J347" s="63" t="inlineStr">
        <is>
          <t>Not Started</t>
        </is>
      </c>
      <c r="K347" s="63" t="n"/>
      <c r="L347" s="63" t="n"/>
      <c r="M347" s="69" t="n"/>
      <c r="N347" s="69">
        <f>IF($M347="","",$M347+IF($K347="",Dashboard!$M$9,INDEX(Dashboard!$M$5:$M$9,$K347)))</f>
        <v/>
      </c>
      <c r="O347" s="63">
        <f>IF(OR($J347="Attempted",$J347="Revisit"),"DUE",IF($N347="","",IF($N347&lt;=TODAY(),"DUE","")))</f>
        <v/>
      </c>
      <c r="P347" s="63" t="n"/>
    </row>
    <row r="348" ht="15" customHeight="1" s="32">
      <c r="A348" s="63" t="n">
        <v>347</v>
      </c>
      <c r="B348" s="63" t="inlineStr">
        <is>
          <t>2. Search, Strings &amp; Math - Stretch</t>
        </is>
      </c>
      <c r="C348" s="63" t="inlineStr">
        <is>
          <t>10. Math &amp; Number Theory</t>
        </is>
      </c>
      <c r="D348" s="63" t="inlineStr">
        <is>
          <t>Factorials</t>
        </is>
      </c>
      <c r="E348" s="63" t="inlineStr">
        <is>
          <t>Preimage Size of Factorial Zeroes Function</t>
        </is>
      </c>
      <c r="F348" s="63" t="inlineStr">
        <is>
          <t>Hard</t>
        </is>
      </c>
      <c r="G348" s="63" t="inlineStr">
        <is>
          <t>Stretch</t>
        </is>
      </c>
      <c r="H348" s="63" t="inlineStr">
        <is>
          <t>LeetCode</t>
        </is>
      </c>
      <c r="I348" s="63" t="inlineStr">
        <is>
          <t>https://leetcode.com/problems/preimage-size-of-factorial-zeroes-function/</t>
        </is>
      </c>
      <c r="J348" s="63" t="inlineStr">
        <is>
          <t>Not Started</t>
        </is>
      </c>
      <c r="K348" s="63" t="n"/>
      <c r="L348" s="63" t="n"/>
      <c r="M348" s="69" t="n"/>
      <c r="N348" s="69">
        <f>IF($M348="","",$M348+IF($K348="",Dashboard!$M$9,INDEX(Dashboard!$M$5:$M$9,$K348)))</f>
        <v/>
      </c>
      <c r="O348" s="63">
        <f>IF(OR($J348="Attempted",$J348="Revisit"),"DUE",IF($N348="","",IF($N348&lt;=TODAY(),"DUE","")))</f>
        <v/>
      </c>
      <c r="P348" s="63" t="n"/>
    </row>
    <row r="349" ht="15" customHeight="1" s="32">
      <c r="A349" s="63" t="n">
        <v>348</v>
      </c>
      <c r="B349" s="63" t="inlineStr">
        <is>
          <t>2. Search, Strings &amp; Math - Stretch</t>
        </is>
      </c>
      <c r="C349" s="63" t="inlineStr">
        <is>
          <t>10. Math &amp; Number Theory</t>
        </is>
      </c>
      <c r="D349" s="63" t="inlineStr">
        <is>
          <t>Classic</t>
        </is>
      </c>
      <c r="E349" s="63" t="inlineStr">
        <is>
          <t>Poor Pigs</t>
        </is>
      </c>
      <c r="F349" s="63" t="inlineStr">
        <is>
          <t>Hard</t>
        </is>
      </c>
      <c r="G349" s="63" t="inlineStr">
        <is>
          <t>Stretch</t>
        </is>
      </c>
      <c r="H349" s="63" t="inlineStr">
        <is>
          <t>LeetCode</t>
        </is>
      </c>
      <c r="I349" s="63" t="inlineStr">
        <is>
          <t>https://leetcode.com/problems/poor-pigs/</t>
        </is>
      </c>
      <c r="J349" s="63" t="inlineStr">
        <is>
          <t>Not Started</t>
        </is>
      </c>
      <c r="K349" s="63" t="n"/>
      <c r="L349" s="63" t="n"/>
      <c r="M349" s="69" t="n"/>
      <c r="N349" s="69">
        <f>IF($M349="","",$M349+IF($K349="",Dashboard!$M$9,INDEX(Dashboard!$M$5:$M$9,$K349)))</f>
        <v/>
      </c>
      <c r="O349" s="63">
        <f>IF(OR($J349="Attempted",$J349="Revisit"),"DUE",IF($N349="","",IF($N349&lt;=TODAY(),"DUE","")))</f>
        <v/>
      </c>
      <c r="P349" s="63" t="inlineStr">
        <is>
          <t>v3 addition</t>
        </is>
      </c>
    </row>
    <row r="350" ht="15" customHeight="1" s="32">
      <c r="A350" s="63" t="n">
        <v>349</v>
      </c>
      <c r="B350" s="63" t="inlineStr">
        <is>
          <t>3. Linear DS - Core</t>
        </is>
      </c>
      <c r="C350" s="63" t="inlineStr">
        <is>
          <t>12. Linked List</t>
        </is>
      </c>
      <c r="D350" s="63" t="inlineStr">
        <is>
          <t>Reversal</t>
        </is>
      </c>
      <c r="E350" s="63" t="inlineStr">
        <is>
          <t>Reverse Linked List</t>
        </is>
      </c>
      <c r="F350" s="63" t="inlineStr">
        <is>
          <t>Easy</t>
        </is>
      </c>
      <c r="G350" s="63" t="inlineStr">
        <is>
          <t>Core</t>
        </is>
      </c>
      <c r="H350" s="63" t="inlineStr">
        <is>
          <t>LeetCode</t>
        </is>
      </c>
      <c r="I350" s="63" t="inlineStr">
        <is>
          <t>https://leetcode.com/problems/reverse-linked-list/</t>
        </is>
      </c>
      <c r="J350" s="63" t="inlineStr">
        <is>
          <t>Not Started</t>
        </is>
      </c>
      <c r="K350" s="63" t="n"/>
      <c r="L350" s="63" t="n"/>
      <c r="M350" s="69" t="n"/>
      <c r="N350" s="69">
        <f>IF($M350="","",$M350+IF($K350="",Dashboard!$M$9,INDEX(Dashboard!$M$5:$M$9,$K350)))</f>
        <v/>
      </c>
      <c r="O350" s="63">
        <f>IF(OR($J350="Attempted",$J350="Revisit"),"DUE",IF($N350="","",IF($N350&lt;=TODAY(),"DUE","")))</f>
        <v/>
      </c>
      <c r="P350" s="63" t="inlineStr">
        <is>
          <t>v3 addition</t>
        </is>
      </c>
    </row>
    <row r="351" ht="15" customHeight="1" s="32">
      <c r="A351" s="63" t="n">
        <v>350</v>
      </c>
      <c r="B351" s="63" t="inlineStr">
        <is>
          <t>3. Linear DS - Core</t>
        </is>
      </c>
      <c r="C351" s="63" t="inlineStr">
        <is>
          <t>12. Linked List</t>
        </is>
      </c>
      <c r="D351" s="63" t="inlineStr">
        <is>
          <t>Reversal</t>
        </is>
      </c>
      <c r="E351" s="63" t="inlineStr">
        <is>
          <t>Reverse Linked List II</t>
        </is>
      </c>
      <c r="F351" s="63" t="inlineStr">
        <is>
          <t>Medium</t>
        </is>
      </c>
      <c r="G351" s="63" t="inlineStr">
        <is>
          <t>Core</t>
        </is>
      </c>
      <c r="H351" s="63" t="inlineStr">
        <is>
          <t>LeetCode</t>
        </is>
      </c>
      <c r="I351" s="63" t="inlineStr">
        <is>
          <t>https://leetcode.com/problems/reverse-linked-list-ii/</t>
        </is>
      </c>
      <c r="J351" s="63" t="inlineStr">
        <is>
          <t>Not Started</t>
        </is>
      </c>
      <c r="K351" s="63" t="n"/>
      <c r="L351" s="63" t="n"/>
      <c r="M351" s="69" t="n"/>
      <c r="N351" s="69">
        <f>IF($M351="","",$M351+IF($K351="",Dashboard!$M$9,INDEX(Dashboard!$M$5:$M$9,$K351)))</f>
        <v/>
      </c>
      <c r="O351" s="63">
        <f>IF(OR($J351="Attempted",$J351="Revisit"),"DUE",IF($N351="","",IF($N351&lt;=TODAY(),"DUE","")))</f>
        <v/>
      </c>
      <c r="P351" s="63" t="inlineStr">
        <is>
          <t>v3 addition</t>
        </is>
      </c>
    </row>
    <row r="352" ht="15" customHeight="1" s="32">
      <c r="A352" s="63" t="n">
        <v>351</v>
      </c>
      <c r="B352" s="63" t="inlineStr">
        <is>
          <t>3. Linear DS - Core</t>
        </is>
      </c>
      <c r="C352" s="63" t="inlineStr">
        <is>
          <t>12. Linked List</t>
        </is>
      </c>
      <c r="D352" s="63" t="inlineStr">
        <is>
          <t>Fast &amp; slow</t>
        </is>
      </c>
      <c r="E352" s="63" t="inlineStr">
        <is>
          <t>Middle of the Linked List</t>
        </is>
      </c>
      <c r="F352" s="63" t="inlineStr">
        <is>
          <t>Easy</t>
        </is>
      </c>
      <c r="G352" s="63" t="inlineStr">
        <is>
          <t>Core</t>
        </is>
      </c>
      <c r="H352" s="63" t="inlineStr">
        <is>
          <t>LeetCode</t>
        </is>
      </c>
      <c r="I352" s="63" t="inlineStr">
        <is>
          <t>https://leetcode.com/problems/middle-of-the-linked-list/</t>
        </is>
      </c>
      <c r="J352" s="63" t="inlineStr">
        <is>
          <t>Not Started</t>
        </is>
      </c>
      <c r="K352" s="63" t="n"/>
      <c r="L352" s="63" t="n"/>
      <c r="M352" s="69" t="n"/>
      <c r="N352" s="69">
        <f>IF($M352="","",$M352+IF($K352="",Dashboard!$M$9,INDEX(Dashboard!$M$5:$M$9,$K352)))</f>
        <v/>
      </c>
      <c r="O352" s="63">
        <f>IF(OR($J352="Attempted",$J352="Revisit"),"DUE",IF($N352="","",IF($N352&lt;=TODAY(),"DUE","")))</f>
        <v/>
      </c>
      <c r="P352" s="63" t="inlineStr">
        <is>
          <t>v3 addition</t>
        </is>
      </c>
    </row>
    <row r="353" ht="15" customHeight="1" s="32">
      <c r="A353" s="63" t="n">
        <v>352</v>
      </c>
      <c r="B353" s="63" t="inlineStr">
        <is>
          <t>3. Linear DS - Core</t>
        </is>
      </c>
      <c r="C353" s="63" t="inlineStr">
        <is>
          <t>12. Linked List</t>
        </is>
      </c>
      <c r="D353" s="63" t="inlineStr">
        <is>
          <t>Fast &amp; slow</t>
        </is>
      </c>
      <c r="E353" s="63" t="inlineStr">
        <is>
          <t>Linked List Cycle</t>
        </is>
      </c>
      <c r="F353" s="63" t="inlineStr">
        <is>
          <t>Easy</t>
        </is>
      </c>
      <c r="G353" s="63" t="inlineStr">
        <is>
          <t>Core</t>
        </is>
      </c>
      <c r="H353" s="63" t="inlineStr">
        <is>
          <t>LeetCode</t>
        </is>
      </c>
      <c r="I353" s="63" t="inlineStr">
        <is>
          <t>https://leetcode.com/problems/linked-list-cycle/</t>
        </is>
      </c>
      <c r="J353" s="63" t="inlineStr">
        <is>
          <t>Not Started</t>
        </is>
      </c>
      <c r="K353" s="63" t="n"/>
      <c r="L353" s="63" t="n"/>
      <c r="M353" s="69" t="n"/>
      <c r="N353" s="69">
        <f>IF($M353="","",$M353+IF($K353="",Dashboard!$M$9,INDEX(Dashboard!$M$5:$M$9,$K353)))</f>
        <v/>
      </c>
      <c r="O353" s="63">
        <f>IF(OR($J353="Attempted",$J353="Revisit"),"DUE",IF($N353="","",IF($N353&lt;=TODAY(),"DUE","")))</f>
        <v/>
      </c>
      <c r="P353" s="63" t="n"/>
    </row>
    <row r="354" ht="15" customHeight="1" s="32">
      <c r="A354" s="63" t="n">
        <v>353</v>
      </c>
      <c r="B354" s="63" t="inlineStr">
        <is>
          <t>3. Linear DS - Core</t>
        </is>
      </c>
      <c r="C354" s="63" t="inlineStr">
        <is>
          <t>12. Linked List</t>
        </is>
      </c>
      <c r="D354" s="63" t="inlineStr">
        <is>
          <t>Deletion</t>
        </is>
      </c>
      <c r="E354" s="63" t="inlineStr">
        <is>
          <t>Remove Duplicates from Sorted List</t>
        </is>
      </c>
      <c r="F354" s="63" t="inlineStr">
        <is>
          <t>Easy</t>
        </is>
      </c>
      <c r="G354" s="63" t="inlineStr">
        <is>
          <t>Core</t>
        </is>
      </c>
      <c r="H354" s="63" t="inlineStr">
        <is>
          <t>LeetCode</t>
        </is>
      </c>
      <c r="I354" s="63" t="inlineStr">
        <is>
          <t>https://leetcode.com/problems/remove-duplicates-from-sorted-list/</t>
        </is>
      </c>
      <c r="J354" s="63" t="inlineStr">
        <is>
          <t>Not Started</t>
        </is>
      </c>
      <c r="K354" s="63" t="n"/>
      <c r="L354" s="63" t="n"/>
      <c r="M354" s="69" t="n"/>
      <c r="N354" s="69">
        <f>IF($M354="","",$M354+IF($K354="",Dashboard!$M$9,INDEX(Dashboard!$M$5:$M$9,$K354)))</f>
        <v/>
      </c>
      <c r="O354" s="63">
        <f>IF(OR($J354="Attempted",$J354="Revisit"),"DUE",IF($N354="","",IF($N354&lt;=TODAY(),"DUE","")))</f>
        <v/>
      </c>
      <c r="P354" s="63" t="n"/>
    </row>
    <row r="355" ht="15" customHeight="1" s="32">
      <c r="A355" s="63" t="n">
        <v>354</v>
      </c>
      <c r="B355" s="63" t="inlineStr">
        <is>
          <t>3. Linear DS - Core</t>
        </is>
      </c>
      <c r="C355" s="63" t="inlineStr">
        <is>
          <t>12. Linked List</t>
        </is>
      </c>
      <c r="D355" s="63" t="inlineStr">
        <is>
          <t>Deletion</t>
        </is>
      </c>
      <c r="E355" s="63" t="inlineStr">
        <is>
          <t>Remove Linked List Elements</t>
        </is>
      </c>
      <c r="F355" s="63" t="inlineStr">
        <is>
          <t>Easy</t>
        </is>
      </c>
      <c r="G355" s="63" t="inlineStr">
        <is>
          <t>Core</t>
        </is>
      </c>
      <c r="H355" s="63" t="inlineStr">
        <is>
          <t>LeetCode</t>
        </is>
      </c>
      <c r="I355" s="63" t="inlineStr">
        <is>
          <t>https://leetcode.com/problems/remove-linked-list-elements/</t>
        </is>
      </c>
      <c r="J355" s="63" t="inlineStr">
        <is>
          <t>Not Started</t>
        </is>
      </c>
      <c r="K355" s="63" t="n"/>
      <c r="L355" s="63" t="n"/>
      <c r="M355" s="69" t="n"/>
      <c r="N355" s="69">
        <f>IF($M355="","",$M355+IF($K355="",Dashboard!$M$9,INDEX(Dashboard!$M$5:$M$9,$K355)))</f>
        <v/>
      </c>
      <c r="O355" s="63">
        <f>IF(OR($J355="Attempted",$J355="Revisit"),"DUE",IF($N355="","",IF($N355&lt;=TODAY(),"DUE","")))</f>
        <v/>
      </c>
      <c r="P355" s="63" t="inlineStr">
        <is>
          <t>v3 addition</t>
        </is>
      </c>
    </row>
    <row r="356" ht="15" customHeight="1" s="32">
      <c r="A356" s="63" t="n">
        <v>355</v>
      </c>
      <c r="B356" s="63" t="inlineStr">
        <is>
          <t>3. Linear DS - Core</t>
        </is>
      </c>
      <c r="C356" s="63" t="inlineStr">
        <is>
          <t>12. Linked List</t>
        </is>
      </c>
      <c r="D356" s="63" t="inlineStr">
        <is>
          <t>Merging</t>
        </is>
      </c>
      <c r="E356" s="63" t="inlineStr">
        <is>
          <t>Merge Two Sorted Lists</t>
        </is>
      </c>
      <c r="F356" s="63" t="inlineStr">
        <is>
          <t>Easy</t>
        </is>
      </c>
      <c r="G356" s="63" t="inlineStr">
        <is>
          <t>Core</t>
        </is>
      </c>
      <c r="H356" s="63" t="inlineStr">
        <is>
          <t>LeetCode</t>
        </is>
      </c>
      <c r="I356" s="63" t="inlineStr">
        <is>
          <t>https://leetcode.com/problems/merge-two-sorted-lists/</t>
        </is>
      </c>
      <c r="J356" s="63" t="inlineStr">
        <is>
          <t>Not Started</t>
        </is>
      </c>
      <c r="K356" s="63" t="n"/>
      <c r="L356" s="63" t="n"/>
      <c r="M356" s="69" t="n"/>
      <c r="N356" s="69">
        <f>IF($M356="","",$M356+IF($K356="",Dashboard!$M$9,INDEX(Dashboard!$M$5:$M$9,$K356)))</f>
        <v/>
      </c>
      <c r="O356" s="63">
        <f>IF(OR($J356="Attempted",$J356="Revisit"),"DUE",IF($N356="","",IF($N356&lt;=TODAY(),"DUE","")))</f>
        <v/>
      </c>
      <c r="P356" s="63" t="inlineStr">
        <is>
          <t>v3 addition</t>
        </is>
      </c>
    </row>
    <row r="357" ht="15" customHeight="1" s="32">
      <c r="A357" s="63" t="n">
        <v>356</v>
      </c>
      <c r="B357" s="63" t="inlineStr">
        <is>
          <t>3. Linear DS - Core</t>
        </is>
      </c>
      <c r="C357" s="63" t="inlineStr">
        <is>
          <t>12. Linked List</t>
        </is>
      </c>
      <c r="D357" s="63" t="inlineStr">
        <is>
          <t>Merging</t>
        </is>
      </c>
      <c r="E357" s="63" t="inlineStr">
        <is>
          <t>Sort List</t>
        </is>
      </c>
      <c r="F357" s="63" t="inlineStr">
        <is>
          <t>Medium</t>
        </is>
      </c>
      <c r="G357" s="63" t="inlineStr">
        <is>
          <t>Core</t>
        </is>
      </c>
      <c r="H357" s="63" t="inlineStr">
        <is>
          <t>LeetCode</t>
        </is>
      </c>
      <c r="I357" s="63" t="inlineStr">
        <is>
          <t>https://leetcode.com/problems/sort-list/</t>
        </is>
      </c>
      <c r="J357" s="63" t="inlineStr">
        <is>
          <t>Not Started</t>
        </is>
      </c>
      <c r="K357" s="63" t="n"/>
      <c r="L357" s="63" t="n"/>
      <c r="M357" s="69" t="n"/>
      <c r="N357" s="69">
        <f>IF($M357="","",$M357+IF($K357="",Dashboard!$M$9,INDEX(Dashboard!$M$5:$M$9,$K357)))</f>
        <v/>
      </c>
      <c r="O357" s="63">
        <f>IF(OR($J357="Attempted",$J357="Revisit"),"DUE",IF($N357="","",IF($N357&lt;=TODAY(),"DUE","")))</f>
        <v/>
      </c>
      <c r="P357" s="63" t="inlineStr">
        <is>
          <t>v3 addition</t>
        </is>
      </c>
    </row>
    <row r="358" ht="15" customHeight="1" s="32">
      <c r="A358" s="63" t="n">
        <v>357</v>
      </c>
      <c r="B358" s="63" t="inlineStr">
        <is>
          <t>3. Linear DS - Core</t>
        </is>
      </c>
      <c r="C358" s="63" t="inlineStr">
        <is>
          <t>12. Linked List</t>
        </is>
      </c>
      <c r="D358" s="63" t="inlineStr">
        <is>
          <t>Rearrangement</t>
        </is>
      </c>
      <c r="E358" s="63" t="inlineStr">
        <is>
          <t>Odd Even Linked List</t>
        </is>
      </c>
      <c r="F358" s="63" t="inlineStr">
        <is>
          <t>Medium</t>
        </is>
      </c>
      <c r="G358" s="63" t="inlineStr">
        <is>
          <t>Core</t>
        </is>
      </c>
      <c r="H358" s="63" t="inlineStr">
        <is>
          <t>LeetCode</t>
        </is>
      </c>
      <c r="I358" s="63" t="inlineStr">
        <is>
          <t>https://leetcode.com/problems/odd-even-linked-list/</t>
        </is>
      </c>
      <c r="J358" s="63" t="inlineStr">
        <is>
          <t>Not Started</t>
        </is>
      </c>
      <c r="K358" s="63" t="n"/>
      <c r="L358" s="63" t="n"/>
      <c r="M358" s="69" t="n"/>
      <c r="N358" s="69">
        <f>IF($M358="","",$M358+IF($K358="",Dashboard!$M$9,INDEX(Dashboard!$M$5:$M$9,$K358)))</f>
        <v/>
      </c>
      <c r="O358" s="63">
        <f>IF(OR($J358="Attempted",$J358="Revisit"),"DUE",IF($N358="","",IF($N358&lt;=TODAY(),"DUE","")))</f>
        <v/>
      </c>
      <c r="P358" s="63" t="n"/>
    </row>
    <row r="359" ht="15" customHeight="1" s="32">
      <c r="A359" s="63" t="n">
        <v>358</v>
      </c>
      <c r="B359" s="63" t="inlineStr">
        <is>
          <t>3. Linear DS - Core</t>
        </is>
      </c>
      <c r="C359" s="63" t="inlineStr">
        <is>
          <t>12. Linked List</t>
        </is>
      </c>
      <c r="D359" s="63" t="inlineStr">
        <is>
          <t>Rearrangement</t>
        </is>
      </c>
      <c r="E359" s="63" t="inlineStr">
        <is>
          <t>Partition List</t>
        </is>
      </c>
      <c r="F359" s="63" t="inlineStr">
        <is>
          <t>Medium</t>
        </is>
      </c>
      <c r="G359" s="63" t="inlineStr">
        <is>
          <t>Core</t>
        </is>
      </c>
      <c r="H359" s="63" t="inlineStr">
        <is>
          <t>LeetCode</t>
        </is>
      </c>
      <c r="I359" s="63" t="inlineStr">
        <is>
          <t>https://leetcode.com/problems/partition-list/</t>
        </is>
      </c>
      <c r="J359" s="63" t="inlineStr">
        <is>
          <t>Not Started</t>
        </is>
      </c>
      <c r="K359" s="63" t="n"/>
      <c r="L359" s="63" t="n"/>
      <c r="M359" s="69" t="n"/>
      <c r="N359" s="69">
        <f>IF($M359="","",$M359+IF($K359="",Dashboard!$M$9,INDEX(Dashboard!$M$5:$M$9,$K359)))</f>
        <v/>
      </c>
      <c r="O359" s="63">
        <f>IF(OR($J359="Attempted",$J359="Revisit"),"DUE",IF($N359="","",IF($N359&lt;=TODAY(),"DUE","")))</f>
        <v/>
      </c>
      <c r="P359" s="63" t="n"/>
    </row>
    <row r="360" ht="15" customHeight="1" s="32">
      <c r="A360" s="63" t="n">
        <v>359</v>
      </c>
      <c r="B360" s="63" t="inlineStr">
        <is>
          <t>3. Linear DS - Core</t>
        </is>
      </c>
      <c r="C360" s="63" t="inlineStr">
        <is>
          <t>12. Linked List</t>
        </is>
      </c>
      <c r="D360" s="63" t="inlineStr">
        <is>
          <t>Arithmetic</t>
        </is>
      </c>
      <c r="E360" s="63" t="inlineStr">
        <is>
          <t>Add Two Numbers</t>
        </is>
      </c>
      <c r="F360" s="63" t="inlineStr">
        <is>
          <t>Medium</t>
        </is>
      </c>
      <c r="G360" s="63" t="inlineStr">
        <is>
          <t>Core</t>
        </is>
      </c>
      <c r="H360" s="63" t="inlineStr">
        <is>
          <t>LeetCode</t>
        </is>
      </c>
      <c r="I360" s="63" t="inlineStr">
        <is>
          <t>https://leetcode.com/problems/add-two-numbers/</t>
        </is>
      </c>
      <c r="J360" s="63" t="inlineStr">
        <is>
          <t>Not Started</t>
        </is>
      </c>
      <c r="K360" s="63" t="n"/>
      <c r="L360" s="63" t="n"/>
      <c r="M360" s="69" t="n"/>
      <c r="N360" s="69">
        <f>IF($M360="","",$M360+IF($K360="",Dashboard!$M$9,INDEX(Dashboard!$M$5:$M$9,$K360)))</f>
        <v/>
      </c>
      <c r="O360" s="63">
        <f>IF(OR($J360="Attempted",$J360="Revisit"),"DUE",IF($N360="","",IF($N360&lt;=TODAY(),"DUE","")))</f>
        <v/>
      </c>
      <c r="P360" s="63" t="n"/>
    </row>
    <row r="361" ht="15" customHeight="1" s="32">
      <c r="A361" s="63" t="n">
        <v>360</v>
      </c>
      <c r="B361" s="63" t="inlineStr">
        <is>
          <t>3. Linear DS - Core</t>
        </is>
      </c>
      <c r="C361" s="63" t="inlineStr">
        <is>
          <t>12. Linked List</t>
        </is>
      </c>
      <c r="D361" s="63" t="inlineStr">
        <is>
          <t>Arithmetic</t>
        </is>
      </c>
      <c r="E361" s="63" t="inlineStr">
        <is>
          <t>Add Two Numbers II</t>
        </is>
      </c>
      <c r="F361" s="63" t="inlineStr">
        <is>
          <t>Medium</t>
        </is>
      </c>
      <c r="G361" s="63" t="inlineStr">
        <is>
          <t>Core</t>
        </is>
      </c>
      <c r="H361" s="63" t="inlineStr">
        <is>
          <t>LeetCode</t>
        </is>
      </c>
      <c r="I361" s="63" t="inlineStr">
        <is>
          <t>https://leetcode.com/problems/add-two-numbers-ii/</t>
        </is>
      </c>
      <c r="J361" s="63" t="inlineStr">
        <is>
          <t>Not Started</t>
        </is>
      </c>
      <c r="K361" s="63" t="n"/>
      <c r="L361" s="63" t="n"/>
      <c r="M361" s="69" t="n"/>
      <c r="N361" s="69">
        <f>IF($M361="","",$M361+IF($K361="",Dashboard!$M$9,INDEX(Dashboard!$M$5:$M$9,$K361)))</f>
        <v/>
      </c>
      <c r="O361" s="63">
        <f>IF(OR($J361="Attempted",$J361="Revisit"),"DUE",IF($N361="","",IF($N361&lt;=TODAY(),"DUE","")))</f>
        <v/>
      </c>
      <c r="P361" s="63" t="n"/>
    </row>
    <row r="362" ht="15" customHeight="1" s="32">
      <c r="A362" s="63" t="n">
        <v>361</v>
      </c>
      <c r="B362" s="63" t="inlineStr">
        <is>
          <t>3. Linear DS - Core</t>
        </is>
      </c>
      <c r="C362" s="63" t="inlineStr">
        <is>
          <t>12. Linked List</t>
        </is>
      </c>
      <c r="D362" s="63" t="inlineStr">
        <is>
          <t>Pointers</t>
        </is>
      </c>
      <c r="E362" s="63" t="inlineStr">
        <is>
          <t>Intersection of Two Linked Lists</t>
        </is>
      </c>
      <c r="F362" s="63" t="inlineStr">
        <is>
          <t>Easy</t>
        </is>
      </c>
      <c r="G362" s="63" t="inlineStr">
        <is>
          <t>Core</t>
        </is>
      </c>
      <c r="H362" s="63" t="inlineStr">
        <is>
          <t>LeetCode</t>
        </is>
      </c>
      <c r="I362" s="63" t="inlineStr">
        <is>
          <t>https://leetcode.com/problems/intersection-of-two-linked-lists/</t>
        </is>
      </c>
      <c r="J362" s="63" t="inlineStr">
        <is>
          <t>Not Started</t>
        </is>
      </c>
      <c r="K362" s="63" t="n"/>
      <c r="L362" s="63" t="n"/>
      <c r="M362" s="69" t="n"/>
      <c r="N362" s="69">
        <f>IF($M362="","",$M362+IF($K362="",Dashboard!$M$9,INDEX(Dashboard!$M$5:$M$9,$K362)))</f>
        <v/>
      </c>
      <c r="O362" s="63">
        <f>IF(OR($J362="Attempted",$J362="Revisit"),"DUE",IF($N362="","",IF($N362&lt;=TODAY(),"DUE","")))</f>
        <v/>
      </c>
      <c r="P362" s="63" t="n"/>
    </row>
    <row r="363" ht="15" customHeight="1" s="32">
      <c r="A363" s="63" t="n">
        <v>362</v>
      </c>
      <c r="B363" s="63" t="inlineStr">
        <is>
          <t>3. Linear DS - Core</t>
        </is>
      </c>
      <c r="C363" s="63" t="inlineStr">
        <is>
          <t>12. Linked List</t>
        </is>
      </c>
      <c r="D363" s="63" t="inlineStr">
        <is>
          <t>Pointers</t>
        </is>
      </c>
      <c r="E363" s="63" t="inlineStr">
        <is>
          <t>Convert Binary Number in a Linked List to Integer</t>
        </is>
      </c>
      <c r="F363" s="63" t="inlineStr">
        <is>
          <t>Easy</t>
        </is>
      </c>
      <c r="G363" s="63" t="inlineStr">
        <is>
          <t>Core</t>
        </is>
      </c>
      <c r="H363" s="63" t="inlineStr">
        <is>
          <t>LeetCode</t>
        </is>
      </c>
      <c r="I363" s="63" t="inlineStr">
        <is>
          <t>https://leetcode.com/problems/convert-binary-number-in-a-linked-list-to-integer/</t>
        </is>
      </c>
      <c r="J363" s="63" t="inlineStr">
        <is>
          <t>Not Started</t>
        </is>
      </c>
      <c r="K363" s="63" t="n"/>
      <c r="L363" s="63" t="n"/>
      <c r="M363" s="69" t="n"/>
      <c r="N363" s="69">
        <f>IF($M363="","",$M363+IF($K363="",Dashboard!$M$9,INDEX(Dashboard!$M$5:$M$9,$K363)))</f>
        <v/>
      </c>
      <c r="O363" s="63">
        <f>IF(OR($J363="Attempted",$J363="Revisit"),"DUE",IF($N363="","",IF($N363&lt;=TODAY(),"DUE","")))</f>
        <v/>
      </c>
      <c r="P363" s="63" t="n"/>
    </row>
    <row r="364" ht="15" customHeight="1" s="32">
      <c r="A364" s="63" t="n">
        <v>363</v>
      </c>
      <c r="B364" s="63" t="inlineStr">
        <is>
          <t>3. Linear DS - Core</t>
        </is>
      </c>
      <c r="C364" s="63" t="inlineStr">
        <is>
          <t>12. Linked List</t>
        </is>
      </c>
      <c r="D364" s="63" t="inlineStr">
        <is>
          <t>Pointers</t>
        </is>
      </c>
      <c r="E364" s="63" t="inlineStr">
        <is>
          <t>Copy List with Random Pointer</t>
        </is>
      </c>
      <c r="F364" s="63" t="inlineStr">
        <is>
          <t>Medium</t>
        </is>
      </c>
      <c r="G364" s="63" t="inlineStr">
        <is>
          <t>Core</t>
        </is>
      </c>
      <c r="H364" s="63" t="inlineStr">
        <is>
          <t>LeetCode</t>
        </is>
      </c>
      <c r="I364" s="63" t="inlineStr">
        <is>
          <t>https://leetcode.com/problems/copy-list-with-random-pointer/</t>
        </is>
      </c>
      <c r="J364" s="63" t="inlineStr">
        <is>
          <t>Not Started</t>
        </is>
      </c>
      <c r="K364" s="63" t="n"/>
      <c r="L364" s="63" t="n"/>
      <c r="M364" s="69" t="n"/>
      <c r="N364" s="69">
        <f>IF($M364="","",$M364+IF($K364="",Dashboard!$M$9,INDEX(Dashboard!$M$5:$M$9,$K364)))</f>
        <v/>
      </c>
      <c r="O364" s="63">
        <f>IF(OR($J364="Attempted",$J364="Revisit"),"DUE",IF($N364="","",IF($N364&lt;=TODAY(),"DUE","")))</f>
        <v/>
      </c>
      <c r="P364" s="63" t="n"/>
    </row>
    <row r="365" ht="15" customHeight="1" s="32">
      <c r="A365" s="63" t="n">
        <v>364</v>
      </c>
      <c r="B365" s="63" t="inlineStr">
        <is>
          <t>3. Linear DS - Core</t>
        </is>
      </c>
      <c r="C365" s="63" t="inlineStr">
        <is>
          <t>12. Linked List</t>
        </is>
      </c>
      <c r="D365" s="63" t="inlineStr">
        <is>
          <t>Design</t>
        </is>
      </c>
      <c r="E365" s="63" t="inlineStr">
        <is>
          <t>Doubly Linked List Insertion</t>
        </is>
      </c>
      <c r="F365" s="63" t="inlineStr">
        <is>
          <t>Easy</t>
        </is>
      </c>
      <c r="G365" s="63" t="inlineStr">
        <is>
          <t>Core</t>
        </is>
      </c>
      <c r="H365" s="63" t="inlineStr">
        <is>
          <t>GeeksforGeeks</t>
        </is>
      </c>
      <c r="I365" s="63" t="inlineStr">
        <is>
          <t>https://www.geeksforgeeks.org/search/?q=Doubly+Linked+List+Insertion</t>
        </is>
      </c>
      <c r="J365" s="63" t="inlineStr">
        <is>
          <t>Not Started</t>
        </is>
      </c>
      <c r="K365" s="63" t="n"/>
      <c r="L365" s="63" t="n"/>
      <c r="M365" s="69" t="n"/>
      <c r="N365" s="69">
        <f>IF($M365="","",$M365+IF($K365="",Dashboard!$M$9,INDEX(Dashboard!$M$5:$M$9,$K365)))</f>
        <v/>
      </c>
      <c r="O365" s="63">
        <f>IF(OR($J365="Attempted",$J365="Revisit"),"DUE",IF($N365="","",IF($N365&lt;=TODAY(),"DUE","")))</f>
        <v/>
      </c>
      <c r="P365" s="63" t="n"/>
    </row>
    <row r="366" ht="15" customHeight="1" s="32">
      <c r="A366" s="63" t="n">
        <v>365</v>
      </c>
      <c r="B366" s="63" t="inlineStr">
        <is>
          <t>3. Linear DS - Core</t>
        </is>
      </c>
      <c r="C366" s="63" t="inlineStr">
        <is>
          <t>12. Linked List</t>
        </is>
      </c>
      <c r="D366" s="63" t="inlineStr">
        <is>
          <t>Design</t>
        </is>
      </c>
      <c r="E366" s="63" t="inlineStr">
        <is>
          <t>Design Linked List</t>
        </is>
      </c>
      <c r="F366" s="63" t="inlineStr">
        <is>
          <t>Medium</t>
        </is>
      </c>
      <c r="G366" s="63" t="inlineStr">
        <is>
          <t>Core</t>
        </is>
      </c>
      <c r="H366" s="63" t="inlineStr">
        <is>
          <t>LeetCode</t>
        </is>
      </c>
      <c r="I366" s="63" t="inlineStr">
        <is>
          <t>https://leetcode.com/problems/design-linked-list/</t>
        </is>
      </c>
      <c r="J366" s="63" t="inlineStr">
        <is>
          <t>Not Started</t>
        </is>
      </c>
      <c r="K366" s="63" t="n"/>
      <c r="L366" s="63" t="n"/>
      <c r="M366" s="69" t="n"/>
      <c r="N366" s="69">
        <f>IF($M366="","",$M366+IF($K366="",Dashboard!$M$9,INDEX(Dashboard!$M$5:$M$9,$K366)))</f>
        <v/>
      </c>
      <c r="O366" s="63">
        <f>IF(OR($J366="Attempted",$J366="Revisit"),"DUE",IF($N366="","",IF($N366&lt;=TODAY(),"DUE","")))</f>
        <v/>
      </c>
      <c r="P366" s="63" t="n"/>
    </row>
    <row r="367" ht="15" customHeight="1" s="32">
      <c r="A367" s="63" t="n">
        <v>366</v>
      </c>
      <c r="B367" s="63" t="inlineStr">
        <is>
          <t>3. Linear DS - Core</t>
        </is>
      </c>
      <c r="C367" s="63" t="inlineStr">
        <is>
          <t>13. Stack &amp; Queue</t>
        </is>
      </c>
      <c r="D367" s="63" t="inlineStr">
        <is>
          <t>Parentheses</t>
        </is>
      </c>
      <c r="E367" s="63" t="inlineStr">
        <is>
          <t>Valid Parentheses</t>
        </is>
      </c>
      <c r="F367" s="63" t="inlineStr">
        <is>
          <t>Easy</t>
        </is>
      </c>
      <c r="G367" s="63" t="inlineStr">
        <is>
          <t>Core</t>
        </is>
      </c>
      <c r="H367" s="63" t="inlineStr">
        <is>
          <t>LeetCode</t>
        </is>
      </c>
      <c r="I367" s="63" t="inlineStr">
        <is>
          <t>https://leetcode.com/problems/valid-parentheses/</t>
        </is>
      </c>
      <c r="J367" s="63" t="inlineStr">
        <is>
          <t>Not Started</t>
        </is>
      </c>
      <c r="K367" s="63" t="n"/>
      <c r="L367" s="63" t="n"/>
      <c r="M367" s="69" t="n"/>
      <c r="N367" s="69">
        <f>IF($M367="","",$M367+IF($K367="",Dashboard!$M$9,INDEX(Dashboard!$M$5:$M$9,$K367)))</f>
        <v/>
      </c>
      <c r="O367" s="63">
        <f>IF(OR($J367="Attempted",$J367="Revisit"),"DUE",IF($N367="","",IF($N367&lt;=TODAY(),"DUE","")))</f>
        <v/>
      </c>
      <c r="P367" s="63" t="n"/>
    </row>
    <row r="368" ht="15" customHeight="1" s="32">
      <c r="A368" s="63" t="n">
        <v>367</v>
      </c>
      <c r="B368" s="63" t="inlineStr">
        <is>
          <t>3. Linear DS - Core</t>
        </is>
      </c>
      <c r="C368" s="63" t="inlineStr">
        <is>
          <t>13. Stack &amp; Queue</t>
        </is>
      </c>
      <c r="D368" s="63" t="inlineStr">
        <is>
          <t>Parentheses</t>
        </is>
      </c>
      <c r="E368" s="63" t="inlineStr">
        <is>
          <t>Maximum Nesting Depth of the Parentheses</t>
        </is>
      </c>
      <c r="F368" s="63" t="inlineStr">
        <is>
          <t>Easy</t>
        </is>
      </c>
      <c r="G368" s="63" t="inlineStr">
        <is>
          <t>Core</t>
        </is>
      </c>
      <c r="H368" s="63" t="inlineStr">
        <is>
          <t>LeetCode</t>
        </is>
      </c>
      <c r="I368" s="63" t="inlineStr">
        <is>
          <t>https://leetcode.com/problems/maximum-nesting-depth-of-the-parentheses/</t>
        </is>
      </c>
      <c r="J368" s="63" t="inlineStr">
        <is>
          <t>Not Started</t>
        </is>
      </c>
      <c r="K368" s="63" t="n"/>
      <c r="L368" s="63" t="n"/>
      <c r="M368" s="69" t="n"/>
      <c r="N368" s="69">
        <f>IF($M368="","",$M368+IF($K368="",Dashboard!$M$9,INDEX(Dashboard!$M$5:$M$9,$K368)))</f>
        <v/>
      </c>
      <c r="O368" s="63">
        <f>IF(OR($J368="Attempted",$J368="Revisit"),"DUE",IF($N368="","",IF($N368&lt;=TODAY(),"DUE","")))</f>
        <v/>
      </c>
      <c r="P368" s="63" t="n"/>
    </row>
    <row r="369" ht="15" customHeight="1" s="32">
      <c r="A369" s="63" t="n">
        <v>368</v>
      </c>
      <c r="B369" s="63" t="inlineStr">
        <is>
          <t>3. Linear DS - Core</t>
        </is>
      </c>
      <c r="C369" s="63" t="inlineStr">
        <is>
          <t>13. Stack &amp; Queue</t>
        </is>
      </c>
      <c r="D369" s="63" t="inlineStr">
        <is>
          <t>Parentheses</t>
        </is>
      </c>
      <c r="E369" s="63" t="inlineStr">
        <is>
          <t>Minimum Add to Make Parentheses Valid</t>
        </is>
      </c>
      <c r="F369" s="63" t="inlineStr">
        <is>
          <t>Medium</t>
        </is>
      </c>
      <c r="G369" s="63" t="inlineStr">
        <is>
          <t>Core</t>
        </is>
      </c>
      <c r="H369" s="63" t="inlineStr">
        <is>
          <t>LeetCode</t>
        </is>
      </c>
      <c r="I369" s="63" t="inlineStr">
        <is>
          <t>https://leetcode.com/problems/minimum-add-to-make-parentheses-valid/</t>
        </is>
      </c>
      <c r="J369" s="63" t="inlineStr">
        <is>
          <t>Not Started</t>
        </is>
      </c>
      <c r="K369" s="63" t="n"/>
      <c r="L369" s="63" t="n"/>
      <c r="M369" s="69" t="n"/>
      <c r="N369" s="69">
        <f>IF($M369="","",$M369+IF($K369="",Dashboard!$M$9,INDEX(Dashboard!$M$5:$M$9,$K369)))</f>
        <v/>
      </c>
      <c r="O369" s="63">
        <f>IF(OR($J369="Attempted",$J369="Revisit"),"DUE",IF($N369="","",IF($N369&lt;=TODAY(),"DUE","")))</f>
        <v/>
      </c>
      <c r="P369" s="63" t="n"/>
    </row>
    <row r="370" ht="15" customHeight="1" s="32">
      <c r="A370" s="63" t="n">
        <v>369</v>
      </c>
      <c r="B370" s="63" t="inlineStr">
        <is>
          <t>3. Linear DS - Core</t>
        </is>
      </c>
      <c r="C370" s="63" t="inlineStr">
        <is>
          <t>13. Stack &amp; Queue</t>
        </is>
      </c>
      <c r="D370" s="63" t="inlineStr">
        <is>
          <t>Parentheses</t>
        </is>
      </c>
      <c r="E370" s="63" t="inlineStr">
        <is>
          <t>Score of Parentheses</t>
        </is>
      </c>
      <c r="F370" s="63" t="inlineStr">
        <is>
          <t>Medium</t>
        </is>
      </c>
      <c r="G370" s="63" t="inlineStr">
        <is>
          <t>Core</t>
        </is>
      </c>
      <c r="H370" s="63" t="inlineStr">
        <is>
          <t>LeetCode</t>
        </is>
      </c>
      <c r="I370" s="63" t="inlineStr">
        <is>
          <t>https://leetcode.com/problems/score-of-parentheses/</t>
        </is>
      </c>
      <c r="J370" s="63" t="inlineStr">
        <is>
          <t>Not Started</t>
        </is>
      </c>
      <c r="K370" s="63" t="n"/>
      <c r="L370" s="63" t="n"/>
      <c r="M370" s="69" t="n"/>
      <c r="N370" s="69">
        <f>IF($M370="","",$M370+IF($K370="",Dashboard!$M$9,INDEX(Dashboard!$M$5:$M$9,$K370)))</f>
        <v/>
      </c>
      <c r="O370" s="63">
        <f>IF(OR($J370="Attempted",$J370="Revisit"),"DUE",IF($N370="","",IF($N370&lt;=TODAY(),"DUE","")))</f>
        <v/>
      </c>
      <c r="P370" s="63" t="n"/>
    </row>
    <row r="371" ht="15" customHeight="1" s="32">
      <c r="A371" s="63" t="n">
        <v>370</v>
      </c>
      <c r="B371" s="63" t="inlineStr">
        <is>
          <t>3. Linear DS - Core</t>
        </is>
      </c>
      <c r="C371" s="63" t="inlineStr">
        <is>
          <t>13. Stack &amp; Queue</t>
        </is>
      </c>
      <c r="D371" s="63" t="inlineStr">
        <is>
          <t>Design</t>
        </is>
      </c>
      <c r="E371" s="63" t="inlineStr">
        <is>
          <t>Implement Stack using Queues</t>
        </is>
      </c>
      <c r="F371" s="63" t="inlineStr">
        <is>
          <t>Easy</t>
        </is>
      </c>
      <c r="G371" s="63" t="inlineStr">
        <is>
          <t>Core</t>
        </is>
      </c>
      <c r="H371" s="63" t="inlineStr">
        <is>
          <t>LeetCode</t>
        </is>
      </c>
      <c r="I371" s="63" t="inlineStr">
        <is>
          <t>https://leetcode.com/problems/implement-stack-using-queues/</t>
        </is>
      </c>
      <c r="J371" s="63" t="inlineStr">
        <is>
          <t>Not Started</t>
        </is>
      </c>
      <c r="K371" s="63" t="n"/>
      <c r="L371" s="63" t="n"/>
      <c r="M371" s="69" t="n"/>
      <c r="N371" s="69">
        <f>IF($M371="","",$M371+IF($K371="",Dashboard!$M$9,INDEX(Dashboard!$M$5:$M$9,$K371)))</f>
        <v/>
      </c>
      <c r="O371" s="63">
        <f>IF(OR($J371="Attempted",$J371="Revisit"),"DUE",IF($N371="","",IF($N371&lt;=TODAY(),"DUE","")))</f>
        <v/>
      </c>
      <c r="P371" s="63" t="n"/>
    </row>
    <row r="372" ht="15" customHeight="1" s="32">
      <c r="A372" s="63" t="n">
        <v>371</v>
      </c>
      <c r="B372" s="63" t="inlineStr">
        <is>
          <t>3. Linear DS - Core</t>
        </is>
      </c>
      <c r="C372" s="63" t="inlineStr">
        <is>
          <t>13. Stack &amp; Queue</t>
        </is>
      </c>
      <c r="D372" s="63" t="inlineStr">
        <is>
          <t>Design</t>
        </is>
      </c>
      <c r="E372" s="63" t="inlineStr">
        <is>
          <t>Implement Queue using Stacks</t>
        </is>
      </c>
      <c r="F372" s="63" t="inlineStr">
        <is>
          <t>Easy</t>
        </is>
      </c>
      <c r="G372" s="63" t="inlineStr">
        <is>
          <t>Core</t>
        </is>
      </c>
      <c r="H372" s="63" t="inlineStr">
        <is>
          <t>LeetCode</t>
        </is>
      </c>
      <c r="I372" s="63" t="inlineStr">
        <is>
          <t>https://leetcode.com/problems/implement-queue-using-stacks/</t>
        </is>
      </c>
      <c r="J372" s="63" t="inlineStr">
        <is>
          <t>Not Started</t>
        </is>
      </c>
      <c r="K372" s="63" t="n"/>
      <c r="L372" s="63" t="n"/>
      <c r="M372" s="69" t="n"/>
      <c r="N372" s="69">
        <f>IF($M372="","",$M372+IF($K372="",Dashboard!$M$9,INDEX(Dashboard!$M$5:$M$9,$K372)))</f>
        <v/>
      </c>
      <c r="O372" s="63">
        <f>IF(OR($J372="Attempted",$J372="Revisit"),"DUE",IF($N372="","",IF($N372&lt;=TODAY(),"DUE","")))</f>
        <v/>
      </c>
      <c r="P372" s="63" t="n"/>
    </row>
    <row r="373" ht="15" customHeight="1" s="32">
      <c r="A373" s="63" t="n">
        <v>372</v>
      </c>
      <c r="B373" s="63" t="inlineStr">
        <is>
          <t>3. Linear DS - Core</t>
        </is>
      </c>
      <c r="C373" s="63" t="inlineStr">
        <is>
          <t>13. Stack &amp; Queue</t>
        </is>
      </c>
      <c r="D373" s="63" t="inlineStr">
        <is>
          <t>Design</t>
        </is>
      </c>
      <c r="E373" s="63" t="inlineStr">
        <is>
          <t>Min Stack</t>
        </is>
      </c>
      <c r="F373" s="63" t="inlineStr">
        <is>
          <t>Medium</t>
        </is>
      </c>
      <c r="G373" s="63" t="inlineStr">
        <is>
          <t>Core</t>
        </is>
      </c>
      <c r="H373" s="63" t="inlineStr">
        <is>
          <t>LeetCode</t>
        </is>
      </c>
      <c r="I373" s="63" t="inlineStr">
        <is>
          <t>https://leetcode.com/problems/min-stack/</t>
        </is>
      </c>
      <c r="J373" s="63" t="inlineStr">
        <is>
          <t>Not Started</t>
        </is>
      </c>
      <c r="K373" s="63" t="n"/>
      <c r="L373" s="63" t="n"/>
      <c r="M373" s="69" t="n"/>
      <c r="N373" s="69">
        <f>IF($M373="","",$M373+IF($K373="",Dashboard!$M$9,INDEX(Dashboard!$M$5:$M$9,$K373)))</f>
        <v/>
      </c>
      <c r="O373" s="63">
        <f>IF(OR($J373="Attempted",$J373="Revisit"),"DUE",IF($N373="","",IF($N373&lt;=TODAY(),"DUE","")))</f>
        <v/>
      </c>
      <c r="P373" s="63" t="inlineStr">
        <is>
          <t>v3 addition</t>
        </is>
      </c>
    </row>
    <row r="374" ht="15" customHeight="1" s="32">
      <c r="A374" s="63" t="n">
        <v>373</v>
      </c>
      <c r="B374" s="63" t="inlineStr">
        <is>
          <t>3. Linear DS - Core</t>
        </is>
      </c>
      <c r="C374" s="63" t="inlineStr">
        <is>
          <t>13. Stack &amp; Queue</t>
        </is>
      </c>
      <c r="D374" s="63" t="inlineStr">
        <is>
          <t>Simulation</t>
        </is>
      </c>
      <c r="E374" s="63" t="inlineStr">
        <is>
          <t>Number of Students Unable to Eat Lunch</t>
        </is>
      </c>
      <c r="F374" s="63" t="inlineStr">
        <is>
          <t>Easy</t>
        </is>
      </c>
      <c r="G374" s="63" t="inlineStr">
        <is>
          <t>Core</t>
        </is>
      </c>
      <c r="H374" s="63" t="inlineStr">
        <is>
          <t>LeetCode</t>
        </is>
      </c>
      <c r="I374" s="63" t="inlineStr">
        <is>
          <t>https://leetcode.com/problems/number-of-students-unable-to-eat-lunch/</t>
        </is>
      </c>
      <c r="J374" s="63" t="inlineStr">
        <is>
          <t>Not Started</t>
        </is>
      </c>
      <c r="K374" s="63" t="n"/>
      <c r="L374" s="63" t="n"/>
      <c r="M374" s="69" t="n"/>
      <c r="N374" s="69">
        <f>IF($M374="","",$M374+IF($K374="",Dashboard!$M$9,INDEX(Dashboard!$M$5:$M$9,$K374)))</f>
        <v/>
      </c>
      <c r="O374" s="63">
        <f>IF(OR($J374="Attempted",$J374="Revisit"),"DUE",IF($N374="","",IF($N374&lt;=TODAY(),"DUE","")))</f>
        <v/>
      </c>
      <c r="P374" s="63" t="n"/>
    </row>
    <row r="375" ht="15" customHeight="1" s="32">
      <c r="A375" s="63" t="n">
        <v>374</v>
      </c>
      <c r="B375" s="63" t="inlineStr">
        <is>
          <t>3. Linear DS - Core</t>
        </is>
      </c>
      <c r="C375" s="63" t="inlineStr">
        <is>
          <t>13. Stack &amp; Queue</t>
        </is>
      </c>
      <c r="D375" s="63" t="inlineStr">
        <is>
          <t>Simulation</t>
        </is>
      </c>
      <c r="E375" s="63" t="inlineStr">
        <is>
          <t>Remove All Adjacent Duplicates In String</t>
        </is>
      </c>
      <c r="F375" s="63" t="inlineStr">
        <is>
          <t>Easy</t>
        </is>
      </c>
      <c r="G375" s="63" t="inlineStr">
        <is>
          <t>Core</t>
        </is>
      </c>
      <c r="H375" s="63" t="inlineStr">
        <is>
          <t>LeetCode</t>
        </is>
      </c>
      <c r="I375" s="63" t="inlineStr">
        <is>
          <t>https://leetcode.com/problems/remove-all-adjacent-duplicates-in-string/</t>
        </is>
      </c>
      <c r="J375" s="63" t="inlineStr">
        <is>
          <t>Not Started</t>
        </is>
      </c>
      <c r="K375" s="63" t="n"/>
      <c r="L375" s="63" t="n"/>
      <c r="M375" s="69" t="n"/>
      <c r="N375" s="69">
        <f>IF($M375="","",$M375+IF($K375="",Dashboard!$M$9,INDEX(Dashboard!$M$5:$M$9,$K375)))</f>
        <v/>
      </c>
      <c r="O375" s="63">
        <f>IF(OR($J375="Attempted",$J375="Revisit"),"DUE",IF($N375="","",IF($N375&lt;=TODAY(),"DUE","")))</f>
        <v/>
      </c>
      <c r="P375" s="63" t="n"/>
    </row>
    <row r="376" ht="15" customHeight="1" s="32">
      <c r="A376" s="63" t="n">
        <v>375</v>
      </c>
      <c r="B376" s="63" t="inlineStr">
        <is>
          <t>3. Linear DS - Core</t>
        </is>
      </c>
      <c r="C376" s="63" t="inlineStr">
        <is>
          <t>13. Stack &amp; Queue</t>
        </is>
      </c>
      <c r="D376" s="63" t="inlineStr">
        <is>
          <t>Simulation</t>
        </is>
      </c>
      <c r="E376" s="63" t="inlineStr">
        <is>
          <t>Decode String</t>
        </is>
      </c>
      <c r="F376" s="63" t="inlineStr">
        <is>
          <t>Medium</t>
        </is>
      </c>
      <c r="G376" s="63" t="inlineStr">
        <is>
          <t>Core</t>
        </is>
      </c>
      <c r="H376" s="63" t="inlineStr">
        <is>
          <t>LeetCode</t>
        </is>
      </c>
      <c r="I376" s="63" t="inlineStr">
        <is>
          <t>https://leetcode.com/problems/decode-string/</t>
        </is>
      </c>
      <c r="J376" s="63" t="inlineStr">
        <is>
          <t>Not Started</t>
        </is>
      </c>
      <c r="K376" s="63" t="n"/>
      <c r="L376" s="63" t="n"/>
      <c r="M376" s="69" t="n"/>
      <c r="N376" s="69">
        <f>IF($M376="","",$M376+IF($K376="",Dashboard!$M$9,INDEX(Dashboard!$M$5:$M$9,$K376)))</f>
        <v/>
      </c>
      <c r="O376" s="63">
        <f>IF(OR($J376="Attempted",$J376="Revisit"),"DUE",IF($N376="","",IF($N376&lt;=TODAY(),"DUE","")))</f>
        <v/>
      </c>
      <c r="P376" s="63" t="n"/>
    </row>
    <row r="377" ht="15" customHeight="1" s="32">
      <c r="A377" s="63" t="n">
        <v>376</v>
      </c>
      <c r="B377" s="63" t="inlineStr">
        <is>
          <t>3. Linear DS - Core</t>
        </is>
      </c>
      <c r="C377" s="63" t="inlineStr">
        <is>
          <t>13. Stack &amp; Queue</t>
        </is>
      </c>
      <c r="D377" s="63" t="inlineStr">
        <is>
          <t>Expression</t>
        </is>
      </c>
      <c r="E377" s="63" t="inlineStr">
        <is>
          <t>Evaluate Reverse Polish Notation</t>
        </is>
      </c>
      <c r="F377" s="63" t="inlineStr">
        <is>
          <t>Medium</t>
        </is>
      </c>
      <c r="G377" s="63" t="inlineStr">
        <is>
          <t>Core</t>
        </is>
      </c>
      <c r="H377" s="63" t="inlineStr">
        <is>
          <t>LeetCode</t>
        </is>
      </c>
      <c r="I377" s="63" t="inlineStr">
        <is>
          <t>https://leetcode.com/problems/evaluate-reverse-polish-notation/</t>
        </is>
      </c>
      <c r="J377" s="63" t="inlineStr">
        <is>
          <t>Not Started</t>
        </is>
      </c>
      <c r="K377" s="63" t="n"/>
      <c r="L377" s="63" t="n"/>
      <c r="M377" s="69" t="n"/>
      <c r="N377" s="69">
        <f>IF($M377="","",$M377+IF($K377="",Dashboard!$M$9,INDEX(Dashboard!$M$5:$M$9,$K377)))</f>
        <v/>
      </c>
      <c r="O377" s="63">
        <f>IF(OR($J377="Attempted",$J377="Revisit"),"DUE",IF($N377="","",IF($N377&lt;=TODAY(),"DUE","")))</f>
        <v/>
      </c>
      <c r="P377" s="63" t="inlineStr">
        <is>
          <t>v3 addition</t>
        </is>
      </c>
    </row>
    <row r="378" ht="15" customHeight="1" s="32">
      <c r="A378" s="63" t="n">
        <v>377</v>
      </c>
      <c r="B378" s="63" t="inlineStr">
        <is>
          <t>3. Linear DS - Core</t>
        </is>
      </c>
      <c r="C378" s="63" t="inlineStr">
        <is>
          <t>13. Stack &amp; Queue</t>
        </is>
      </c>
      <c r="D378" s="63" t="inlineStr">
        <is>
          <t>Expression</t>
        </is>
      </c>
      <c r="E378" s="63" t="inlineStr">
        <is>
          <t>Basic Calculator II</t>
        </is>
      </c>
      <c r="F378" s="63" t="inlineStr">
        <is>
          <t>Medium</t>
        </is>
      </c>
      <c r="G378" s="63" t="inlineStr">
        <is>
          <t>Core</t>
        </is>
      </c>
      <c r="H378" s="63" t="inlineStr">
        <is>
          <t>LeetCode</t>
        </is>
      </c>
      <c r="I378" s="63" t="inlineStr">
        <is>
          <t>https://leetcode.com/problems/basic-calculator-ii/</t>
        </is>
      </c>
      <c r="J378" s="63" t="inlineStr">
        <is>
          <t>Not Started</t>
        </is>
      </c>
      <c r="K378" s="63" t="n"/>
      <c r="L378" s="63" t="n"/>
      <c r="M378" s="69" t="n"/>
      <c r="N378" s="69">
        <f>IF($M378="","",$M378+IF($K378="",Dashboard!$M$9,INDEX(Dashboard!$M$5:$M$9,$K378)))</f>
        <v/>
      </c>
      <c r="O378" s="63">
        <f>IF(OR($J378="Attempted",$J378="Revisit"),"DUE",IF($N378="","",IF($N378&lt;=TODAY(),"DUE","")))</f>
        <v/>
      </c>
      <c r="P378" s="63" t="inlineStr">
        <is>
          <t>v3 addition</t>
        </is>
      </c>
    </row>
    <row r="379" ht="15" customHeight="1" s="32">
      <c r="A379" s="63" t="n">
        <v>378</v>
      </c>
      <c r="B379" s="63" t="inlineStr">
        <is>
          <t>3. Linear DS - Core</t>
        </is>
      </c>
      <c r="C379" s="63" t="inlineStr">
        <is>
          <t>13. Stack &amp; Queue</t>
        </is>
      </c>
      <c r="D379" s="63" t="inlineStr">
        <is>
          <t>Monotonic stack</t>
        </is>
      </c>
      <c r="E379" s="63" t="inlineStr">
        <is>
          <t>Next Greater Element I</t>
        </is>
      </c>
      <c r="F379" s="63" t="inlineStr">
        <is>
          <t>Easy</t>
        </is>
      </c>
      <c r="G379" s="63" t="inlineStr">
        <is>
          <t>Core</t>
        </is>
      </c>
      <c r="H379" s="63" t="inlineStr">
        <is>
          <t>LeetCode</t>
        </is>
      </c>
      <c r="I379" s="63" t="inlineStr">
        <is>
          <t>https://leetcode.com/problems/next-greater-element-i/</t>
        </is>
      </c>
      <c r="J379" s="63" t="inlineStr">
        <is>
          <t>Not Started</t>
        </is>
      </c>
      <c r="K379" s="63" t="n"/>
      <c r="L379" s="63" t="n"/>
      <c r="M379" s="69" t="n"/>
      <c r="N379" s="69">
        <f>IF($M379="","",$M379+IF($K379="",Dashboard!$M$9,INDEX(Dashboard!$M$5:$M$9,$K379)))</f>
        <v/>
      </c>
      <c r="O379" s="63">
        <f>IF(OR($J379="Attempted",$J379="Revisit"),"DUE",IF($N379="","",IF($N379&lt;=TODAY(),"DUE","")))</f>
        <v/>
      </c>
      <c r="P379" s="63" t="inlineStr">
        <is>
          <t>v3 addition</t>
        </is>
      </c>
    </row>
    <row r="380" ht="15" customHeight="1" s="32">
      <c r="A380" s="63" t="n">
        <v>379</v>
      </c>
      <c r="B380" s="63" t="inlineStr">
        <is>
          <t>3. Linear DS - Core</t>
        </is>
      </c>
      <c r="C380" s="63" t="inlineStr">
        <is>
          <t>13. Stack &amp; Queue</t>
        </is>
      </c>
      <c r="D380" s="63" t="inlineStr">
        <is>
          <t>Monotonic stack</t>
        </is>
      </c>
      <c r="E380" s="63" t="inlineStr">
        <is>
          <t>Next Greater Element II</t>
        </is>
      </c>
      <c r="F380" s="63" t="inlineStr">
        <is>
          <t>Medium</t>
        </is>
      </c>
      <c r="G380" s="63" t="inlineStr">
        <is>
          <t>Core</t>
        </is>
      </c>
      <c r="H380" s="63" t="inlineStr">
        <is>
          <t>LeetCode</t>
        </is>
      </c>
      <c r="I380" s="63" t="inlineStr">
        <is>
          <t>https://leetcode.com/problems/next-greater-element-ii/</t>
        </is>
      </c>
      <c r="J380" s="63" t="inlineStr">
        <is>
          <t>Not Started</t>
        </is>
      </c>
      <c r="K380" s="63" t="n"/>
      <c r="L380" s="63" t="n"/>
      <c r="M380" s="69" t="n"/>
      <c r="N380" s="69">
        <f>IF($M380="","",$M380+IF($K380="",Dashboard!$M$9,INDEX(Dashboard!$M$5:$M$9,$K380)))</f>
        <v/>
      </c>
      <c r="O380" s="63">
        <f>IF(OR($J380="Attempted",$J380="Revisit"),"DUE",IF($N380="","",IF($N380&lt;=TODAY(),"DUE","")))</f>
        <v/>
      </c>
      <c r="P380" s="63" t="inlineStr">
        <is>
          <t>v3 addition</t>
        </is>
      </c>
    </row>
    <row r="381" ht="15" customHeight="1" s="32">
      <c r="A381" s="63" t="n">
        <v>380</v>
      </c>
      <c r="B381" s="63" t="inlineStr">
        <is>
          <t>3. Linear DS - Core</t>
        </is>
      </c>
      <c r="C381" s="63" t="inlineStr">
        <is>
          <t>13. Stack &amp; Queue</t>
        </is>
      </c>
      <c r="D381" s="63" t="inlineStr">
        <is>
          <t>Monotonic stack</t>
        </is>
      </c>
      <c r="E381" s="63" t="inlineStr">
        <is>
          <t>Daily Temperatures</t>
        </is>
      </c>
      <c r="F381" s="63" t="inlineStr">
        <is>
          <t>Medium</t>
        </is>
      </c>
      <c r="G381" s="63" t="inlineStr">
        <is>
          <t>Core</t>
        </is>
      </c>
      <c r="H381" s="63" t="inlineStr">
        <is>
          <t>LeetCode</t>
        </is>
      </c>
      <c r="I381" s="63" t="inlineStr">
        <is>
          <t>https://leetcode.com/problems/daily-temperatures/</t>
        </is>
      </c>
      <c r="J381" s="63" t="inlineStr">
        <is>
          <t>Not Started</t>
        </is>
      </c>
      <c r="K381" s="63" t="n"/>
      <c r="L381" s="63" t="n"/>
      <c r="M381" s="69" t="n"/>
      <c r="N381" s="69">
        <f>IF($M381="","",$M381+IF($K381="",Dashboard!$M$9,INDEX(Dashboard!$M$5:$M$9,$K381)))</f>
        <v/>
      </c>
      <c r="O381" s="63">
        <f>IF(OR($J381="Attempted",$J381="Revisit"),"DUE",IF($N381="","",IF($N381&lt;=TODAY(),"DUE","")))</f>
        <v/>
      </c>
      <c r="P381" s="63" t="n"/>
    </row>
    <row r="382" ht="15" customHeight="1" s="32">
      <c r="A382" s="63" t="n">
        <v>381</v>
      </c>
      <c r="B382" s="63" t="inlineStr">
        <is>
          <t>3. Linear DS - Core</t>
        </is>
      </c>
      <c r="C382" s="63" t="inlineStr">
        <is>
          <t>13. Stack &amp; Queue</t>
        </is>
      </c>
      <c r="D382" s="63" t="inlineStr">
        <is>
          <t>Monotonic deque</t>
        </is>
      </c>
      <c r="E382" s="63" t="inlineStr">
        <is>
          <t>Sliding Window Maximum</t>
        </is>
      </c>
      <c r="F382" s="63" t="inlineStr">
        <is>
          <t>Hard</t>
        </is>
      </c>
      <c r="G382" s="63" t="inlineStr">
        <is>
          <t>Core</t>
        </is>
      </c>
      <c r="H382" s="63" t="inlineStr">
        <is>
          <t>LeetCode</t>
        </is>
      </c>
      <c r="I382" s="63" t="inlineStr">
        <is>
          <t>https://leetcode.com/problems/sliding-window-maximum/</t>
        </is>
      </c>
      <c r="J382" s="63" t="inlineStr">
        <is>
          <t>Not Started</t>
        </is>
      </c>
      <c r="K382" s="63" t="n"/>
      <c r="L382" s="63" t="n"/>
      <c r="M382" s="69" t="n"/>
      <c r="N382" s="69">
        <f>IF($M382="","",$M382+IF($K382="",Dashboard!$M$9,INDEX(Dashboard!$M$5:$M$9,$K382)))</f>
        <v/>
      </c>
      <c r="O382" s="63">
        <f>IF(OR($J382="Attempted",$J382="Revisit"),"DUE",IF($N382="","",IF($N382&lt;=TODAY(),"DUE","")))</f>
        <v/>
      </c>
      <c r="P382" s="63" t="n"/>
    </row>
    <row r="383" ht="15" customHeight="1" s="32">
      <c r="A383" s="63" t="n">
        <v>382</v>
      </c>
      <c r="B383" s="63" t="inlineStr">
        <is>
          <t>3. Linear DS - Core</t>
        </is>
      </c>
      <c r="C383" s="63" t="inlineStr">
        <is>
          <t>14. Heap &amp; Priority Queue</t>
        </is>
      </c>
      <c r="D383" s="63" t="inlineStr">
        <is>
          <t>Kth element</t>
        </is>
      </c>
      <c r="E383" s="63" t="inlineStr">
        <is>
          <t>Kth Largest Element in a Stream</t>
        </is>
      </c>
      <c r="F383" s="63" t="inlineStr">
        <is>
          <t>Easy</t>
        </is>
      </c>
      <c r="G383" s="63" t="inlineStr">
        <is>
          <t>Core</t>
        </is>
      </c>
      <c r="H383" s="63" t="inlineStr">
        <is>
          <t>LeetCode</t>
        </is>
      </c>
      <c r="I383" s="63" t="inlineStr">
        <is>
          <t>https://leetcode.com/problems/kth-largest-element-in-a-stream/</t>
        </is>
      </c>
      <c r="J383" s="63" t="inlineStr">
        <is>
          <t>Not Started</t>
        </is>
      </c>
      <c r="K383" s="63" t="n"/>
      <c r="L383" s="63" t="n"/>
      <c r="M383" s="69" t="n"/>
      <c r="N383" s="69">
        <f>IF($M383="","",$M383+IF($K383="",Dashboard!$M$9,INDEX(Dashboard!$M$5:$M$9,$K383)))</f>
        <v/>
      </c>
      <c r="O383" s="63">
        <f>IF(OR($J383="Attempted",$J383="Revisit"),"DUE",IF($N383="","",IF($N383&lt;=TODAY(),"DUE","")))</f>
        <v/>
      </c>
      <c r="P383" s="63" t="n"/>
    </row>
    <row r="384" ht="15" customHeight="1" s="32">
      <c r="A384" s="63" t="n">
        <v>383</v>
      </c>
      <c r="B384" s="63" t="inlineStr">
        <is>
          <t>3. Linear DS - Core</t>
        </is>
      </c>
      <c r="C384" s="63" t="inlineStr">
        <is>
          <t>14. Heap &amp; Priority Queue</t>
        </is>
      </c>
      <c r="D384" s="63" t="inlineStr">
        <is>
          <t>Kth element</t>
        </is>
      </c>
      <c r="E384" s="63" t="inlineStr">
        <is>
          <t>Kth Largest Element in an Array</t>
        </is>
      </c>
      <c r="F384" s="63" t="inlineStr">
        <is>
          <t>Medium</t>
        </is>
      </c>
      <c r="G384" s="63" t="inlineStr">
        <is>
          <t>Core</t>
        </is>
      </c>
      <c r="H384" s="63" t="inlineStr">
        <is>
          <t>LeetCode</t>
        </is>
      </c>
      <c r="I384" s="63" t="inlineStr">
        <is>
          <t>https://leetcode.com/problems/kth-largest-element-in-an-array/</t>
        </is>
      </c>
      <c r="J384" s="63" t="inlineStr">
        <is>
          <t>Not Started</t>
        </is>
      </c>
      <c r="K384" s="63" t="n"/>
      <c r="L384" s="63" t="n"/>
      <c r="M384" s="69" t="n"/>
      <c r="N384" s="69">
        <f>IF($M384="","",$M384+IF($K384="",Dashboard!$M$9,INDEX(Dashboard!$M$5:$M$9,$K384)))</f>
        <v/>
      </c>
      <c r="O384" s="63">
        <f>IF(OR($J384="Attempted",$J384="Revisit"),"DUE",IF($N384="","",IF($N384&lt;=TODAY(),"DUE","")))</f>
        <v/>
      </c>
      <c r="P384" s="63" t="n"/>
    </row>
    <row r="385" ht="15" customHeight="1" s="32">
      <c r="A385" s="63" t="n">
        <v>384</v>
      </c>
      <c r="B385" s="63" t="inlineStr">
        <is>
          <t>3. Linear DS - Core</t>
        </is>
      </c>
      <c r="C385" s="63" t="inlineStr">
        <is>
          <t>14. Heap &amp; Priority Queue</t>
        </is>
      </c>
      <c r="D385" s="63" t="inlineStr">
        <is>
          <t>Top K</t>
        </is>
      </c>
      <c r="E385" s="63" t="inlineStr">
        <is>
          <t>The K Weakest Rows in a Matrix</t>
        </is>
      </c>
      <c r="F385" s="63" t="inlineStr">
        <is>
          <t>Easy</t>
        </is>
      </c>
      <c r="G385" s="63" t="inlineStr">
        <is>
          <t>Core</t>
        </is>
      </c>
      <c r="H385" s="63" t="inlineStr">
        <is>
          <t>LeetCode</t>
        </is>
      </c>
      <c r="I385" s="63" t="inlineStr">
        <is>
          <t>https://leetcode.com/problems/the-k-weakest-rows-in-a-matrix/</t>
        </is>
      </c>
      <c r="J385" s="63" t="inlineStr">
        <is>
          <t>Not Started</t>
        </is>
      </c>
      <c r="K385" s="63" t="n"/>
      <c r="L385" s="63" t="n"/>
      <c r="M385" s="69" t="n"/>
      <c r="N385" s="69">
        <f>IF($M385="","",$M385+IF($K385="",Dashboard!$M$9,INDEX(Dashboard!$M$5:$M$9,$K385)))</f>
        <v/>
      </c>
      <c r="O385" s="63">
        <f>IF(OR($J385="Attempted",$J385="Revisit"),"DUE",IF($N385="","",IF($N385&lt;=TODAY(),"DUE","")))</f>
        <v/>
      </c>
      <c r="P385" s="63" t="n"/>
    </row>
    <row r="386" ht="15" customHeight="1" s="32">
      <c r="A386" s="63" t="n">
        <v>385</v>
      </c>
      <c r="B386" s="63" t="inlineStr">
        <is>
          <t>3. Linear DS - Core</t>
        </is>
      </c>
      <c r="C386" s="63" t="inlineStr">
        <is>
          <t>14. Heap &amp; Priority Queue</t>
        </is>
      </c>
      <c r="D386" s="63" t="inlineStr">
        <is>
          <t>Top K</t>
        </is>
      </c>
      <c r="E386" s="63" t="inlineStr">
        <is>
          <t>Top K Frequent Elements</t>
        </is>
      </c>
      <c r="F386" s="63" t="inlineStr">
        <is>
          <t>Medium</t>
        </is>
      </c>
      <c r="G386" s="63" t="inlineStr">
        <is>
          <t>Core</t>
        </is>
      </c>
      <c r="H386" s="63" t="inlineStr">
        <is>
          <t>LeetCode</t>
        </is>
      </c>
      <c r="I386" s="63" t="inlineStr">
        <is>
          <t>https://leetcode.com/problems/top-k-frequent-elements/</t>
        </is>
      </c>
      <c r="J386" s="63" t="inlineStr">
        <is>
          <t>Not Started</t>
        </is>
      </c>
      <c r="K386" s="63" t="n"/>
      <c r="L386" s="63" t="n"/>
      <c r="M386" s="69" t="n"/>
      <c r="N386" s="69">
        <f>IF($M386="","",$M386+IF($K386="",Dashboard!$M$9,INDEX(Dashboard!$M$5:$M$9,$K386)))</f>
        <v/>
      </c>
      <c r="O386" s="63">
        <f>IF(OR($J386="Attempted",$J386="Revisit"),"DUE",IF($N386="","",IF($N386&lt;=TODAY(),"DUE","")))</f>
        <v/>
      </c>
      <c r="P386" s="63" t="inlineStr">
        <is>
          <t>v3 addition</t>
        </is>
      </c>
    </row>
    <row r="387" ht="15" customHeight="1" s="32">
      <c r="A387" s="63" t="n">
        <v>386</v>
      </c>
      <c r="B387" s="63" t="inlineStr">
        <is>
          <t>3. Linear DS - Core</t>
        </is>
      </c>
      <c r="C387" s="63" t="inlineStr">
        <is>
          <t>14. Heap &amp; Priority Queue</t>
        </is>
      </c>
      <c r="D387" s="63" t="inlineStr">
        <is>
          <t>Top K</t>
        </is>
      </c>
      <c r="E387" s="63" t="inlineStr">
        <is>
          <t>Top K Frequent Words</t>
        </is>
      </c>
      <c r="F387" s="63" t="inlineStr">
        <is>
          <t>Medium</t>
        </is>
      </c>
      <c r="G387" s="63" t="inlineStr">
        <is>
          <t>Core</t>
        </is>
      </c>
      <c r="H387" s="63" t="inlineStr">
        <is>
          <t>LeetCode</t>
        </is>
      </c>
      <c r="I387" s="63" t="inlineStr">
        <is>
          <t>https://leetcode.com/problems/top-k-frequent-words/</t>
        </is>
      </c>
      <c r="J387" s="63" t="inlineStr">
        <is>
          <t>Not Started</t>
        </is>
      </c>
      <c r="K387" s="63" t="n"/>
      <c r="L387" s="63" t="n"/>
      <c r="M387" s="69" t="n"/>
      <c r="N387" s="69">
        <f>IF($M387="","",$M387+IF($K387="",Dashboard!$M$9,INDEX(Dashboard!$M$5:$M$9,$K387)))</f>
        <v/>
      </c>
      <c r="O387" s="63">
        <f>IF(OR($J387="Attempted",$J387="Revisit"),"DUE",IF($N387="","",IF($N387&lt;=TODAY(),"DUE","")))</f>
        <v/>
      </c>
      <c r="P387" s="63" t="inlineStr">
        <is>
          <t>v3 addition</t>
        </is>
      </c>
    </row>
    <row r="388" ht="15" customHeight="1" s="32">
      <c r="A388" s="63" t="n">
        <v>387</v>
      </c>
      <c r="B388" s="63" t="inlineStr">
        <is>
          <t>3. Linear DS - Core</t>
        </is>
      </c>
      <c r="C388" s="63" t="inlineStr">
        <is>
          <t>14. Heap &amp; Priority Queue</t>
        </is>
      </c>
      <c r="D388" s="63" t="inlineStr">
        <is>
          <t>Top K</t>
        </is>
      </c>
      <c r="E388" s="63" t="inlineStr">
        <is>
          <t>K Closest Points to Origin</t>
        </is>
      </c>
      <c r="F388" s="63" t="inlineStr">
        <is>
          <t>Medium</t>
        </is>
      </c>
      <c r="G388" s="63" t="inlineStr">
        <is>
          <t>Core</t>
        </is>
      </c>
      <c r="H388" s="63" t="inlineStr">
        <is>
          <t>LeetCode</t>
        </is>
      </c>
      <c r="I388" s="63" t="inlineStr">
        <is>
          <t>https://leetcode.com/problems/k-closest-points-to-origin/</t>
        </is>
      </c>
      <c r="J388" s="63" t="inlineStr">
        <is>
          <t>Not Started</t>
        </is>
      </c>
      <c r="K388" s="63" t="n"/>
      <c r="L388" s="63" t="n"/>
      <c r="M388" s="69" t="n"/>
      <c r="N388" s="69">
        <f>IF($M388="","",$M388+IF($K388="",Dashboard!$M$9,INDEX(Dashboard!$M$5:$M$9,$K388)))</f>
        <v/>
      </c>
      <c r="O388" s="63">
        <f>IF(OR($J388="Attempted",$J388="Revisit"),"DUE",IF($N388="","",IF($N388&lt;=TODAY(),"DUE","")))</f>
        <v/>
      </c>
      <c r="P388" s="63" t="inlineStr">
        <is>
          <t>v3 addition</t>
        </is>
      </c>
    </row>
    <row r="389" ht="15" customHeight="1" s="32">
      <c r="A389" s="63" t="n">
        <v>388</v>
      </c>
      <c r="B389" s="63" t="inlineStr">
        <is>
          <t>3. Linear DS - Core</t>
        </is>
      </c>
      <c r="C389" s="63" t="inlineStr">
        <is>
          <t>14. Heap &amp; Priority Queue</t>
        </is>
      </c>
      <c r="D389" s="63" t="inlineStr">
        <is>
          <t>K-way merge</t>
        </is>
      </c>
      <c r="E389" s="63" t="inlineStr">
        <is>
          <t>Merge K Sorted Arrays</t>
        </is>
      </c>
      <c r="F389" s="63" t="inlineStr">
        <is>
          <t>Medium</t>
        </is>
      </c>
      <c r="G389" s="63" t="inlineStr">
        <is>
          <t>Core</t>
        </is>
      </c>
      <c r="H389" s="63" t="inlineStr">
        <is>
          <t>GeeksforGeeks</t>
        </is>
      </c>
      <c r="I389" s="63" t="inlineStr">
        <is>
          <t>https://www.geeksforgeeks.org/problems/merge-k-sorted-arrays/1</t>
        </is>
      </c>
      <c r="J389" s="63" t="inlineStr">
        <is>
          <t>Not Started</t>
        </is>
      </c>
      <c r="K389" s="63" t="n"/>
      <c r="L389" s="63" t="n"/>
      <c r="M389" s="69" t="n"/>
      <c r="N389" s="69">
        <f>IF($M389="","",$M389+IF($K389="",Dashboard!$M$9,INDEX(Dashboard!$M$5:$M$9,$K389)))</f>
        <v/>
      </c>
      <c r="O389" s="63">
        <f>IF(OR($J389="Attempted",$J389="Revisit"),"DUE",IF($N389="","",IF($N389&lt;=TODAY(),"DUE","")))</f>
        <v/>
      </c>
      <c r="P389" s="63" t="n"/>
    </row>
    <row r="390" ht="15" customHeight="1" s="32">
      <c r="A390" s="63" t="n">
        <v>389</v>
      </c>
      <c r="B390" s="63" t="inlineStr">
        <is>
          <t>3. Linear DS - Core</t>
        </is>
      </c>
      <c r="C390" s="63" t="inlineStr">
        <is>
          <t>14. Heap &amp; Priority Queue</t>
        </is>
      </c>
      <c r="D390" s="63" t="inlineStr">
        <is>
          <t>Two heaps</t>
        </is>
      </c>
      <c r="E390" s="63" t="inlineStr">
        <is>
          <t>Find Median from Data Stream</t>
        </is>
      </c>
      <c r="F390" s="63" t="inlineStr">
        <is>
          <t>Hard</t>
        </is>
      </c>
      <c r="G390" s="63" t="inlineStr">
        <is>
          <t>Core</t>
        </is>
      </c>
      <c r="H390" s="63" t="inlineStr">
        <is>
          <t>LeetCode</t>
        </is>
      </c>
      <c r="I390" s="63" t="inlineStr">
        <is>
          <t>https://leetcode.com/problems/find-median-from-data-stream/</t>
        </is>
      </c>
      <c r="J390" s="63" t="inlineStr">
        <is>
          <t>Not Started</t>
        </is>
      </c>
      <c r="K390" s="63" t="n"/>
      <c r="L390" s="63" t="n"/>
      <c r="M390" s="69" t="n"/>
      <c r="N390" s="69">
        <f>IF($M390="","",$M390+IF($K390="",Dashboard!$M$9,INDEX(Dashboard!$M$5:$M$9,$K390)))</f>
        <v/>
      </c>
      <c r="O390" s="63">
        <f>IF(OR($J390="Attempted",$J390="Revisit"),"DUE",IF($N390="","",IF($N390&lt;=TODAY(),"DUE","")))</f>
        <v/>
      </c>
      <c r="P390" s="63" t="n"/>
    </row>
    <row r="391" ht="15" customHeight="1" s="32">
      <c r="A391" s="63" t="n">
        <v>390</v>
      </c>
      <c r="B391" s="63" t="inlineStr">
        <is>
          <t>3. Linear DS - Core</t>
        </is>
      </c>
      <c r="C391" s="63" t="inlineStr">
        <is>
          <t>14. Heap &amp; Priority Queue</t>
        </is>
      </c>
      <c r="D391" s="63" t="inlineStr">
        <is>
          <t>Greedy + heap</t>
        </is>
      </c>
      <c r="E391" s="63" t="inlineStr">
        <is>
          <t>Last Stone Weight</t>
        </is>
      </c>
      <c r="F391" s="63" t="inlineStr">
        <is>
          <t>Easy</t>
        </is>
      </c>
      <c r="G391" s="63" t="inlineStr">
        <is>
          <t>Core</t>
        </is>
      </c>
      <c r="H391" s="63" t="inlineStr">
        <is>
          <t>LeetCode</t>
        </is>
      </c>
      <c r="I391" s="63" t="inlineStr">
        <is>
          <t>https://leetcode.com/problems/last-stone-weight/</t>
        </is>
      </c>
      <c r="J391" s="63" t="inlineStr">
        <is>
          <t>Not Started</t>
        </is>
      </c>
      <c r="K391" s="63" t="n"/>
      <c r="L391" s="63" t="n"/>
      <c r="M391" s="69" t="n"/>
      <c r="N391" s="69">
        <f>IF($M391="","",$M391+IF($K391="",Dashboard!$M$9,INDEX(Dashboard!$M$5:$M$9,$K391)))</f>
        <v/>
      </c>
      <c r="O391" s="63">
        <f>IF(OR($J391="Attempted",$J391="Revisit"),"DUE",IF($N391="","",IF($N391&lt;=TODAY(),"DUE","")))</f>
        <v/>
      </c>
      <c r="P391" s="63" t="inlineStr">
        <is>
          <t>v3 addition</t>
        </is>
      </c>
    </row>
    <row r="392" ht="15" customHeight="1" s="32">
      <c r="A392" s="63" t="n">
        <v>391</v>
      </c>
      <c r="B392" s="63" t="inlineStr">
        <is>
          <t>3. Linear DS - Core</t>
        </is>
      </c>
      <c r="C392" s="63" t="inlineStr">
        <is>
          <t>14. Heap &amp; Priority Queue</t>
        </is>
      </c>
      <c r="D392" s="63" t="inlineStr">
        <is>
          <t>Greedy + heap</t>
        </is>
      </c>
      <c r="E392" s="63" t="inlineStr">
        <is>
          <t>Minimum Cost of Ropes</t>
        </is>
      </c>
      <c r="F392" s="63" t="inlineStr">
        <is>
          <t>Easy</t>
        </is>
      </c>
      <c r="G392" s="63" t="inlineStr">
        <is>
          <t>Core</t>
        </is>
      </c>
      <c r="H392" s="63" t="inlineStr">
        <is>
          <t>GeeksforGeeks</t>
        </is>
      </c>
      <c r="I392" s="63" t="inlineStr">
        <is>
          <t>https://www.geeksforgeeks.org/problems/minimum-cost-of-ropes-1587115620/1</t>
        </is>
      </c>
      <c r="J392" s="63" t="inlineStr">
        <is>
          <t>Not Started</t>
        </is>
      </c>
      <c r="K392" s="63" t="n"/>
      <c r="L392" s="63" t="n"/>
      <c r="M392" s="69" t="n"/>
      <c r="N392" s="69">
        <f>IF($M392="","",$M392+IF($K392="",Dashboard!$M$9,INDEX(Dashboard!$M$5:$M$9,$K392)))</f>
        <v/>
      </c>
      <c r="O392" s="63">
        <f>IF(OR($J392="Attempted",$J392="Revisit"),"DUE",IF($N392="","",IF($N392&lt;=TODAY(),"DUE","")))</f>
        <v/>
      </c>
      <c r="P392" s="63" t="n"/>
    </row>
    <row r="393" ht="15" customHeight="1" s="32">
      <c r="A393" s="63" t="n">
        <v>392</v>
      </c>
      <c r="B393" s="63" t="inlineStr">
        <is>
          <t>3. Linear DS - Core</t>
        </is>
      </c>
      <c r="C393" s="63" t="inlineStr">
        <is>
          <t>14. Heap &amp; Priority Queue</t>
        </is>
      </c>
      <c r="D393" s="63" t="inlineStr">
        <is>
          <t>Greedy + heap</t>
        </is>
      </c>
      <c r="E393" s="63" t="inlineStr">
        <is>
          <t>Task Scheduler</t>
        </is>
      </c>
      <c r="F393" s="63" t="inlineStr">
        <is>
          <t>Medium</t>
        </is>
      </c>
      <c r="G393" s="63" t="inlineStr">
        <is>
          <t>Core</t>
        </is>
      </c>
      <c r="H393" s="63" t="inlineStr">
        <is>
          <t>LeetCode</t>
        </is>
      </c>
      <c r="I393" s="63" t="inlineStr">
        <is>
          <t>https://leetcode.com/problems/task-scheduler/</t>
        </is>
      </c>
      <c r="J393" s="63" t="inlineStr">
        <is>
          <t>Not Started</t>
        </is>
      </c>
      <c r="K393" s="63" t="n"/>
      <c r="L393" s="63" t="n"/>
      <c r="M393" s="69" t="n"/>
      <c r="N393" s="69">
        <f>IF($M393="","",$M393+IF($K393="",Dashboard!$M$9,INDEX(Dashboard!$M$5:$M$9,$K393)))</f>
        <v/>
      </c>
      <c r="O393" s="63">
        <f>IF(OR($J393="Attempted",$J393="Revisit"),"DUE",IF($N393="","",IF($N393&lt;=TODAY(),"DUE","")))</f>
        <v/>
      </c>
      <c r="P393" s="63" t="n"/>
    </row>
    <row r="394" ht="15" customHeight="1" s="32">
      <c r="A394" s="63" t="n">
        <v>393</v>
      </c>
      <c r="B394" s="63" t="inlineStr">
        <is>
          <t>3. Linear DS - Core</t>
        </is>
      </c>
      <c r="C394" s="63" t="inlineStr">
        <is>
          <t>14. Heap &amp; Priority Queue</t>
        </is>
      </c>
      <c r="D394" s="63" t="inlineStr">
        <is>
          <t>Design</t>
        </is>
      </c>
      <c r="E394" s="63" t="inlineStr">
        <is>
          <t>Smallest Number in Infinite Set</t>
        </is>
      </c>
      <c r="F394" s="63" t="inlineStr">
        <is>
          <t>Medium</t>
        </is>
      </c>
      <c r="G394" s="63" t="inlineStr">
        <is>
          <t>Core</t>
        </is>
      </c>
      <c r="H394" s="63" t="inlineStr">
        <is>
          <t>LeetCode</t>
        </is>
      </c>
      <c r="I394" s="63" t="inlineStr">
        <is>
          <t>https://leetcode.com/problems/smallest-number-in-infinite-set/</t>
        </is>
      </c>
      <c r="J394" s="63" t="inlineStr">
        <is>
          <t>Not Started</t>
        </is>
      </c>
      <c r="K394" s="63" t="n"/>
      <c r="L394" s="63" t="n"/>
      <c r="M394" s="69" t="n"/>
      <c r="N394" s="69">
        <f>IF($M394="","",$M394+IF($K394="",Dashboard!$M$9,INDEX(Dashboard!$M$5:$M$9,$K394)))</f>
        <v/>
      </c>
      <c r="O394" s="63">
        <f>IF(OR($J394="Attempted",$J394="Revisit"),"DUE",IF($N394="","",IF($N394&lt;=TODAY(),"DUE","")))</f>
        <v/>
      </c>
      <c r="P394" s="63" t="n"/>
    </row>
    <row r="395" ht="15" customHeight="1" s="32">
      <c r="A395" s="63" t="n">
        <v>394</v>
      </c>
      <c r="B395" s="63" t="inlineStr">
        <is>
          <t>3. Linear DS - Core</t>
        </is>
      </c>
      <c r="C395" s="63" t="inlineStr">
        <is>
          <t>14. Heap &amp; Priority Queue</t>
        </is>
      </c>
      <c r="D395" s="63" t="inlineStr">
        <is>
          <t>Design</t>
        </is>
      </c>
      <c r="E395" s="63" t="inlineStr">
        <is>
          <t>Seat Reservation Manager</t>
        </is>
      </c>
      <c r="F395" s="63" t="inlineStr">
        <is>
          <t>Medium</t>
        </is>
      </c>
      <c r="G395" s="63" t="inlineStr">
        <is>
          <t>Core</t>
        </is>
      </c>
      <c r="H395" s="63" t="inlineStr">
        <is>
          <t>LeetCode</t>
        </is>
      </c>
      <c r="I395" s="63" t="inlineStr">
        <is>
          <t>https://leetcode.com/problems/seat-reservation-manager/</t>
        </is>
      </c>
      <c r="J395" s="63" t="inlineStr">
        <is>
          <t>Not Started</t>
        </is>
      </c>
      <c r="K395" s="63" t="n"/>
      <c r="L395" s="63" t="n"/>
      <c r="M395" s="69" t="n"/>
      <c r="N395" s="69">
        <f>IF($M395="","",$M395+IF($K395="",Dashboard!$M$9,INDEX(Dashboard!$M$5:$M$9,$K395)))</f>
        <v/>
      </c>
      <c r="O395" s="63">
        <f>IF(OR($J395="Attempted",$J395="Revisit"),"DUE",IF($N395="","",IF($N395&lt;=TODAY(),"DUE","")))</f>
        <v/>
      </c>
      <c r="P395" s="63" t="inlineStr">
        <is>
          <t>v3 addition</t>
        </is>
      </c>
    </row>
    <row r="396" ht="15" customHeight="1" s="32">
      <c r="A396" s="63" t="n">
        <v>395</v>
      </c>
      <c r="B396" s="63" t="inlineStr">
        <is>
          <t>3. Linear DS - Depth</t>
        </is>
      </c>
      <c r="C396" s="63" t="inlineStr">
        <is>
          <t>12. Linked List</t>
        </is>
      </c>
      <c r="D396" s="63" t="inlineStr">
        <is>
          <t>Reversal</t>
        </is>
      </c>
      <c r="E396" s="63" t="inlineStr">
        <is>
          <t>Swap Nodes in Pairs</t>
        </is>
      </c>
      <c r="F396" s="63" t="inlineStr">
        <is>
          <t>Medium</t>
        </is>
      </c>
      <c r="G396" s="63" t="inlineStr">
        <is>
          <t>Depth</t>
        </is>
      </c>
      <c r="H396" s="63" t="inlineStr">
        <is>
          <t>LeetCode</t>
        </is>
      </c>
      <c r="I396" s="63" t="inlineStr">
        <is>
          <t>https://leetcode.com/problems/swap-nodes-in-pairs/</t>
        </is>
      </c>
      <c r="J396" s="63" t="inlineStr">
        <is>
          <t>Not Started</t>
        </is>
      </c>
      <c r="K396" s="63" t="n"/>
      <c r="L396" s="63" t="n"/>
      <c r="M396" s="69" t="n"/>
      <c r="N396" s="69">
        <f>IF($M396="","",$M396+IF($K396="",Dashboard!$M$9,INDEX(Dashboard!$M$5:$M$9,$K396)))</f>
        <v/>
      </c>
      <c r="O396" s="63">
        <f>IF(OR($J396="Attempted",$J396="Revisit"),"DUE",IF($N396="","",IF($N396&lt;=TODAY(),"DUE","")))</f>
        <v/>
      </c>
      <c r="P396" s="63" t="n"/>
    </row>
    <row r="397" ht="15" customHeight="1" s="32">
      <c r="A397" s="63" t="n">
        <v>396</v>
      </c>
      <c r="B397" s="63" t="inlineStr">
        <is>
          <t>3. Linear DS - Depth</t>
        </is>
      </c>
      <c r="C397" s="63" t="inlineStr">
        <is>
          <t>12. Linked List</t>
        </is>
      </c>
      <c r="D397" s="63" t="inlineStr">
        <is>
          <t>Reversal</t>
        </is>
      </c>
      <c r="E397" s="63" t="inlineStr">
        <is>
          <t>Reverse Nodes in Even Length Groups</t>
        </is>
      </c>
      <c r="F397" s="63" t="inlineStr">
        <is>
          <t>Medium</t>
        </is>
      </c>
      <c r="G397" s="63" t="inlineStr">
        <is>
          <t>Depth</t>
        </is>
      </c>
      <c r="H397" s="63" t="inlineStr">
        <is>
          <t>LeetCode</t>
        </is>
      </c>
      <c r="I397" s="63" t="inlineStr">
        <is>
          <t>https://leetcode.com/problems/reverse-nodes-in-even-length-groups/</t>
        </is>
      </c>
      <c r="J397" s="63" t="inlineStr">
        <is>
          <t>Not Started</t>
        </is>
      </c>
      <c r="K397" s="63" t="n"/>
      <c r="L397" s="63" t="n"/>
      <c r="M397" s="69" t="n"/>
      <c r="N397" s="69">
        <f>IF($M397="","",$M397+IF($K397="",Dashboard!$M$9,INDEX(Dashboard!$M$5:$M$9,$K397)))</f>
        <v/>
      </c>
      <c r="O397" s="63">
        <f>IF(OR($J397="Attempted",$J397="Revisit"),"DUE",IF($N397="","",IF($N397&lt;=TODAY(),"DUE","")))</f>
        <v/>
      </c>
      <c r="P397" s="63" t="n"/>
    </row>
    <row r="398" ht="15" customHeight="1" s="32">
      <c r="A398" s="63" t="n">
        <v>397</v>
      </c>
      <c r="B398" s="63" t="inlineStr">
        <is>
          <t>3. Linear DS - Depth</t>
        </is>
      </c>
      <c r="C398" s="63" t="inlineStr">
        <is>
          <t>12. Linked List</t>
        </is>
      </c>
      <c r="D398" s="63" t="inlineStr">
        <is>
          <t>Fast &amp; slow</t>
        </is>
      </c>
      <c r="E398" s="63" t="inlineStr">
        <is>
          <t>Palindrome Linked List</t>
        </is>
      </c>
      <c r="F398" s="63" t="inlineStr">
        <is>
          <t>Easy</t>
        </is>
      </c>
      <c r="G398" s="63" t="inlineStr">
        <is>
          <t>Depth</t>
        </is>
      </c>
      <c r="H398" s="63" t="inlineStr">
        <is>
          <t>LeetCode</t>
        </is>
      </c>
      <c r="I398" s="63" t="inlineStr">
        <is>
          <t>https://leetcode.com/problems/palindrome-linked-list/</t>
        </is>
      </c>
      <c r="J398" s="63" t="inlineStr">
        <is>
          <t>Not Started</t>
        </is>
      </c>
      <c r="K398" s="63" t="n"/>
      <c r="L398" s="63" t="n"/>
      <c r="M398" s="69" t="n"/>
      <c r="N398" s="69">
        <f>IF($M398="","",$M398+IF($K398="",Dashboard!$M$9,INDEX(Dashboard!$M$5:$M$9,$K398)))</f>
        <v/>
      </c>
      <c r="O398" s="63">
        <f>IF(OR($J398="Attempted",$J398="Revisit"),"DUE",IF($N398="","",IF($N398&lt;=TODAY(),"DUE","")))</f>
        <v/>
      </c>
      <c r="P398" s="63" t="n"/>
    </row>
    <row r="399" ht="15" customHeight="1" s="32">
      <c r="A399" s="63" t="n">
        <v>398</v>
      </c>
      <c r="B399" s="63" t="inlineStr">
        <is>
          <t>3. Linear DS - Depth</t>
        </is>
      </c>
      <c r="C399" s="63" t="inlineStr">
        <is>
          <t>12. Linked List</t>
        </is>
      </c>
      <c r="D399" s="63" t="inlineStr">
        <is>
          <t>Fast &amp; slow</t>
        </is>
      </c>
      <c r="E399" s="63" t="inlineStr">
        <is>
          <t>Linked List Cycle II</t>
        </is>
      </c>
      <c r="F399" s="63" t="inlineStr">
        <is>
          <t>Medium</t>
        </is>
      </c>
      <c r="G399" s="63" t="inlineStr">
        <is>
          <t>Depth</t>
        </is>
      </c>
      <c r="H399" s="63" t="inlineStr">
        <is>
          <t>LeetCode</t>
        </is>
      </c>
      <c r="I399" s="63" t="inlineStr">
        <is>
          <t>https://leetcode.com/problems/linked-list-cycle-ii/</t>
        </is>
      </c>
      <c r="J399" s="63" t="inlineStr">
        <is>
          <t>Not Started</t>
        </is>
      </c>
      <c r="K399" s="63" t="n"/>
      <c r="L399" s="63" t="n"/>
      <c r="M399" s="69" t="n"/>
      <c r="N399" s="69">
        <f>IF($M399="","",$M399+IF($K399="",Dashboard!$M$9,INDEX(Dashboard!$M$5:$M$9,$K399)))</f>
        <v/>
      </c>
      <c r="O399" s="63">
        <f>IF(OR($J399="Attempted",$J399="Revisit"),"DUE",IF($N399="","",IF($N399&lt;=TODAY(),"DUE","")))</f>
        <v/>
      </c>
      <c r="P399" s="63" t="inlineStr">
        <is>
          <t>v3 addition</t>
        </is>
      </c>
    </row>
    <row r="400" ht="15" customHeight="1" s="32">
      <c r="A400" s="63" t="n">
        <v>399</v>
      </c>
      <c r="B400" s="63" t="inlineStr">
        <is>
          <t>3. Linear DS - Depth</t>
        </is>
      </c>
      <c r="C400" s="63" t="inlineStr">
        <is>
          <t>12. Linked List</t>
        </is>
      </c>
      <c r="D400" s="63" t="inlineStr">
        <is>
          <t>Fast &amp; slow</t>
        </is>
      </c>
      <c r="E400" s="63" t="inlineStr">
        <is>
          <t>Remove Nth Node From End of List</t>
        </is>
      </c>
      <c r="F400" s="63" t="inlineStr">
        <is>
          <t>Medium</t>
        </is>
      </c>
      <c r="G400" s="63" t="inlineStr">
        <is>
          <t>Depth</t>
        </is>
      </c>
      <c r="H400" s="63" t="inlineStr">
        <is>
          <t>LeetCode</t>
        </is>
      </c>
      <c r="I400" s="63" t="inlineStr">
        <is>
          <t>https://leetcode.com/problems/remove-nth-node-from-end-of-list/</t>
        </is>
      </c>
      <c r="J400" s="63" t="inlineStr">
        <is>
          <t>Not Started</t>
        </is>
      </c>
      <c r="K400" s="63" t="n"/>
      <c r="L400" s="63" t="n"/>
      <c r="M400" s="69" t="n"/>
      <c r="N400" s="69">
        <f>IF($M400="","",$M400+IF($K400="",Dashboard!$M$9,INDEX(Dashboard!$M$5:$M$9,$K400)))</f>
        <v/>
      </c>
      <c r="O400" s="63">
        <f>IF(OR($J400="Attempted",$J400="Revisit"),"DUE",IF($N400="","",IF($N400&lt;=TODAY(),"DUE","")))</f>
        <v/>
      </c>
      <c r="P400" s="63" t="inlineStr">
        <is>
          <t>v3 addition</t>
        </is>
      </c>
    </row>
    <row r="401" ht="15" customHeight="1" s="32">
      <c r="A401" s="63" t="n">
        <v>400</v>
      </c>
      <c r="B401" s="63" t="inlineStr">
        <is>
          <t>3. Linear DS - Depth</t>
        </is>
      </c>
      <c r="C401" s="63" t="inlineStr">
        <is>
          <t>12. Linked List</t>
        </is>
      </c>
      <c r="D401" s="63" t="inlineStr">
        <is>
          <t>Fast &amp; slow</t>
        </is>
      </c>
      <c r="E401" s="63" t="inlineStr">
        <is>
          <t>Reorder List</t>
        </is>
      </c>
      <c r="F401" s="63" t="inlineStr">
        <is>
          <t>Medium</t>
        </is>
      </c>
      <c r="G401" s="63" t="inlineStr">
        <is>
          <t>Depth</t>
        </is>
      </c>
      <c r="H401" s="63" t="inlineStr">
        <is>
          <t>LeetCode</t>
        </is>
      </c>
      <c r="I401" s="63" t="inlineStr">
        <is>
          <t>https://leetcode.com/problems/reorder-list/</t>
        </is>
      </c>
      <c r="J401" s="63" t="inlineStr">
        <is>
          <t>Not Started</t>
        </is>
      </c>
      <c r="K401" s="63" t="n"/>
      <c r="L401" s="63" t="n"/>
      <c r="M401" s="69" t="n"/>
      <c r="N401" s="69">
        <f>IF($M401="","",$M401+IF($K401="",Dashboard!$M$9,INDEX(Dashboard!$M$5:$M$9,$K401)))</f>
        <v/>
      </c>
      <c r="O401" s="63">
        <f>IF(OR($J401="Attempted",$J401="Revisit"),"DUE",IF($N401="","",IF($N401&lt;=TODAY(),"DUE","")))</f>
        <v/>
      </c>
      <c r="P401" s="63" t="n"/>
    </row>
    <row r="402" ht="15" customHeight="1" s="32">
      <c r="A402" s="63" t="n">
        <v>401</v>
      </c>
      <c r="B402" s="63" t="inlineStr">
        <is>
          <t>3. Linear DS - Depth</t>
        </is>
      </c>
      <c r="C402" s="63" t="inlineStr">
        <is>
          <t>12. Linked List</t>
        </is>
      </c>
      <c r="D402" s="63" t="inlineStr">
        <is>
          <t>Deletion</t>
        </is>
      </c>
      <c r="E402" s="63" t="inlineStr">
        <is>
          <t>Remove Duplicates from Sorted List II</t>
        </is>
      </c>
      <c r="F402" s="63" t="inlineStr">
        <is>
          <t>Medium</t>
        </is>
      </c>
      <c r="G402" s="63" t="inlineStr">
        <is>
          <t>Depth</t>
        </is>
      </c>
      <c r="H402" s="63" t="inlineStr">
        <is>
          <t>LeetCode</t>
        </is>
      </c>
      <c r="I402" s="63" t="inlineStr">
        <is>
          <t>https://leetcode.com/problems/remove-duplicates-from-sorted-list-ii/</t>
        </is>
      </c>
      <c r="J402" s="63" t="inlineStr">
        <is>
          <t>Not Started</t>
        </is>
      </c>
      <c r="K402" s="63" t="n"/>
      <c r="L402" s="63" t="n"/>
      <c r="M402" s="69" t="n"/>
      <c r="N402" s="69">
        <f>IF($M402="","",$M402+IF($K402="",Dashboard!$M$9,INDEX(Dashboard!$M$5:$M$9,$K402)))</f>
        <v/>
      </c>
      <c r="O402" s="63">
        <f>IF(OR($J402="Attempted",$J402="Revisit"),"DUE",IF($N402="","",IF($N402&lt;=TODAY(),"DUE","")))</f>
        <v/>
      </c>
      <c r="P402" s="63" t="n"/>
    </row>
    <row r="403" ht="15" customHeight="1" s="32">
      <c r="A403" s="63" t="n">
        <v>402</v>
      </c>
      <c r="B403" s="63" t="inlineStr">
        <is>
          <t>3. Linear DS - Depth</t>
        </is>
      </c>
      <c r="C403" s="63" t="inlineStr">
        <is>
          <t>12. Linked List</t>
        </is>
      </c>
      <c r="D403" s="63" t="inlineStr">
        <is>
          <t>Deletion</t>
        </is>
      </c>
      <c r="E403" s="63" t="inlineStr">
        <is>
          <t>Delete Node in a Linked List</t>
        </is>
      </c>
      <c r="F403" s="63" t="inlineStr">
        <is>
          <t>Medium</t>
        </is>
      </c>
      <c r="G403" s="63" t="inlineStr">
        <is>
          <t>Depth</t>
        </is>
      </c>
      <c r="H403" s="63" t="inlineStr">
        <is>
          <t>LeetCode</t>
        </is>
      </c>
      <c r="I403" s="63" t="inlineStr">
        <is>
          <t>https://leetcode.com/problems/delete-node-in-a-linked-list/</t>
        </is>
      </c>
      <c r="J403" s="63" t="inlineStr">
        <is>
          <t>Not Started</t>
        </is>
      </c>
      <c r="K403" s="63" t="n"/>
      <c r="L403" s="63" t="n"/>
      <c r="M403" s="69" t="n"/>
      <c r="N403" s="69">
        <f>IF($M403="","",$M403+IF($K403="",Dashboard!$M$9,INDEX(Dashboard!$M$5:$M$9,$K403)))</f>
        <v/>
      </c>
      <c r="O403" s="63">
        <f>IF(OR($J403="Attempted",$J403="Revisit"),"DUE",IF($N403="","",IF($N403&lt;=TODAY(),"DUE","")))</f>
        <v/>
      </c>
      <c r="P403" s="63" t="n"/>
    </row>
    <row r="404" ht="15" customHeight="1" s="32">
      <c r="A404" s="64" t="n">
        <v>403</v>
      </c>
      <c r="B404" s="64" t="inlineStr">
        <is>
          <t>3. Linear DS - Depth</t>
        </is>
      </c>
      <c r="C404" s="64" t="inlineStr">
        <is>
          <t>12. Linked List</t>
        </is>
      </c>
      <c r="D404" s="64" t="inlineStr">
        <is>
          <t>Deletion</t>
        </is>
      </c>
      <c r="E404" s="64" t="inlineStr">
        <is>
          <t>Remove Nodes From Linked List</t>
        </is>
      </c>
      <c r="F404" s="64" t="inlineStr">
        <is>
          <t>Medium</t>
        </is>
      </c>
      <c r="G404" s="64" t="inlineStr">
        <is>
          <t>Depth</t>
        </is>
      </c>
      <c r="H404" s="64" t="inlineStr">
        <is>
          <t>LeetCode</t>
        </is>
      </c>
      <c r="I404" s="64" t="inlineStr">
        <is>
          <t>https://leetcode.com/problems/remove-nodes-from-linked-list/</t>
        </is>
      </c>
      <c r="J404" s="64" t="inlineStr">
        <is>
          <t>Not Started</t>
        </is>
      </c>
      <c r="K404" s="64" t="n"/>
      <c r="L404" s="64" t="n"/>
      <c r="M404" s="70" t="n"/>
      <c r="N404" s="70">
        <f>IF($M404="","",$M404+IF($K404="",Dashboard!$M$9,INDEX(Dashboard!$M$5:$M$9,$K404)))</f>
        <v/>
      </c>
      <c r="O404" s="64">
        <f>IF(OR($J404="Attempted",$J404="Revisit"),"DUE",IF($N404="","",IF($N404&lt;=TODAY(),"DUE","")))</f>
        <v/>
      </c>
      <c r="P404" s="64" t="n"/>
    </row>
    <row r="405" ht="15" customHeight="1" s="32">
      <c r="A405" s="64" t="n">
        <v>404</v>
      </c>
      <c r="B405" s="64" t="inlineStr">
        <is>
          <t>3. Linear DS - Depth</t>
        </is>
      </c>
      <c r="C405" s="64" t="inlineStr">
        <is>
          <t>12. Linked List</t>
        </is>
      </c>
      <c r="D405" s="64" t="inlineStr">
        <is>
          <t>Merging</t>
        </is>
      </c>
      <c r="E405" s="64" t="inlineStr">
        <is>
          <t>Merge In Between Linked Lists</t>
        </is>
      </c>
      <c r="F405" s="64" t="inlineStr">
        <is>
          <t>Medium</t>
        </is>
      </c>
      <c r="G405" s="64" t="inlineStr">
        <is>
          <t>Depth</t>
        </is>
      </c>
      <c r="H405" s="64" t="inlineStr">
        <is>
          <t>LeetCode</t>
        </is>
      </c>
      <c r="I405" s="64" t="inlineStr">
        <is>
          <t>https://leetcode.com/problems/merge-in-between-linked-lists/</t>
        </is>
      </c>
      <c r="J405" s="64" t="inlineStr">
        <is>
          <t>Not Started</t>
        </is>
      </c>
      <c r="K405" s="64" t="n"/>
      <c r="L405" s="64" t="n"/>
      <c r="M405" s="70" t="n"/>
      <c r="N405" s="70">
        <f>IF($M405="","",$M405+IF($K405="",Dashboard!$M$9,INDEX(Dashboard!$M$5:$M$9,$K405)))</f>
        <v/>
      </c>
      <c r="O405" s="64">
        <f>IF(OR($J405="Attempted",$J405="Revisit"),"DUE",IF($N405="","",IF($N405&lt;=TODAY(),"DUE","")))</f>
        <v/>
      </c>
      <c r="P405" s="64" t="inlineStr">
        <is>
          <t>v3 addition</t>
        </is>
      </c>
    </row>
    <row r="406" ht="15" customHeight="1" s="32">
      <c r="A406" s="64" t="n">
        <v>405</v>
      </c>
      <c r="B406" s="64" t="inlineStr">
        <is>
          <t>3. Linear DS - Depth</t>
        </is>
      </c>
      <c r="C406" s="64" t="inlineStr">
        <is>
          <t>12. Linked List</t>
        </is>
      </c>
      <c r="D406" s="64" t="inlineStr">
        <is>
          <t>Rearrangement</t>
        </is>
      </c>
      <c r="E406" s="64" t="inlineStr">
        <is>
          <t>Rotate List</t>
        </is>
      </c>
      <c r="F406" s="64" t="inlineStr">
        <is>
          <t>Medium</t>
        </is>
      </c>
      <c r="G406" s="64" t="inlineStr">
        <is>
          <t>Depth</t>
        </is>
      </c>
      <c r="H406" s="64" t="inlineStr">
        <is>
          <t>LeetCode</t>
        </is>
      </c>
      <c r="I406" s="64" t="inlineStr">
        <is>
          <t>https://leetcode.com/problems/rotate-list/</t>
        </is>
      </c>
      <c r="J406" s="64" t="inlineStr">
        <is>
          <t>Not Started</t>
        </is>
      </c>
      <c r="K406" s="64" t="n"/>
      <c r="L406" s="64" t="n"/>
      <c r="M406" s="70" t="n"/>
      <c r="N406" s="70">
        <f>IF($M406="","",$M406+IF($K406="",Dashboard!$M$9,INDEX(Dashboard!$M$5:$M$9,$K406)))</f>
        <v/>
      </c>
      <c r="O406" s="64">
        <f>IF(OR($J406="Attempted",$J406="Revisit"),"DUE",IF($N406="","",IF($N406&lt;=TODAY(),"DUE","")))</f>
        <v/>
      </c>
      <c r="P406" s="64" t="n"/>
    </row>
    <row r="407" ht="15" customHeight="1" s="32">
      <c r="A407" s="64" t="n">
        <v>406</v>
      </c>
      <c r="B407" s="64" t="inlineStr">
        <is>
          <t>3. Linear DS - Depth</t>
        </is>
      </c>
      <c r="C407" s="64" t="inlineStr">
        <is>
          <t>12. Linked List</t>
        </is>
      </c>
      <c r="D407" s="64" t="inlineStr">
        <is>
          <t>Rearrangement</t>
        </is>
      </c>
      <c r="E407" s="64" t="inlineStr">
        <is>
          <t>Split Linked List in Parts</t>
        </is>
      </c>
      <c r="F407" s="64" t="inlineStr">
        <is>
          <t>Medium</t>
        </is>
      </c>
      <c r="G407" s="64" t="inlineStr">
        <is>
          <t>Depth</t>
        </is>
      </c>
      <c r="H407" s="64" t="inlineStr">
        <is>
          <t>LeetCode</t>
        </is>
      </c>
      <c r="I407" s="64" t="inlineStr">
        <is>
          <t>https://leetcode.com/problems/split-linked-list-in-parts/</t>
        </is>
      </c>
      <c r="J407" s="64" t="inlineStr">
        <is>
          <t>Not Started</t>
        </is>
      </c>
      <c r="K407" s="64" t="n"/>
      <c r="L407" s="64" t="n"/>
      <c r="M407" s="70" t="n"/>
      <c r="N407" s="70">
        <f>IF($M407="","",$M407+IF($K407="",Dashboard!$M$9,INDEX(Dashboard!$M$5:$M$9,$K407)))</f>
        <v/>
      </c>
      <c r="O407" s="64">
        <f>IF(OR($J407="Attempted",$J407="Revisit"),"DUE",IF($N407="","",IF($N407&lt;=TODAY(),"DUE","")))</f>
        <v/>
      </c>
      <c r="P407" s="64" t="n"/>
    </row>
    <row r="408" ht="15" customHeight="1" s="32">
      <c r="A408" s="64" t="n">
        <v>407</v>
      </c>
      <c r="B408" s="64" t="inlineStr">
        <is>
          <t>3. Linear DS - Depth</t>
        </is>
      </c>
      <c r="C408" s="64" t="inlineStr">
        <is>
          <t>12. Linked List</t>
        </is>
      </c>
      <c r="D408" s="64" t="inlineStr">
        <is>
          <t>Rearrangement</t>
        </is>
      </c>
      <c r="E408" s="64" t="inlineStr">
        <is>
          <t>Swapping Nodes in a Linked List</t>
        </is>
      </c>
      <c r="F408" s="64" t="inlineStr">
        <is>
          <t>Medium</t>
        </is>
      </c>
      <c r="G408" s="64" t="inlineStr">
        <is>
          <t>Depth</t>
        </is>
      </c>
      <c r="H408" s="64" t="inlineStr">
        <is>
          <t>LeetCode</t>
        </is>
      </c>
      <c r="I408" s="64" t="inlineStr">
        <is>
          <t>https://leetcode.com/problems/swapping-nodes-in-a-linked-list/</t>
        </is>
      </c>
      <c r="J408" s="64" t="inlineStr">
        <is>
          <t>Not Started</t>
        </is>
      </c>
      <c r="K408" s="64" t="n"/>
      <c r="L408" s="64" t="n"/>
      <c r="M408" s="70" t="n"/>
      <c r="N408" s="70">
        <f>IF($M408="","",$M408+IF($K408="",Dashboard!$M$9,INDEX(Dashboard!$M$5:$M$9,$K408)))</f>
        <v/>
      </c>
      <c r="O408" s="64">
        <f>IF(OR($J408="Attempted",$J408="Revisit"),"DUE",IF($N408="","",IF($N408&lt;=TODAY(),"DUE","")))</f>
        <v/>
      </c>
      <c r="P408" s="64" t="inlineStr">
        <is>
          <t>v3 addition</t>
        </is>
      </c>
    </row>
    <row r="409" ht="15" customHeight="1" s="32">
      <c r="A409" s="64" t="n">
        <v>408</v>
      </c>
      <c r="B409" s="64" t="inlineStr">
        <is>
          <t>3. Linear DS - Depth</t>
        </is>
      </c>
      <c r="C409" s="64" t="inlineStr">
        <is>
          <t>12. Linked List</t>
        </is>
      </c>
      <c r="D409" s="64" t="inlineStr">
        <is>
          <t>Arithmetic</t>
        </is>
      </c>
      <c r="E409" s="64" t="inlineStr">
        <is>
          <t>Multiply Two Linked Lists</t>
        </is>
      </c>
      <c r="F409" s="64" t="inlineStr">
        <is>
          <t>Medium</t>
        </is>
      </c>
      <c r="G409" s="64" t="inlineStr">
        <is>
          <t>Depth</t>
        </is>
      </c>
      <c r="H409" s="64" t="inlineStr">
        <is>
          <t>GeeksforGeeks</t>
        </is>
      </c>
      <c r="I409" s="64" t="inlineStr">
        <is>
          <t>https://www.geeksforgeeks.org/search/?q=Multiply+Two+Linked+Lists</t>
        </is>
      </c>
      <c r="J409" s="64" t="inlineStr">
        <is>
          <t>Not Started</t>
        </is>
      </c>
      <c r="K409" s="64" t="n"/>
      <c r="L409" s="64" t="n"/>
      <c r="M409" s="70" t="n"/>
      <c r="N409" s="70">
        <f>IF($M409="","",$M409+IF($K409="",Dashboard!$M$9,INDEX(Dashboard!$M$5:$M$9,$K409)))</f>
        <v/>
      </c>
      <c r="O409" s="64">
        <f>IF(OR($J409="Attempted",$J409="Revisit"),"DUE",IF($N409="","",IF($N409&lt;=TODAY(),"DUE","")))</f>
        <v/>
      </c>
      <c r="P409" s="64" t="n"/>
    </row>
    <row r="410" ht="15" customHeight="1" s="32">
      <c r="A410" s="64" t="n">
        <v>409</v>
      </c>
      <c r="B410" s="64" t="inlineStr">
        <is>
          <t>3. Linear DS - Depth</t>
        </is>
      </c>
      <c r="C410" s="64" t="inlineStr">
        <is>
          <t>12. Linked List</t>
        </is>
      </c>
      <c r="D410" s="64" t="inlineStr">
        <is>
          <t>Arithmetic</t>
        </is>
      </c>
      <c r="E410" s="64" t="inlineStr">
        <is>
          <t>Subtract Two Numbers Represented as Linked Lists</t>
        </is>
      </c>
      <c r="F410" s="64" t="inlineStr">
        <is>
          <t>Medium</t>
        </is>
      </c>
      <c r="G410" s="64" t="inlineStr">
        <is>
          <t>Depth</t>
        </is>
      </c>
      <c r="H410" s="64" t="inlineStr">
        <is>
          <t>GeeksforGeeks</t>
        </is>
      </c>
      <c r="I410" s="64" t="inlineStr">
        <is>
          <t>https://www.geeksforgeeks.org/search/?q=Subtract+Two+Numbers+Represented+as+Linked+Lists</t>
        </is>
      </c>
      <c r="J410" s="64" t="inlineStr">
        <is>
          <t>Not Started</t>
        </is>
      </c>
      <c r="K410" s="64" t="n"/>
      <c r="L410" s="64" t="n"/>
      <c r="M410" s="70" t="n"/>
      <c r="N410" s="70">
        <f>IF($M410="","",$M410+IF($K410="",Dashboard!$M$9,INDEX(Dashboard!$M$5:$M$9,$K410)))</f>
        <v/>
      </c>
      <c r="O410" s="64">
        <f>IF(OR($J410="Attempted",$J410="Revisit"),"DUE",IF($N410="","",IF($N410&lt;=TODAY(),"DUE","")))</f>
        <v/>
      </c>
      <c r="P410" s="64" t="inlineStr">
        <is>
          <t>v3 addition</t>
        </is>
      </c>
    </row>
    <row r="411" ht="15" customHeight="1" s="32">
      <c r="A411" s="64" t="n">
        <v>410</v>
      </c>
      <c r="B411" s="64" t="inlineStr">
        <is>
          <t>3. Linear DS - Depth</t>
        </is>
      </c>
      <c r="C411" s="64" t="inlineStr">
        <is>
          <t>12. Linked List</t>
        </is>
      </c>
      <c r="D411" s="64" t="inlineStr">
        <is>
          <t>Arithmetic</t>
        </is>
      </c>
      <c r="E411" s="64" t="inlineStr">
        <is>
          <t>Plus One Linked List</t>
        </is>
      </c>
      <c r="F411" s="64" t="inlineStr">
        <is>
          <t>Medium</t>
        </is>
      </c>
      <c r="G411" s="64" t="inlineStr">
        <is>
          <t>Depth</t>
        </is>
      </c>
      <c r="H411" s="64" t="inlineStr">
        <is>
          <t>GeeksforGeeks</t>
        </is>
      </c>
      <c r="I411" s="64" t="inlineStr">
        <is>
          <t>https://www.geeksforgeeks.org/search/?q=Plus+One+Linked+List</t>
        </is>
      </c>
      <c r="J411" s="64" t="inlineStr">
        <is>
          <t>Not Started</t>
        </is>
      </c>
      <c r="K411" s="64" t="n"/>
      <c r="L411" s="64" t="n"/>
      <c r="M411" s="70" t="n"/>
      <c r="N411" s="70">
        <f>IF($M411="","",$M411+IF($K411="",Dashboard!$M$9,INDEX(Dashboard!$M$5:$M$9,$K411)))</f>
        <v/>
      </c>
      <c r="O411" s="64">
        <f>IF(OR($J411="Attempted",$J411="Revisit"),"DUE",IF($N411="","",IF($N411&lt;=TODAY(),"DUE","")))</f>
        <v/>
      </c>
      <c r="P411" s="64" t="inlineStr">
        <is>
          <t>v3 addition</t>
        </is>
      </c>
    </row>
    <row r="412" ht="15" customHeight="1" s="32">
      <c r="A412" s="64" t="n">
        <v>411</v>
      </c>
      <c r="B412" s="64" t="inlineStr">
        <is>
          <t>3. Linear DS - Depth</t>
        </is>
      </c>
      <c r="C412" s="64" t="inlineStr">
        <is>
          <t>12. Linked List</t>
        </is>
      </c>
      <c r="D412" s="64" t="inlineStr">
        <is>
          <t>Pointers</t>
        </is>
      </c>
      <c r="E412" s="64" t="inlineStr">
        <is>
          <t>Flatten a Multilevel Doubly Linked List</t>
        </is>
      </c>
      <c r="F412" s="64" t="inlineStr">
        <is>
          <t>Medium</t>
        </is>
      </c>
      <c r="G412" s="64" t="inlineStr">
        <is>
          <t>Depth</t>
        </is>
      </c>
      <c r="H412" s="64" t="inlineStr">
        <is>
          <t>LeetCode</t>
        </is>
      </c>
      <c r="I412" s="64" t="inlineStr">
        <is>
          <t>https://leetcode.com/problems/flatten-a-multilevel-doubly-linked-list/</t>
        </is>
      </c>
      <c r="J412" s="64" t="inlineStr">
        <is>
          <t>Not Started</t>
        </is>
      </c>
      <c r="K412" s="64" t="n"/>
      <c r="L412" s="64" t="n"/>
      <c r="M412" s="70" t="n"/>
      <c r="N412" s="70">
        <f>IF($M412="","",$M412+IF($K412="",Dashboard!$M$9,INDEX(Dashboard!$M$5:$M$9,$K412)))</f>
        <v/>
      </c>
      <c r="O412" s="64">
        <f>IF(OR($J412="Attempted",$J412="Revisit"),"DUE",IF($N412="","",IF($N412&lt;=TODAY(),"DUE","")))</f>
        <v/>
      </c>
      <c r="P412" s="64" t="inlineStr">
        <is>
          <t>v3 addition</t>
        </is>
      </c>
    </row>
    <row r="413" ht="15" customHeight="1" s="32">
      <c r="A413" s="64" t="n">
        <v>412</v>
      </c>
      <c r="B413" s="64" t="inlineStr">
        <is>
          <t>3. Linear DS - Depth</t>
        </is>
      </c>
      <c r="C413" s="64" t="inlineStr">
        <is>
          <t>12. Linked List</t>
        </is>
      </c>
      <c r="D413" s="64" t="inlineStr">
        <is>
          <t>Pointers</t>
        </is>
      </c>
      <c r="E413" s="64" t="inlineStr">
        <is>
          <t>Flattening a Linked List</t>
        </is>
      </c>
      <c r="F413" s="64" t="inlineStr">
        <is>
          <t>Medium</t>
        </is>
      </c>
      <c r="G413" s="64" t="inlineStr">
        <is>
          <t>Depth</t>
        </is>
      </c>
      <c r="H413" s="64" t="inlineStr">
        <is>
          <t>GeeksforGeeks</t>
        </is>
      </c>
      <c r="I413" s="64" t="inlineStr">
        <is>
          <t>https://www.geeksforgeeks.org/problems/flattening-a-linked-list/1</t>
        </is>
      </c>
      <c r="J413" s="64" t="inlineStr">
        <is>
          <t>Not Started</t>
        </is>
      </c>
      <c r="K413" s="64" t="n"/>
      <c r="L413" s="64" t="n"/>
      <c r="M413" s="70" t="n"/>
      <c r="N413" s="70">
        <f>IF($M413="","",$M413+IF($K413="",Dashboard!$M$9,INDEX(Dashboard!$M$5:$M$9,$K413)))</f>
        <v/>
      </c>
      <c r="O413" s="64">
        <f>IF(OR($J413="Attempted",$J413="Revisit"),"DUE",IF($N413="","",IF($N413&lt;=TODAY(),"DUE","")))</f>
        <v/>
      </c>
      <c r="P413" s="64" t="n"/>
    </row>
    <row r="414" ht="15" customHeight="1" s="32">
      <c r="A414" s="64" t="n">
        <v>413</v>
      </c>
      <c r="B414" s="64" t="inlineStr">
        <is>
          <t>3. Linear DS - Depth</t>
        </is>
      </c>
      <c r="C414" s="64" t="inlineStr">
        <is>
          <t>12. Linked List</t>
        </is>
      </c>
      <c r="D414" s="64" t="inlineStr">
        <is>
          <t>Sorting</t>
        </is>
      </c>
      <c r="E414" s="64" t="inlineStr">
        <is>
          <t>Insertion Sort List</t>
        </is>
      </c>
      <c r="F414" s="64" t="inlineStr">
        <is>
          <t>Medium</t>
        </is>
      </c>
      <c r="G414" s="64" t="inlineStr">
        <is>
          <t>Depth</t>
        </is>
      </c>
      <c r="H414" s="64" t="inlineStr">
        <is>
          <t>LeetCode</t>
        </is>
      </c>
      <c r="I414" s="64" t="inlineStr">
        <is>
          <t>https://leetcode.com/problems/insertion-sort-list/</t>
        </is>
      </c>
      <c r="J414" s="64" t="inlineStr">
        <is>
          <t>Not Started</t>
        </is>
      </c>
      <c r="K414" s="64" t="n"/>
      <c r="L414" s="64" t="n"/>
      <c r="M414" s="70" t="n"/>
      <c r="N414" s="70">
        <f>IF($M414="","",$M414+IF($K414="",Dashboard!$M$9,INDEX(Dashboard!$M$5:$M$9,$K414)))</f>
        <v/>
      </c>
      <c r="O414" s="64">
        <f>IF(OR($J414="Attempted",$J414="Revisit"),"DUE",IF($N414="","",IF($N414&lt;=TODAY(),"DUE","")))</f>
        <v/>
      </c>
      <c r="P414" s="64" t="inlineStr">
        <is>
          <t>v3 addition</t>
        </is>
      </c>
    </row>
    <row r="415" ht="15" customHeight="1" s="32">
      <c r="A415" s="64" t="n">
        <v>414</v>
      </c>
      <c r="B415" s="64" t="inlineStr">
        <is>
          <t>3. Linear DS - Depth</t>
        </is>
      </c>
      <c r="C415" s="64" t="inlineStr">
        <is>
          <t>13. Stack &amp; Queue</t>
        </is>
      </c>
      <c r="D415" s="64" t="inlineStr">
        <is>
          <t>Parentheses</t>
        </is>
      </c>
      <c r="E415" s="64" t="inlineStr">
        <is>
          <t>Minimum Remove to Make Valid Parentheses</t>
        </is>
      </c>
      <c r="F415" s="64" t="inlineStr">
        <is>
          <t>Medium</t>
        </is>
      </c>
      <c r="G415" s="64" t="inlineStr">
        <is>
          <t>Depth</t>
        </is>
      </c>
      <c r="H415" s="64" t="inlineStr">
        <is>
          <t>LeetCode</t>
        </is>
      </c>
      <c r="I415" s="64" t="inlineStr">
        <is>
          <t>https://leetcode.com/problems/minimum-remove-to-make-valid-parentheses/</t>
        </is>
      </c>
      <c r="J415" s="64" t="inlineStr">
        <is>
          <t>Not Started</t>
        </is>
      </c>
      <c r="K415" s="64" t="n"/>
      <c r="L415" s="64" t="n"/>
      <c r="M415" s="70" t="n"/>
      <c r="N415" s="70">
        <f>IF($M415="","",$M415+IF($K415="",Dashboard!$M$9,INDEX(Dashboard!$M$5:$M$9,$K415)))</f>
        <v/>
      </c>
      <c r="O415" s="64">
        <f>IF(OR($J415="Attempted",$J415="Revisit"),"DUE",IF($N415="","",IF($N415&lt;=TODAY(),"DUE","")))</f>
        <v/>
      </c>
      <c r="P415" s="64" t="inlineStr">
        <is>
          <t>v3 addition</t>
        </is>
      </c>
    </row>
    <row r="416" ht="15" customHeight="1" s="32">
      <c r="A416" s="64" t="n">
        <v>415</v>
      </c>
      <c r="B416" s="64" t="inlineStr">
        <is>
          <t>3. Linear DS - Depth</t>
        </is>
      </c>
      <c r="C416" s="64" t="inlineStr">
        <is>
          <t>13. Stack &amp; Queue</t>
        </is>
      </c>
      <c r="D416" s="64" t="inlineStr">
        <is>
          <t>Design</t>
        </is>
      </c>
      <c r="E416" s="64" t="inlineStr">
        <is>
          <t>Design Front Middle Back Queue</t>
        </is>
      </c>
      <c r="F416" s="64" t="inlineStr">
        <is>
          <t>Medium</t>
        </is>
      </c>
      <c r="G416" s="64" t="inlineStr">
        <is>
          <t>Depth</t>
        </is>
      </c>
      <c r="H416" s="64" t="inlineStr">
        <is>
          <t>LeetCode</t>
        </is>
      </c>
      <c r="I416" s="64" t="inlineStr">
        <is>
          <t>https://leetcode.com/problems/design-front-middle-back-queue/</t>
        </is>
      </c>
      <c r="J416" s="64" t="inlineStr">
        <is>
          <t>Not Started</t>
        </is>
      </c>
      <c r="K416" s="64" t="n"/>
      <c r="L416" s="64" t="n"/>
      <c r="M416" s="70" t="n"/>
      <c r="N416" s="70">
        <f>IF($M416="","",$M416+IF($K416="",Dashboard!$M$9,INDEX(Dashboard!$M$5:$M$9,$K416)))</f>
        <v/>
      </c>
      <c r="O416" s="64">
        <f>IF(OR($J416="Attempted",$J416="Revisit"),"DUE",IF($N416="","",IF($N416&lt;=TODAY(),"DUE","")))</f>
        <v/>
      </c>
      <c r="P416" s="64" t="n"/>
    </row>
    <row r="417" ht="15" customHeight="1" s="32">
      <c r="A417" s="64" t="n">
        <v>416</v>
      </c>
      <c r="B417" s="64" t="inlineStr">
        <is>
          <t>3. Linear DS - Depth</t>
        </is>
      </c>
      <c r="C417" s="64" t="inlineStr">
        <is>
          <t>13. Stack &amp; Queue</t>
        </is>
      </c>
      <c r="D417" s="64" t="inlineStr">
        <is>
          <t>Design</t>
        </is>
      </c>
      <c r="E417" s="64" t="inlineStr">
        <is>
          <t>Design Circular Deque</t>
        </is>
      </c>
      <c r="F417" s="64" t="inlineStr">
        <is>
          <t>Medium</t>
        </is>
      </c>
      <c r="G417" s="64" t="inlineStr">
        <is>
          <t>Depth</t>
        </is>
      </c>
      <c r="H417" s="64" t="inlineStr">
        <is>
          <t>LeetCode</t>
        </is>
      </c>
      <c r="I417" s="64" t="inlineStr">
        <is>
          <t>https://leetcode.com/problems/design-circular-deque/</t>
        </is>
      </c>
      <c r="J417" s="64" t="inlineStr">
        <is>
          <t>Not Started</t>
        </is>
      </c>
      <c r="K417" s="64" t="n"/>
      <c r="L417" s="64" t="n"/>
      <c r="M417" s="70" t="n"/>
      <c r="N417" s="70">
        <f>IF($M417="","",$M417+IF($K417="",Dashboard!$M$9,INDEX(Dashboard!$M$5:$M$9,$K417)))</f>
        <v/>
      </c>
      <c r="O417" s="64">
        <f>IF(OR($J417="Attempted",$J417="Revisit"),"DUE",IF($N417="","",IF($N417&lt;=TODAY(),"DUE","")))</f>
        <v/>
      </c>
      <c r="P417" s="64" t="n"/>
    </row>
    <row r="418" ht="15" customHeight="1" s="32">
      <c r="A418" s="64" t="n">
        <v>417</v>
      </c>
      <c r="B418" s="64" t="inlineStr">
        <is>
          <t>3. Linear DS - Depth</t>
        </is>
      </c>
      <c r="C418" s="64" t="inlineStr">
        <is>
          <t>13. Stack &amp; Queue</t>
        </is>
      </c>
      <c r="D418" s="64" t="inlineStr">
        <is>
          <t>Design</t>
        </is>
      </c>
      <c r="E418" s="64" t="inlineStr">
        <is>
          <t>Design Circular Queue</t>
        </is>
      </c>
      <c r="F418" s="64" t="inlineStr">
        <is>
          <t>Medium</t>
        </is>
      </c>
      <c r="G418" s="64" t="inlineStr">
        <is>
          <t>Depth</t>
        </is>
      </c>
      <c r="H418" s="64" t="inlineStr">
        <is>
          <t>LeetCode</t>
        </is>
      </c>
      <c r="I418" s="64" t="inlineStr">
        <is>
          <t>https://leetcode.com/problems/design-circular-queue/</t>
        </is>
      </c>
      <c r="J418" s="64" t="inlineStr">
        <is>
          <t>Not Started</t>
        </is>
      </c>
      <c r="K418" s="64" t="n"/>
      <c r="L418" s="64" t="n"/>
      <c r="M418" s="70" t="n"/>
      <c r="N418" s="70">
        <f>IF($M418="","",$M418+IF($K418="",Dashboard!$M$9,INDEX(Dashboard!$M$5:$M$9,$K418)))</f>
        <v/>
      </c>
      <c r="O418" s="64">
        <f>IF(OR($J418="Attempted",$J418="Revisit"),"DUE",IF($N418="","",IF($N418&lt;=TODAY(),"DUE","")))</f>
        <v/>
      </c>
      <c r="P418" s="64" t="inlineStr">
        <is>
          <t>v3 addition</t>
        </is>
      </c>
    </row>
    <row r="419" ht="15" customHeight="1" s="32">
      <c r="A419" s="64" t="n">
        <v>418</v>
      </c>
      <c r="B419" s="64" t="inlineStr">
        <is>
          <t>3. Linear DS - Depth</t>
        </is>
      </c>
      <c r="C419" s="64" t="inlineStr">
        <is>
          <t>13. Stack &amp; Queue</t>
        </is>
      </c>
      <c r="D419" s="64" t="inlineStr">
        <is>
          <t>Simulation</t>
        </is>
      </c>
      <c r="E419" s="64" t="inlineStr">
        <is>
          <t>Remove All Adjacent Duplicates in String II</t>
        </is>
      </c>
      <c r="F419" s="64" t="inlineStr">
        <is>
          <t>Medium</t>
        </is>
      </c>
      <c r="G419" s="64" t="inlineStr">
        <is>
          <t>Depth</t>
        </is>
      </c>
      <c r="H419" s="64" t="inlineStr">
        <is>
          <t>LeetCode</t>
        </is>
      </c>
      <c r="I419" s="64" t="inlineStr">
        <is>
          <t>https://leetcode.com/problems/remove-all-adjacent-duplicates-in-string-ii/</t>
        </is>
      </c>
      <c r="J419" s="64" t="inlineStr">
        <is>
          <t>Not Started</t>
        </is>
      </c>
      <c r="K419" s="64" t="n"/>
      <c r="L419" s="64" t="n"/>
      <c r="M419" s="70" t="n"/>
      <c r="N419" s="70">
        <f>IF($M419="","",$M419+IF($K419="",Dashboard!$M$9,INDEX(Dashboard!$M$5:$M$9,$K419)))</f>
        <v/>
      </c>
      <c r="O419" s="64">
        <f>IF(OR($J419="Attempted",$J419="Revisit"),"DUE",IF($N419="","",IF($N419&lt;=TODAY(),"DUE","")))</f>
        <v/>
      </c>
      <c r="P419" s="64" t="inlineStr">
        <is>
          <t>v3 addition</t>
        </is>
      </c>
    </row>
    <row r="420" ht="15" customHeight="1" s="32">
      <c r="A420" s="64" t="n">
        <v>419</v>
      </c>
      <c r="B420" s="64" t="inlineStr">
        <is>
          <t>3. Linear DS - Depth</t>
        </is>
      </c>
      <c r="C420" s="64" t="inlineStr">
        <is>
          <t>13. Stack &amp; Queue</t>
        </is>
      </c>
      <c r="D420" s="64" t="inlineStr">
        <is>
          <t>Simulation</t>
        </is>
      </c>
      <c r="E420" s="64" t="inlineStr">
        <is>
          <t>Simplify Path</t>
        </is>
      </c>
      <c r="F420" s="64" t="inlineStr">
        <is>
          <t>Medium</t>
        </is>
      </c>
      <c r="G420" s="64" t="inlineStr">
        <is>
          <t>Depth</t>
        </is>
      </c>
      <c r="H420" s="64" t="inlineStr">
        <is>
          <t>LeetCode</t>
        </is>
      </c>
      <c r="I420" s="64" t="inlineStr">
        <is>
          <t>https://leetcode.com/problems/simplify-path/</t>
        </is>
      </c>
      <c r="J420" s="64" t="inlineStr">
        <is>
          <t>Not Started</t>
        </is>
      </c>
      <c r="K420" s="64" t="n"/>
      <c r="L420" s="64" t="n"/>
      <c r="M420" s="70" t="n"/>
      <c r="N420" s="70">
        <f>IF($M420="","",$M420+IF($K420="",Dashboard!$M$9,INDEX(Dashboard!$M$5:$M$9,$K420)))</f>
        <v/>
      </c>
      <c r="O420" s="64">
        <f>IF(OR($J420="Attempted",$J420="Revisit"),"DUE",IF($N420="","",IF($N420&lt;=TODAY(),"DUE","")))</f>
        <v/>
      </c>
      <c r="P420" s="64" t="n"/>
    </row>
    <row r="421" ht="15" customHeight="1" s="32">
      <c r="A421" s="64" t="n">
        <v>420</v>
      </c>
      <c r="B421" s="64" t="inlineStr">
        <is>
          <t>3. Linear DS - Depth</t>
        </is>
      </c>
      <c r="C421" s="64" t="inlineStr">
        <is>
          <t>13. Stack &amp; Queue</t>
        </is>
      </c>
      <c r="D421" s="64" t="inlineStr">
        <is>
          <t>Simulation</t>
        </is>
      </c>
      <c r="E421" s="64" t="inlineStr">
        <is>
          <t>Asteroid Collision</t>
        </is>
      </c>
      <c r="F421" s="64" t="inlineStr">
        <is>
          <t>Medium</t>
        </is>
      </c>
      <c r="G421" s="64" t="inlineStr">
        <is>
          <t>Depth</t>
        </is>
      </c>
      <c r="H421" s="64" t="inlineStr">
        <is>
          <t>LeetCode</t>
        </is>
      </c>
      <c r="I421" s="64" t="inlineStr">
        <is>
          <t>https://leetcode.com/problems/asteroid-collision/</t>
        </is>
      </c>
      <c r="J421" s="64" t="inlineStr">
        <is>
          <t>Not Started</t>
        </is>
      </c>
      <c r="K421" s="64" t="n"/>
      <c r="L421" s="64" t="n"/>
      <c r="M421" s="70" t="n"/>
      <c r="N421" s="70">
        <f>IF($M421="","",$M421+IF($K421="",Dashboard!$M$9,INDEX(Dashboard!$M$5:$M$9,$K421)))</f>
        <v/>
      </c>
      <c r="O421" s="64">
        <f>IF(OR($J421="Attempted",$J421="Revisit"),"DUE",IF($N421="","",IF($N421&lt;=TODAY(),"DUE","")))</f>
        <v/>
      </c>
      <c r="P421" s="64" t="n"/>
    </row>
    <row r="422" ht="15" customHeight="1" s="32">
      <c r="A422" s="64" t="n">
        <v>421</v>
      </c>
      <c r="B422" s="64" t="inlineStr">
        <is>
          <t>3. Linear DS - Depth</t>
        </is>
      </c>
      <c r="C422" s="64" t="inlineStr">
        <is>
          <t>13. Stack &amp; Queue</t>
        </is>
      </c>
      <c r="D422" s="64" t="inlineStr">
        <is>
          <t>Simulation</t>
        </is>
      </c>
      <c r="E422" s="64" t="inlineStr">
        <is>
          <t>The Celebrity Problem</t>
        </is>
      </c>
      <c r="F422" s="64" t="inlineStr">
        <is>
          <t>Medium</t>
        </is>
      </c>
      <c r="G422" s="64" t="inlineStr">
        <is>
          <t>Depth</t>
        </is>
      </c>
      <c r="H422" s="64" t="inlineStr">
        <is>
          <t>GeeksforGeeks</t>
        </is>
      </c>
      <c r="I422" s="64" t="inlineStr">
        <is>
          <t>https://www.geeksforgeeks.org/problems/the-celebrity-problem/1</t>
        </is>
      </c>
      <c r="J422" s="64" t="inlineStr">
        <is>
          <t>Not Started</t>
        </is>
      </c>
      <c r="K422" s="64" t="n"/>
      <c r="L422" s="64" t="n"/>
      <c r="M422" s="70" t="n"/>
      <c r="N422" s="70">
        <f>IF($M422="","",$M422+IF($K422="",Dashboard!$M$9,INDEX(Dashboard!$M$5:$M$9,$K422)))</f>
        <v/>
      </c>
      <c r="O422" s="64">
        <f>IF(OR($J422="Attempted",$J422="Revisit"),"DUE",IF($N422="","",IF($N422&lt;=TODAY(),"DUE","")))</f>
        <v/>
      </c>
      <c r="P422" s="64" t="n"/>
    </row>
    <row r="423" ht="15" customHeight="1" s="32">
      <c r="A423" s="64" t="n">
        <v>422</v>
      </c>
      <c r="B423" s="64" t="inlineStr">
        <is>
          <t>3. Linear DS - Depth</t>
        </is>
      </c>
      <c r="C423" s="64" t="inlineStr">
        <is>
          <t>13. Stack &amp; Queue</t>
        </is>
      </c>
      <c r="D423" s="64" t="inlineStr">
        <is>
          <t>Expression</t>
        </is>
      </c>
      <c r="E423" s="64" t="inlineStr">
        <is>
          <t>Infix to Postfix Conversion</t>
        </is>
      </c>
      <c r="F423" s="64" t="inlineStr">
        <is>
          <t>Medium</t>
        </is>
      </c>
      <c r="G423" s="64" t="inlineStr">
        <is>
          <t>Depth</t>
        </is>
      </c>
      <c r="H423" s="64" t="inlineStr">
        <is>
          <t>GeeksforGeeks</t>
        </is>
      </c>
      <c r="I423" s="64" t="inlineStr">
        <is>
          <t>https://www.geeksforgeeks.org/problems/infix-to-postfix-1587115620/1</t>
        </is>
      </c>
      <c r="J423" s="64" t="inlineStr">
        <is>
          <t>Not Started</t>
        </is>
      </c>
      <c r="K423" s="64" t="n"/>
      <c r="L423" s="64" t="n"/>
      <c r="M423" s="70" t="n"/>
      <c r="N423" s="70">
        <f>IF($M423="","",$M423+IF($K423="",Dashboard!$M$9,INDEX(Dashboard!$M$5:$M$9,$K423)))</f>
        <v/>
      </c>
      <c r="O423" s="64">
        <f>IF(OR($J423="Attempted",$J423="Revisit"),"DUE",IF($N423="","",IF($N423&lt;=TODAY(),"DUE","")))</f>
        <v/>
      </c>
      <c r="P423" s="64" t="n"/>
    </row>
    <row r="424" ht="15" customHeight="1" s="32">
      <c r="A424" s="64" t="n">
        <v>423</v>
      </c>
      <c r="B424" s="64" t="inlineStr">
        <is>
          <t>3. Linear DS - Depth</t>
        </is>
      </c>
      <c r="C424" s="64" t="inlineStr">
        <is>
          <t>13. Stack &amp; Queue</t>
        </is>
      </c>
      <c r="D424" s="64" t="inlineStr">
        <is>
          <t>Monotonic stack</t>
        </is>
      </c>
      <c r="E424" s="64" t="inlineStr">
        <is>
          <t>Online Stock Span</t>
        </is>
      </c>
      <c r="F424" s="64" t="inlineStr">
        <is>
          <t>Medium</t>
        </is>
      </c>
      <c r="G424" s="64" t="inlineStr">
        <is>
          <t>Depth</t>
        </is>
      </c>
      <c r="H424" s="64" t="inlineStr">
        <is>
          <t>LeetCode</t>
        </is>
      </c>
      <c r="I424" s="64" t="inlineStr">
        <is>
          <t>https://leetcode.com/problems/online-stock-span/</t>
        </is>
      </c>
      <c r="J424" s="64" t="inlineStr">
        <is>
          <t>Not Started</t>
        </is>
      </c>
      <c r="K424" s="64" t="n"/>
      <c r="L424" s="64" t="n"/>
      <c r="M424" s="70" t="n"/>
      <c r="N424" s="70">
        <f>IF($M424="","",$M424+IF($K424="",Dashboard!$M$9,INDEX(Dashboard!$M$5:$M$9,$K424)))</f>
        <v/>
      </c>
      <c r="O424" s="64">
        <f>IF(OR($J424="Attempted",$J424="Revisit"),"DUE",IF($N424="","",IF($N424&lt;=TODAY(),"DUE","")))</f>
        <v/>
      </c>
      <c r="P424" s="64" t="n"/>
    </row>
    <row r="425" ht="15" customHeight="1" s="32">
      <c r="A425" s="64" t="n">
        <v>424</v>
      </c>
      <c r="B425" s="64" t="inlineStr">
        <is>
          <t>3. Linear DS - Depth</t>
        </is>
      </c>
      <c r="C425" s="64" t="inlineStr">
        <is>
          <t>13. Stack &amp; Queue</t>
        </is>
      </c>
      <c r="D425" s="64" t="inlineStr">
        <is>
          <t>Monotonic stack</t>
        </is>
      </c>
      <c r="E425" s="64" t="inlineStr">
        <is>
          <t>132 Pattern</t>
        </is>
      </c>
      <c r="F425" s="64" t="inlineStr">
        <is>
          <t>Medium</t>
        </is>
      </c>
      <c r="G425" s="64" t="inlineStr">
        <is>
          <t>Depth</t>
        </is>
      </c>
      <c r="H425" s="64" t="inlineStr">
        <is>
          <t>LeetCode</t>
        </is>
      </c>
      <c r="I425" s="64" t="inlineStr">
        <is>
          <t>https://leetcode.com/problems/132-pattern/</t>
        </is>
      </c>
      <c r="J425" s="64" t="inlineStr">
        <is>
          <t>Not Started</t>
        </is>
      </c>
      <c r="K425" s="64" t="n"/>
      <c r="L425" s="64" t="n"/>
      <c r="M425" s="70" t="n"/>
      <c r="N425" s="70">
        <f>IF($M425="","",$M425+IF($K425="",Dashboard!$M$9,INDEX(Dashboard!$M$5:$M$9,$K425)))</f>
        <v/>
      </c>
      <c r="O425" s="64">
        <f>IF(OR($J425="Attempted",$J425="Revisit"),"DUE",IF($N425="","",IF($N425&lt;=TODAY(),"DUE","")))</f>
        <v/>
      </c>
      <c r="P425" s="64" t="n"/>
    </row>
    <row r="426" ht="15" customHeight="1" s="32">
      <c r="A426" s="64" t="n">
        <v>425</v>
      </c>
      <c r="B426" s="64" t="inlineStr">
        <is>
          <t>3. Linear DS - Depth</t>
        </is>
      </c>
      <c r="C426" s="64" t="inlineStr">
        <is>
          <t>13. Stack &amp; Queue</t>
        </is>
      </c>
      <c r="D426" s="64" t="inlineStr">
        <is>
          <t>Monotonic stack</t>
        </is>
      </c>
      <c r="E426" s="64" t="inlineStr">
        <is>
          <t>Car Fleet</t>
        </is>
      </c>
      <c r="F426" s="64" t="inlineStr">
        <is>
          <t>Medium</t>
        </is>
      </c>
      <c r="G426" s="64" t="inlineStr">
        <is>
          <t>Depth</t>
        </is>
      </c>
      <c r="H426" s="64" t="inlineStr">
        <is>
          <t>LeetCode</t>
        </is>
      </c>
      <c r="I426" s="64" t="inlineStr">
        <is>
          <t>https://leetcode.com/problems/car-fleet/</t>
        </is>
      </c>
      <c r="J426" s="64" t="inlineStr">
        <is>
          <t>Not Started</t>
        </is>
      </c>
      <c r="K426" s="64" t="n"/>
      <c r="L426" s="64" t="n"/>
      <c r="M426" s="70" t="n"/>
      <c r="N426" s="70">
        <f>IF($M426="","",$M426+IF($K426="",Dashboard!$M$9,INDEX(Dashboard!$M$5:$M$9,$K426)))</f>
        <v/>
      </c>
      <c r="O426" s="64">
        <f>IF(OR($J426="Attempted",$J426="Revisit"),"DUE",IF($N426="","",IF($N426&lt;=TODAY(),"DUE","")))</f>
        <v/>
      </c>
      <c r="P426" s="64" t="n"/>
    </row>
    <row r="427" ht="15" customHeight="1" s="32">
      <c r="A427" s="64" t="n">
        <v>426</v>
      </c>
      <c r="B427" s="64" t="inlineStr">
        <is>
          <t>3. Linear DS - Depth</t>
        </is>
      </c>
      <c r="C427" s="64" t="inlineStr">
        <is>
          <t>13. Stack &amp; Queue</t>
        </is>
      </c>
      <c r="D427" s="64" t="inlineStr">
        <is>
          <t>Monotonic stack</t>
        </is>
      </c>
      <c r="E427" s="64" t="inlineStr">
        <is>
          <t>Remove K Digits</t>
        </is>
      </c>
      <c r="F427" s="64" t="inlineStr">
        <is>
          <t>Medium</t>
        </is>
      </c>
      <c r="G427" s="64" t="inlineStr">
        <is>
          <t>Depth</t>
        </is>
      </c>
      <c r="H427" s="64" t="inlineStr">
        <is>
          <t>LeetCode</t>
        </is>
      </c>
      <c r="I427" s="64" t="inlineStr">
        <is>
          <t>https://leetcode.com/problems/remove-k-digits/</t>
        </is>
      </c>
      <c r="J427" s="64" t="inlineStr">
        <is>
          <t>Not Started</t>
        </is>
      </c>
      <c r="K427" s="64" t="n"/>
      <c r="L427" s="64" t="n"/>
      <c r="M427" s="70" t="n"/>
      <c r="N427" s="70">
        <f>IF($M427="","",$M427+IF($K427="",Dashboard!$M$9,INDEX(Dashboard!$M$5:$M$9,$K427)))</f>
        <v/>
      </c>
      <c r="O427" s="64">
        <f>IF(OR($J427="Attempted",$J427="Revisit"),"DUE",IF($N427="","",IF($N427&lt;=TODAY(),"DUE","")))</f>
        <v/>
      </c>
      <c r="P427" s="64" t="n"/>
    </row>
    <row r="428" ht="15" customHeight="1" s="32">
      <c r="A428" s="64" t="n">
        <v>427</v>
      </c>
      <c r="B428" s="64" t="inlineStr">
        <is>
          <t>3. Linear DS - Depth</t>
        </is>
      </c>
      <c r="C428" s="64" t="inlineStr">
        <is>
          <t>13. Stack &amp; Queue</t>
        </is>
      </c>
      <c r="D428" s="64" t="inlineStr">
        <is>
          <t>Monotonic stack</t>
        </is>
      </c>
      <c r="E428" s="64" t="inlineStr">
        <is>
          <t>Sum of Subarray Minimums</t>
        </is>
      </c>
      <c r="F428" s="64" t="inlineStr">
        <is>
          <t>Medium</t>
        </is>
      </c>
      <c r="G428" s="64" t="inlineStr">
        <is>
          <t>Depth</t>
        </is>
      </c>
      <c r="H428" s="64" t="inlineStr">
        <is>
          <t>LeetCode</t>
        </is>
      </c>
      <c r="I428" s="64" t="inlineStr">
        <is>
          <t>https://leetcode.com/problems/sum-of-subarray-minimums/</t>
        </is>
      </c>
      <c r="J428" s="64" t="inlineStr">
        <is>
          <t>Not Started</t>
        </is>
      </c>
      <c r="K428" s="64" t="n"/>
      <c r="L428" s="64" t="n"/>
      <c r="M428" s="70" t="n"/>
      <c r="N428" s="70">
        <f>IF($M428="","",$M428+IF($K428="",Dashboard!$M$9,INDEX(Dashboard!$M$5:$M$9,$K428)))</f>
        <v/>
      </c>
      <c r="O428" s="64">
        <f>IF(OR($J428="Attempted",$J428="Revisit"),"DUE",IF($N428="","",IF($N428&lt;=TODAY(),"DUE","")))</f>
        <v/>
      </c>
      <c r="P428" s="64" t="n"/>
    </row>
    <row r="429" ht="15" customHeight="1" s="32">
      <c r="A429" s="64" t="n">
        <v>428</v>
      </c>
      <c r="B429" s="64" t="inlineStr">
        <is>
          <t>3. Linear DS - Depth</t>
        </is>
      </c>
      <c r="C429" s="64" t="inlineStr">
        <is>
          <t>13. Stack &amp; Queue</t>
        </is>
      </c>
      <c r="D429" s="64" t="inlineStr">
        <is>
          <t>Monotonic deque</t>
        </is>
      </c>
      <c r="E429" s="64" t="inlineStr">
        <is>
          <t>Longest Continuous Subarray With Absolute Diff Less Than or Equal to Limit</t>
        </is>
      </c>
      <c r="F429" s="64" t="inlineStr">
        <is>
          <t>Medium</t>
        </is>
      </c>
      <c r="G429" s="64" t="inlineStr">
        <is>
          <t>Depth</t>
        </is>
      </c>
      <c r="H429" s="64" t="inlineStr">
        <is>
          <t>LeetCode</t>
        </is>
      </c>
      <c r="I429" s="64" t="inlineStr">
        <is>
          <t>https://leetcode.com/problems/longest-continuous-subarray-with-absolute-diff-less-than-or-equal-to-limit/</t>
        </is>
      </c>
      <c r="J429" s="64" t="inlineStr">
        <is>
          <t>Not Started</t>
        </is>
      </c>
      <c r="K429" s="64" t="n"/>
      <c r="L429" s="64" t="n"/>
      <c r="M429" s="70" t="n"/>
      <c r="N429" s="70">
        <f>IF($M429="","",$M429+IF($K429="",Dashboard!$M$9,INDEX(Dashboard!$M$5:$M$9,$K429)))</f>
        <v/>
      </c>
      <c r="O429" s="64">
        <f>IF(OR($J429="Attempted",$J429="Revisit"),"DUE",IF($N429="","",IF($N429&lt;=TODAY(),"DUE","")))</f>
        <v/>
      </c>
      <c r="P429" s="64" t="n"/>
    </row>
    <row r="430" ht="15" customHeight="1" s="32">
      <c r="A430" s="64" t="n">
        <v>429</v>
      </c>
      <c r="B430" s="64" t="inlineStr">
        <is>
          <t>3. Linear DS - Depth</t>
        </is>
      </c>
      <c r="C430" s="64" t="inlineStr">
        <is>
          <t>13. Stack &amp; Queue</t>
        </is>
      </c>
      <c r="D430" s="64" t="inlineStr">
        <is>
          <t>Monotonic deque</t>
        </is>
      </c>
      <c r="E430" s="64" t="inlineStr">
        <is>
          <t>Jump Game VI</t>
        </is>
      </c>
      <c r="F430" s="64" t="inlineStr">
        <is>
          <t>Medium</t>
        </is>
      </c>
      <c r="G430" s="64" t="inlineStr">
        <is>
          <t>Depth</t>
        </is>
      </c>
      <c r="H430" s="64" t="inlineStr">
        <is>
          <t>LeetCode</t>
        </is>
      </c>
      <c r="I430" s="64" t="inlineStr">
        <is>
          <t>https://leetcode.com/problems/jump-game-vi/</t>
        </is>
      </c>
      <c r="J430" s="64" t="inlineStr">
        <is>
          <t>Not Started</t>
        </is>
      </c>
      <c r="K430" s="64" t="n"/>
      <c r="L430" s="64" t="n"/>
      <c r="M430" s="70" t="n"/>
      <c r="N430" s="70">
        <f>IF($M430="","",$M430+IF($K430="",Dashboard!$M$9,INDEX(Dashboard!$M$5:$M$9,$K430)))</f>
        <v/>
      </c>
      <c r="O430" s="64">
        <f>IF(OR($J430="Attempted",$J430="Revisit"),"DUE",IF($N430="","",IF($N430&lt;=TODAY(),"DUE","")))</f>
        <v/>
      </c>
      <c r="P430" s="64" t="n"/>
    </row>
    <row r="431" ht="15" customHeight="1" s="32">
      <c r="A431" s="64" t="n">
        <v>430</v>
      </c>
      <c r="B431" s="64" t="inlineStr">
        <is>
          <t>3. Linear DS - Depth</t>
        </is>
      </c>
      <c r="C431" s="64" t="inlineStr">
        <is>
          <t>14. Heap &amp; Priority Queue</t>
        </is>
      </c>
      <c r="D431" s="64" t="inlineStr">
        <is>
          <t>Kth element</t>
        </is>
      </c>
      <c r="E431" s="64" t="inlineStr">
        <is>
          <t>Kth Smallest Element</t>
        </is>
      </c>
      <c r="F431" s="64" t="inlineStr">
        <is>
          <t>Medium</t>
        </is>
      </c>
      <c r="G431" s="64" t="inlineStr">
        <is>
          <t>Depth</t>
        </is>
      </c>
      <c r="H431" s="64" t="inlineStr">
        <is>
          <t>GeeksforGeeks</t>
        </is>
      </c>
      <c r="I431" s="64" t="inlineStr">
        <is>
          <t>https://www.geeksforgeeks.org/problems/kth-smallest-element5635/1</t>
        </is>
      </c>
      <c r="J431" s="64" t="inlineStr">
        <is>
          <t>Not Started</t>
        </is>
      </c>
      <c r="K431" s="64" t="n"/>
      <c r="L431" s="64" t="n"/>
      <c r="M431" s="70" t="n"/>
      <c r="N431" s="70">
        <f>IF($M431="","",$M431+IF($K431="",Dashboard!$M$9,INDEX(Dashboard!$M$5:$M$9,$K431)))</f>
        <v/>
      </c>
      <c r="O431" s="64">
        <f>IF(OR($J431="Attempted",$J431="Revisit"),"DUE",IF($N431="","",IF($N431&lt;=TODAY(),"DUE","")))</f>
        <v/>
      </c>
      <c r="P431" s="64" t="n"/>
    </row>
    <row r="432" ht="15" customHeight="1" s="32">
      <c r="A432" s="64" t="n">
        <v>431</v>
      </c>
      <c r="B432" s="64" t="inlineStr">
        <is>
          <t>3. Linear DS - Depth</t>
        </is>
      </c>
      <c r="C432" s="64" t="inlineStr">
        <is>
          <t>14. Heap &amp; Priority Queue</t>
        </is>
      </c>
      <c r="D432" s="64" t="inlineStr">
        <is>
          <t>Kth element</t>
        </is>
      </c>
      <c r="E432" s="64" t="inlineStr">
        <is>
          <t>Ugly Number II</t>
        </is>
      </c>
      <c r="F432" s="64" t="inlineStr">
        <is>
          <t>Medium</t>
        </is>
      </c>
      <c r="G432" s="64" t="inlineStr">
        <is>
          <t>Depth</t>
        </is>
      </c>
      <c r="H432" s="64" t="inlineStr">
        <is>
          <t>LeetCode</t>
        </is>
      </c>
      <c r="I432" s="64" t="inlineStr">
        <is>
          <t>https://leetcode.com/problems/ugly-number-ii/</t>
        </is>
      </c>
      <c r="J432" s="64" t="inlineStr">
        <is>
          <t>Not Started</t>
        </is>
      </c>
      <c r="K432" s="64" t="n"/>
      <c r="L432" s="64" t="n"/>
      <c r="M432" s="70" t="n"/>
      <c r="N432" s="70">
        <f>IF($M432="","",$M432+IF($K432="",Dashboard!$M$9,INDEX(Dashboard!$M$5:$M$9,$K432)))</f>
        <v/>
      </c>
      <c r="O432" s="64">
        <f>IF(OR($J432="Attempted",$J432="Revisit"),"DUE",IF($N432="","",IF($N432&lt;=TODAY(),"DUE","")))</f>
        <v/>
      </c>
      <c r="P432" s="64" t="n"/>
    </row>
    <row r="433" ht="15" customHeight="1" s="32">
      <c r="A433" s="64" t="n">
        <v>432</v>
      </c>
      <c r="B433" s="64" t="inlineStr">
        <is>
          <t>3. Linear DS - Depth</t>
        </is>
      </c>
      <c r="C433" s="64" t="inlineStr">
        <is>
          <t>14. Heap &amp; Priority Queue</t>
        </is>
      </c>
      <c r="D433" s="64" t="inlineStr">
        <is>
          <t>Top K</t>
        </is>
      </c>
      <c r="E433" s="64" t="inlineStr">
        <is>
          <t>Find K Pairs with Smallest Sums</t>
        </is>
      </c>
      <c r="F433" s="64" t="inlineStr">
        <is>
          <t>Medium</t>
        </is>
      </c>
      <c r="G433" s="64" t="inlineStr">
        <is>
          <t>Depth</t>
        </is>
      </c>
      <c r="H433" s="64" t="inlineStr">
        <is>
          <t>LeetCode</t>
        </is>
      </c>
      <c r="I433" s="64" t="inlineStr">
        <is>
          <t>https://leetcode.com/problems/find-k-pairs-with-smallest-sums/</t>
        </is>
      </c>
      <c r="J433" s="64" t="inlineStr">
        <is>
          <t>Not Started</t>
        </is>
      </c>
      <c r="K433" s="64" t="n"/>
      <c r="L433" s="64" t="n"/>
      <c r="M433" s="70" t="n"/>
      <c r="N433" s="70">
        <f>IF($M433="","",$M433+IF($K433="",Dashboard!$M$9,INDEX(Dashboard!$M$5:$M$9,$K433)))</f>
        <v/>
      </c>
      <c r="O433" s="64">
        <f>IF(OR($J433="Attempted",$J433="Revisit"),"DUE",IF($N433="","",IF($N433&lt;=TODAY(),"DUE","")))</f>
        <v/>
      </c>
      <c r="P433" s="64" t="n"/>
    </row>
    <row r="434" ht="15" customHeight="1" s="32">
      <c r="A434" s="64" t="n">
        <v>433</v>
      </c>
      <c r="B434" s="64" t="inlineStr">
        <is>
          <t>3. Linear DS - Depth</t>
        </is>
      </c>
      <c r="C434" s="64" t="inlineStr">
        <is>
          <t>14. Heap &amp; Priority Queue</t>
        </is>
      </c>
      <c r="D434" s="64" t="inlineStr">
        <is>
          <t>K-way merge</t>
        </is>
      </c>
      <c r="E434" s="64" t="inlineStr">
        <is>
          <t>Super Ugly Number</t>
        </is>
      </c>
      <c r="F434" s="64" t="inlineStr">
        <is>
          <t>Medium</t>
        </is>
      </c>
      <c r="G434" s="64" t="inlineStr">
        <is>
          <t>Depth</t>
        </is>
      </c>
      <c r="H434" s="64" t="inlineStr">
        <is>
          <t>LeetCode</t>
        </is>
      </c>
      <c r="I434" s="64" t="inlineStr">
        <is>
          <t>https://leetcode.com/problems/super-ugly-number/</t>
        </is>
      </c>
      <c r="J434" s="64" t="inlineStr">
        <is>
          <t>Not Started</t>
        </is>
      </c>
      <c r="K434" s="64" t="n"/>
      <c r="L434" s="64" t="n"/>
      <c r="M434" s="70" t="n"/>
      <c r="N434" s="70">
        <f>IF($M434="","",$M434+IF($K434="",Dashboard!$M$9,INDEX(Dashboard!$M$5:$M$9,$K434)))</f>
        <v/>
      </c>
      <c r="O434" s="64">
        <f>IF(OR($J434="Attempted",$J434="Revisit"),"DUE",IF($N434="","",IF($N434&lt;=TODAY(),"DUE","")))</f>
        <v/>
      </c>
      <c r="P434" s="64" t="n"/>
    </row>
    <row r="435" ht="15" customHeight="1" s="32">
      <c r="A435" s="64" t="n">
        <v>434</v>
      </c>
      <c r="B435" s="64" t="inlineStr">
        <is>
          <t>3. Linear DS - Depth</t>
        </is>
      </c>
      <c r="C435" s="64" t="inlineStr">
        <is>
          <t>14. Heap &amp; Priority Queue</t>
        </is>
      </c>
      <c r="D435" s="64" t="inlineStr">
        <is>
          <t>K-way merge</t>
        </is>
      </c>
      <c r="E435" s="64" t="inlineStr">
        <is>
          <t>Sort a Nearly Sorted (K-Sorted) Array</t>
        </is>
      </c>
      <c r="F435" s="64" t="inlineStr">
        <is>
          <t>Medium</t>
        </is>
      </c>
      <c r="G435" s="64" t="inlineStr">
        <is>
          <t>Depth</t>
        </is>
      </c>
      <c r="H435" s="64" t="inlineStr">
        <is>
          <t>GeeksforGeeks</t>
        </is>
      </c>
      <c r="I435" s="64" t="inlineStr">
        <is>
          <t>https://www.geeksforgeeks.org/search/?q=Sort+a+Nearly+Sorted+Array</t>
        </is>
      </c>
      <c r="J435" s="64" t="inlineStr">
        <is>
          <t>Not Started</t>
        </is>
      </c>
      <c r="K435" s="64" t="n"/>
      <c r="L435" s="64" t="n"/>
      <c r="M435" s="70" t="n"/>
      <c r="N435" s="70">
        <f>IF($M435="","",$M435+IF($K435="",Dashboard!$M$9,INDEX(Dashboard!$M$5:$M$9,$K435)))</f>
        <v/>
      </c>
      <c r="O435" s="64">
        <f>IF(OR($J435="Attempted",$J435="Revisit"),"DUE",IF($N435="","",IF($N435&lt;=TODAY(),"DUE","")))</f>
        <v/>
      </c>
      <c r="P435" s="64" t="n"/>
    </row>
    <row r="436" ht="15" customHeight="1" s="32">
      <c r="A436" s="64" t="n">
        <v>435</v>
      </c>
      <c r="B436" s="64" t="inlineStr">
        <is>
          <t>3. Linear DS - Depth</t>
        </is>
      </c>
      <c r="C436" s="64" t="inlineStr">
        <is>
          <t>14. Heap &amp; Priority Queue</t>
        </is>
      </c>
      <c r="D436" s="64" t="inlineStr">
        <is>
          <t>K-way merge</t>
        </is>
      </c>
      <c r="E436" s="64" t="inlineStr">
        <is>
          <t>Kth Smallest Prime Fraction</t>
        </is>
      </c>
      <c r="F436" s="64" t="inlineStr">
        <is>
          <t>Medium</t>
        </is>
      </c>
      <c r="G436" s="64" t="inlineStr">
        <is>
          <t>Depth</t>
        </is>
      </c>
      <c r="H436" s="64" t="inlineStr">
        <is>
          <t>LeetCode</t>
        </is>
      </c>
      <c r="I436" s="64" t="inlineStr">
        <is>
          <t>https://leetcode.com/problems/k-th-smallest-prime-fraction/</t>
        </is>
      </c>
      <c r="J436" s="64" t="inlineStr">
        <is>
          <t>Not Started</t>
        </is>
      </c>
      <c r="K436" s="64" t="n"/>
      <c r="L436" s="64" t="n"/>
      <c r="M436" s="70" t="n"/>
      <c r="N436" s="70">
        <f>IF($M436="","",$M436+IF($K436="",Dashboard!$M$9,INDEX(Dashboard!$M$5:$M$9,$K436)))</f>
        <v/>
      </c>
      <c r="O436" s="64">
        <f>IF(OR($J436="Attempted",$J436="Revisit"),"DUE",IF($N436="","",IF($N436&lt;=TODAY(),"DUE","")))</f>
        <v/>
      </c>
      <c r="P436" s="64" t="n"/>
    </row>
    <row r="437" ht="15" customHeight="1" s="32">
      <c r="A437" s="64" t="n">
        <v>436</v>
      </c>
      <c r="B437" s="64" t="inlineStr">
        <is>
          <t>3. Linear DS - Depth</t>
        </is>
      </c>
      <c r="C437" s="64" t="inlineStr">
        <is>
          <t>14. Heap &amp; Priority Queue</t>
        </is>
      </c>
      <c r="D437" s="64" t="inlineStr">
        <is>
          <t>Two heaps</t>
        </is>
      </c>
      <c r="E437" s="64" t="inlineStr">
        <is>
          <t>Furthest Building You Can Reach</t>
        </is>
      </c>
      <c r="F437" s="64" t="inlineStr">
        <is>
          <t>Medium</t>
        </is>
      </c>
      <c r="G437" s="64" t="inlineStr">
        <is>
          <t>Depth</t>
        </is>
      </c>
      <c r="H437" s="64" t="inlineStr">
        <is>
          <t>LeetCode</t>
        </is>
      </c>
      <c r="I437" s="64" t="inlineStr">
        <is>
          <t>https://leetcode.com/problems/furthest-building-you-can-reach/</t>
        </is>
      </c>
      <c r="J437" s="64" t="inlineStr">
        <is>
          <t>Not Started</t>
        </is>
      </c>
      <c r="K437" s="64" t="n"/>
      <c r="L437" s="64" t="n"/>
      <c r="M437" s="70" t="n"/>
      <c r="N437" s="70">
        <f>IF($M437="","",$M437+IF($K437="",Dashboard!$M$9,INDEX(Dashboard!$M$5:$M$9,$K437)))</f>
        <v/>
      </c>
      <c r="O437" s="64">
        <f>IF(OR($J437="Attempted",$J437="Revisit"),"DUE",IF($N437="","",IF($N437&lt;=TODAY(),"DUE","")))</f>
        <v/>
      </c>
      <c r="P437" s="64" t="n"/>
    </row>
    <row r="438" ht="15" customHeight="1" s="32">
      <c r="A438" s="64" t="n">
        <v>437</v>
      </c>
      <c r="B438" s="64" t="inlineStr">
        <is>
          <t>3. Linear DS - Depth</t>
        </is>
      </c>
      <c r="C438" s="64" t="inlineStr">
        <is>
          <t>14. Heap &amp; Priority Queue</t>
        </is>
      </c>
      <c r="D438" s="64" t="inlineStr">
        <is>
          <t>Greedy + heap</t>
        </is>
      </c>
      <c r="E438" s="64" t="inlineStr">
        <is>
          <t>Reorganize String</t>
        </is>
      </c>
      <c r="F438" s="64" t="inlineStr">
        <is>
          <t>Medium</t>
        </is>
      </c>
      <c r="G438" s="64" t="inlineStr">
        <is>
          <t>Depth</t>
        </is>
      </c>
      <c r="H438" s="64" t="inlineStr">
        <is>
          <t>LeetCode</t>
        </is>
      </c>
      <c r="I438" s="64" t="inlineStr">
        <is>
          <t>https://leetcode.com/problems/reorganize-string/</t>
        </is>
      </c>
      <c r="J438" s="64" t="inlineStr">
        <is>
          <t>Not Started</t>
        </is>
      </c>
      <c r="K438" s="64" t="n"/>
      <c r="L438" s="64" t="n"/>
      <c r="M438" s="70" t="n"/>
      <c r="N438" s="70">
        <f>IF($M438="","",$M438+IF($K438="",Dashboard!$M$9,INDEX(Dashboard!$M$5:$M$9,$K438)))</f>
        <v/>
      </c>
      <c r="O438" s="64">
        <f>IF(OR($J438="Attempted",$J438="Revisit"),"DUE",IF($N438="","",IF($N438&lt;=TODAY(),"DUE","")))</f>
        <v/>
      </c>
      <c r="P438" s="64" t="n"/>
    </row>
    <row r="439" ht="15" customHeight="1" s="32">
      <c r="A439" s="64" t="n">
        <v>438</v>
      </c>
      <c r="B439" s="64" t="inlineStr">
        <is>
          <t>3. Linear DS - Depth</t>
        </is>
      </c>
      <c r="C439" s="64" t="inlineStr">
        <is>
          <t>14. Heap &amp; Priority Queue</t>
        </is>
      </c>
      <c r="D439" s="64" t="inlineStr">
        <is>
          <t>Greedy + heap</t>
        </is>
      </c>
      <c r="E439" s="64" t="inlineStr">
        <is>
          <t>Hand of Straights</t>
        </is>
      </c>
      <c r="F439" s="64" t="inlineStr">
        <is>
          <t>Medium</t>
        </is>
      </c>
      <c r="G439" s="64" t="inlineStr">
        <is>
          <t>Depth</t>
        </is>
      </c>
      <c r="H439" s="64" t="inlineStr">
        <is>
          <t>LeetCode</t>
        </is>
      </c>
      <c r="I439" s="64" t="inlineStr">
        <is>
          <t>https://leetcode.com/problems/hand-of-straights/</t>
        </is>
      </c>
      <c r="J439" s="64" t="inlineStr">
        <is>
          <t>Not Started</t>
        </is>
      </c>
      <c r="K439" s="64" t="n"/>
      <c r="L439" s="64" t="n"/>
      <c r="M439" s="70" t="n"/>
      <c r="N439" s="70">
        <f>IF($M439="","",$M439+IF($K439="",Dashboard!$M$9,INDEX(Dashboard!$M$5:$M$9,$K439)))</f>
        <v/>
      </c>
      <c r="O439" s="64">
        <f>IF(OR($J439="Attempted",$J439="Revisit"),"DUE",IF($N439="","",IF($N439&lt;=TODAY(),"DUE","")))</f>
        <v/>
      </c>
      <c r="P439" s="64" t="n"/>
    </row>
    <row r="440" ht="15" customHeight="1" s="32">
      <c r="A440" s="64" t="n">
        <v>439</v>
      </c>
      <c r="B440" s="64" t="inlineStr">
        <is>
          <t>3. Linear DS - Depth</t>
        </is>
      </c>
      <c r="C440" s="64" t="inlineStr">
        <is>
          <t>14. Heap &amp; Priority Queue</t>
        </is>
      </c>
      <c r="D440" s="64" t="inlineStr">
        <is>
          <t>Greedy + heap</t>
        </is>
      </c>
      <c r="E440" s="64" t="inlineStr">
        <is>
          <t>Maximum Subsequence Score</t>
        </is>
      </c>
      <c r="F440" s="64" t="inlineStr">
        <is>
          <t>Medium</t>
        </is>
      </c>
      <c r="G440" s="64" t="inlineStr">
        <is>
          <t>Depth</t>
        </is>
      </c>
      <c r="H440" s="64" t="inlineStr">
        <is>
          <t>LeetCode</t>
        </is>
      </c>
      <c r="I440" s="64" t="inlineStr">
        <is>
          <t>https://leetcode.com/problems/maximum-subsequence-score/</t>
        </is>
      </c>
      <c r="J440" s="64" t="inlineStr">
        <is>
          <t>Not Started</t>
        </is>
      </c>
      <c r="K440" s="64" t="n"/>
      <c r="L440" s="64" t="n"/>
      <c r="M440" s="70" t="n"/>
      <c r="N440" s="70">
        <f>IF($M440="","",$M440+IF($K440="",Dashboard!$M$9,INDEX(Dashboard!$M$5:$M$9,$K440)))</f>
        <v/>
      </c>
      <c r="O440" s="64">
        <f>IF(OR($J440="Attempted",$J440="Revisit"),"DUE",IF($N440="","",IF($N440&lt;=TODAY(),"DUE","")))</f>
        <v/>
      </c>
      <c r="P440" s="64" t="n"/>
    </row>
    <row r="441" ht="15" customHeight="1" s="32">
      <c r="A441" s="64" t="n">
        <v>440</v>
      </c>
      <c r="B441" s="64" t="inlineStr">
        <is>
          <t>3. Linear DS - Depth</t>
        </is>
      </c>
      <c r="C441" s="64" t="inlineStr">
        <is>
          <t>14. Heap &amp; Priority Queue</t>
        </is>
      </c>
      <c r="D441" s="64" t="inlineStr">
        <is>
          <t>Greedy + heap</t>
        </is>
      </c>
      <c r="E441" s="64" t="inlineStr">
        <is>
          <t>Total Cost to Hire K Workers</t>
        </is>
      </c>
      <c r="F441" s="64" t="inlineStr">
        <is>
          <t>Medium</t>
        </is>
      </c>
      <c r="G441" s="64" t="inlineStr">
        <is>
          <t>Depth</t>
        </is>
      </c>
      <c r="H441" s="64" t="inlineStr">
        <is>
          <t>LeetCode</t>
        </is>
      </c>
      <c r="I441" s="64" t="inlineStr">
        <is>
          <t>https://leetcode.com/problems/total-cost-to-hire-k-workers/</t>
        </is>
      </c>
      <c r="J441" s="64" t="inlineStr">
        <is>
          <t>Not Started</t>
        </is>
      </c>
      <c r="K441" s="64" t="n"/>
      <c r="L441" s="64" t="n"/>
      <c r="M441" s="70" t="n"/>
      <c r="N441" s="70">
        <f>IF($M441="","",$M441+IF($K441="",Dashboard!$M$9,INDEX(Dashboard!$M$5:$M$9,$K441)))</f>
        <v/>
      </c>
      <c r="O441" s="64">
        <f>IF(OR($J441="Attempted",$J441="Revisit"),"DUE",IF($N441="","",IF($N441&lt;=TODAY(),"DUE","")))</f>
        <v/>
      </c>
      <c r="P441" s="64" t="n"/>
    </row>
    <row r="442" ht="15" customHeight="1" s="32">
      <c r="A442" s="64" t="n">
        <v>441</v>
      </c>
      <c r="B442" s="64" t="inlineStr">
        <is>
          <t>3. Linear DS - Depth</t>
        </is>
      </c>
      <c r="C442" s="64" t="inlineStr">
        <is>
          <t>14. Heap &amp; Priority Queue</t>
        </is>
      </c>
      <c r="D442" s="64" t="inlineStr">
        <is>
          <t>Design</t>
        </is>
      </c>
      <c r="E442" s="64" t="inlineStr">
        <is>
          <t>Design a Number Container System</t>
        </is>
      </c>
      <c r="F442" s="64" t="inlineStr">
        <is>
          <t>Medium</t>
        </is>
      </c>
      <c r="G442" s="64" t="inlineStr">
        <is>
          <t>Depth</t>
        </is>
      </c>
      <c r="H442" s="64" t="inlineStr">
        <is>
          <t>LeetCode</t>
        </is>
      </c>
      <c r="I442" s="64" t="inlineStr">
        <is>
          <t>https://leetcode.com/problems/design-a-number-container-system/</t>
        </is>
      </c>
      <c r="J442" s="64" t="inlineStr">
        <is>
          <t>Not Started</t>
        </is>
      </c>
      <c r="K442" s="64" t="n"/>
      <c r="L442" s="64" t="n"/>
      <c r="M442" s="70" t="n"/>
      <c r="N442" s="70">
        <f>IF($M442="","",$M442+IF($K442="",Dashboard!$M$9,INDEX(Dashboard!$M$5:$M$9,$K442)))</f>
        <v/>
      </c>
      <c r="O442" s="64">
        <f>IF(OR($J442="Attempted",$J442="Revisit"),"DUE",IF($N442="","",IF($N442&lt;=TODAY(),"DUE","")))</f>
        <v/>
      </c>
      <c r="P442" s="64" t="n"/>
    </row>
    <row r="443" ht="15" customHeight="1" s="32">
      <c r="A443" s="64" t="n">
        <v>442</v>
      </c>
      <c r="B443" s="64" t="inlineStr">
        <is>
          <t>3. Linear DS - Depth</t>
        </is>
      </c>
      <c r="C443" s="64" t="inlineStr">
        <is>
          <t>14. Heap &amp; Priority Queue</t>
        </is>
      </c>
      <c r="D443" s="64" t="inlineStr">
        <is>
          <t>Design</t>
        </is>
      </c>
      <c r="E443" s="64" t="inlineStr">
        <is>
          <t>SORTracker</t>
        </is>
      </c>
      <c r="F443" s="64" t="inlineStr">
        <is>
          <t>Medium</t>
        </is>
      </c>
      <c r="G443" s="64" t="inlineStr">
        <is>
          <t>Depth</t>
        </is>
      </c>
      <c r="H443" s="64" t="inlineStr">
        <is>
          <t>LeetCode</t>
        </is>
      </c>
      <c r="I443" s="64" t="inlineStr">
        <is>
          <t>https://leetcode.com/problems/sequentially-ordinal-rank-tracker/</t>
        </is>
      </c>
      <c r="J443" s="64" t="inlineStr">
        <is>
          <t>Not Started</t>
        </is>
      </c>
      <c r="K443" s="64" t="n"/>
      <c r="L443" s="64" t="n"/>
      <c r="M443" s="70" t="n"/>
      <c r="N443" s="70">
        <f>IF($M443="","",$M443+IF($K443="",Dashboard!$M$9,INDEX(Dashboard!$M$5:$M$9,$K443)))</f>
        <v/>
      </c>
      <c r="O443" s="64">
        <f>IF(OR($J443="Attempted",$J443="Revisit"),"DUE",IF($N443="","",IF($N443&lt;=TODAY(),"DUE","")))</f>
        <v/>
      </c>
      <c r="P443" s="64" t="n"/>
    </row>
    <row r="444" ht="15" customHeight="1" s="32">
      <c r="A444" s="64" t="n">
        <v>443</v>
      </c>
      <c r="B444" s="64" t="inlineStr">
        <is>
          <t>3. Linear DS - Depth</t>
        </is>
      </c>
      <c r="C444" s="64" t="inlineStr">
        <is>
          <t>14. Heap &amp; Priority Queue</t>
        </is>
      </c>
      <c r="D444" s="64" t="inlineStr">
        <is>
          <t>Design</t>
        </is>
      </c>
      <c r="E444" s="64" t="inlineStr">
        <is>
          <t>Stock Price Fluctuation</t>
        </is>
      </c>
      <c r="F444" s="64" t="inlineStr">
        <is>
          <t>Medium</t>
        </is>
      </c>
      <c r="G444" s="64" t="inlineStr">
        <is>
          <t>Depth</t>
        </is>
      </c>
      <c r="H444" s="64" t="inlineStr">
        <is>
          <t>LeetCode</t>
        </is>
      </c>
      <c r="I444" s="64" t="inlineStr">
        <is>
          <t>https://leetcode.com/problems/stock-price-fluctuation/</t>
        </is>
      </c>
      <c r="J444" s="64" t="inlineStr">
        <is>
          <t>Not Started</t>
        </is>
      </c>
      <c r="K444" s="64" t="n"/>
      <c r="L444" s="64" t="n"/>
      <c r="M444" s="70" t="n"/>
      <c r="N444" s="70">
        <f>IF($M444="","",$M444+IF($K444="",Dashboard!$M$9,INDEX(Dashboard!$M$5:$M$9,$K444)))</f>
        <v/>
      </c>
      <c r="O444" s="64">
        <f>IF(OR($J444="Attempted",$J444="Revisit"),"DUE",IF($N444="","",IF($N444&lt;=TODAY(),"DUE","")))</f>
        <v/>
      </c>
      <c r="P444" s="64" t="inlineStr">
        <is>
          <t>v3 addition</t>
        </is>
      </c>
    </row>
    <row r="445" ht="15" customHeight="1" s="32">
      <c r="A445" s="64" t="n">
        <v>444</v>
      </c>
      <c r="B445" s="64" t="inlineStr">
        <is>
          <t>3. Linear DS - Stretch</t>
        </is>
      </c>
      <c r="C445" s="64" t="inlineStr">
        <is>
          <t>12. Linked List</t>
        </is>
      </c>
      <c r="D445" s="64" t="inlineStr">
        <is>
          <t>Reversal</t>
        </is>
      </c>
      <c r="E445" s="64" t="inlineStr">
        <is>
          <t>Reverse Nodes in k-Group</t>
        </is>
      </c>
      <c r="F445" s="64" t="inlineStr">
        <is>
          <t>Hard</t>
        </is>
      </c>
      <c r="G445" s="64" t="inlineStr">
        <is>
          <t>Stretch</t>
        </is>
      </c>
      <c r="H445" s="64" t="inlineStr">
        <is>
          <t>LeetCode</t>
        </is>
      </c>
      <c r="I445" s="64" t="inlineStr">
        <is>
          <t>https://leetcode.com/problems/reverse-nodes-in-k-group/</t>
        </is>
      </c>
      <c r="J445" s="64" t="inlineStr">
        <is>
          <t>Not Started</t>
        </is>
      </c>
      <c r="K445" s="64" t="n"/>
      <c r="L445" s="64" t="n"/>
      <c r="M445" s="70" t="n"/>
      <c r="N445" s="70">
        <f>IF($M445="","",$M445+IF($K445="",Dashboard!$M$9,INDEX(Dashboard!$M$5:$M$9,$K445)))</f>
        <v/>
      </c>
      <c r="O445" s="64">
        <f>IF(OR($J445="Attempted",$J445="Revisit"),"DUE",IF($N445="","",IF($N445&lt;=TODAY(),"DUE","")))</f>
        <v/>
      </c>
      <c r="P445" s="64" t="inlineStr">
        <is>
          <t>v3 addition</t>
        </is>
      </c>
    </row>
    <row r="446" ht="15" customHeight="1" s="32">
      <c r="A446" s="64" t="n">
        <v>445</v>
      </c>
      <c r="B446" s="64" t="inlineStr">
        <is>
          <t>3. Linear DS - Stretch</t>
        </is>
      </c>
      <c r="C446" s="64" t="inlineStr">
        <is>
          <t>12. Linked List</t>
        </is>
      </c>
      <c r="D446" s="64" t="inlineStr">
        <is>
          <t>Merging</t>
        </is>
      </c>
      <c r="E446" s="64" t="inlineStr">
        <is>
          <t>Merge k Sorted Lists</t>
        </is>
      </c>
      <c r="F446" s="64" t="inlineStr">
        <is>
          <t>Hard</t>
        </is>
      </c>
      <c r="G446" s="64" t="inlineStr">
        <is>
          <t>Stretch</t>
        </is>
      </c>
      <c r="H446" s="64" t="inlineStr">
        <is>
          <t>LeetCode</t>
        </is>
      </c>
      <c r="I446" s="64" t="inlineStr">
        <is>
          <t>https://leetcode.com/problems/merge-k-sorted-lists/</t>
        </is>
      </c>
      <c r="J446" s="64" t="inlineStr">
        <is>
          <t>Not Started</t>
        </is>
      </c>
      <c r="K446" s="64" t="n"/>
      <c r="L446" s="64" t="n"/>
      <c r="M446" s="70" t="n"/>
      <c r="N446" s="70">
        <f>IF($M446="","",$M446+IF($K446="",Dashboard!$M$9,INDEX(Dashboard!$M$5:$M$9,$K446)))</f>
        <v/>
      </c>
      <c r="O446" s="64">
        <f>IF(OR($J446="Attempted",$J446="Revisit"),"DUE",IF($N446="","",IF($N446&lt;=TODAY(),"DUE","")))</f>
        <v/>
      </c>
      <c r="P446" s="64" t="inlineStr">
        <is>
          <t>v3 addition</t>
        </is>
      </c>
    </row>
    <row r="447" ht="15" customHeight="1" s="32">
      <c r="A447" s="64" t="n">
        <v>446</v>
      </c>
      <c r="B447" s="64" t="inlineStr">
        <is>
          <t>3. Linear DS - Stretch</t>
        </is>
      </c>
      <c r="C447" s="64" t="inlineStr">
        <is>
          <t>12. Linked List</t>
        </is>
      </c>
      <c r="D447" s="64" t="inlineStr">
        <is>
          <t>Design</t>
        </is>
      </c>
      <c r="E447" s="64" t="inlineStr">
        <is>
          <t>Design Skiplist</t>
        </is>
      </c>
      <c r="F447" s="64" t="inlineStr">
        <is>
          <t>Hard</t>
        </is>
      </c>
      <c r="G447" s="64" t="inlineStr">
        <is>
          <t>Stretch</t>
        </is>
      </c>
      <c r="H447" s="64" t="inlineStr">
        <is>
          <t>LeetCode</t>
        </is>
      </c>
      <c r="I447" s="64" t="inlineStr">
        <is>
          <t>https://leetcode.com/problems/design-skiplist/</t>
        </is>
      </c>
      <c r="J447" s="64" t="inlineStr">
        <is>
          <t>Not Started</t>
        </is>
      </c>
      <c r="K447" s="64" t="n"/>
      <c r="L447" s="64" t="n"/>
      <c r="M447" s="70" t="n"/>
      <c r="N447" s="70">
        <f>IF($M447="","",$M447+IF($K447="",Dashboard!$M$9,INDEX(Dashboard!$M$5:$M$9,$K447)))</f>
        <v/>
      </c>
      <c r="O447" s="64">
        <f>IF(OR($J447="Attempted",$J447="Revisit"),"DUE",IF($N447="","",IF($N447&lt;=TODAY(),"DUE","")))</f>
        <v/>
      </c>
      <c r="P447" s="64" t="n"/>
    </row>
    <row r="448" ht="15" customHeight="1" s="32">
      <c r="A448" s="64" t="n">
        <v>447</v>
      </c>
      <c r="B448" s="64" t="inlineStr">
        <is>
          <t>3. Linear DS - Stretch</t>
        </is>
      </c>
      <c r="C448" s="64" t="inlineStr">
        <is>
          <t>13. Stack &amp; Queue</t>
        </is>
      </c>
      <c r="D448" s="64" t="inlineStr">
        <is>
          <t>Parentheses</t>
        </is>
      </c>
      <c r="E448" s="64" t="inlineStr">
        <is>
          <t>Longest Valid Parentheses</t>
        </is>
      </c>
      <c r="F448" s="64" t="inlineStr">
        <is>
          <t>Hard</t>
        </is>
      </c>
      <c r="G448" s="64" t="inlineStr">
        <is>
          <t>Stretch</t>
        </is>
      </c>
      <c r="H448" s="64" t="inlineStr">
        <is>
          <t>LeetCode</t>
        </is>
      </c>
      <c r="I448" s="64" t="inlineStr">
        <is>
          <t>https://leetcode.com/problems/longest-valid-parentheses/</t>
        </is>
      </c>
      <c r="J448" s="64" t="inlineStr">
        <is>
          <t>Not Started</t>
        </is>
      </c>
      <c r="K448" s="64" t="n"/>
      <c r="L448" s="64" t="n"/>
      <c r="M448" s="70" t="n"/>
      <c r="N448" s="70">
        <f>IF($M448="","",$M448+IF($K448="",Dashboard!$M$9,INDEX(Dashboard!$M$5:$M$9,$K448)))</f>
        <v/>
      </c>
      <c r="O448" s="64">
        <f>IF(OR($J448="Attempted",$J448="Revisit"),"DUE",IF($N448="","",IF($N448&lt;=TODAY(),"DUE","")))</f>
        <v/>
      </c>
      <c r="P448" s="64" t="inlineStr">
        <is>
          <t>v3 addition</t>
        </is>
      </c>
    </row>
    <row r="449" ht="15" customHeight="1" s="32">
      <c r="A449" s="64" t="n">
        <v>448</v>
      </c>
      <c r="B449" s="64" t="inlineStr">
        <is>
          <t>3. Linear DS - Stretch</t>
        </is>
      </c>
      <c r="C449" s="64" t="inlineStr">
        <is>
          <t>13. Stack &amp; Queue</t>
        </is>
      </c>
      <c r="D449" s="64" t="inlineStr">
        <is>
          <t>Design</t>
        </is>
      </c>
      <c r="E449" s="64" t="inlineStr">
        <is>
          <t>Maximum Frequency Stack</t>
        </is>
      </c>
      <c r="F449" s="64" t="inlineStr">
        <is>
          <t>Hard</t>
        </is>
      </c>
      <c r="G449" s="64" t="inlineStr">
        <is>
          <t>Stretch</t>
        </is>
      </c>
      <c r="H449" s="64" t="inlineStr">
        <is>
          <t>LeetCode</t>
        </is>
      </c>
      <c r="I449" s="64" t="inlineStr">
        <is>
          <t>https://leetcode.com/problems/maximum-frequency-stack/</t>
        </is>
      </c>
      <c r="J449" s="64" t="inlineStr">
        <is>
          <t>Not Started</t>
        </is>
      </c>
      <c r="K449" s="64" t="n"/>
      <c r="L449" s="64" t="n"/>
      <c r="M449" s="70" t="n"/>
      <c r="N449" s="70">
        <f>IF($M449="","",$M449+IF($K449="",Dashboard!$M$9,INDEX(Dashboard!$M$5:$M$9,$K449)))</f>
        <v/>
      </c>
      <c r="O449" s="64">
        <f>IF(OR($J449="Attempted",$J449="Revisit"),"DUE",IF($N449="","",IF($N449&lt;=TODAY(),"DUE","")))</f>
        <v/>
      </c>
      <c r="P449" s="64" t="inlineStr">
        <is>
          <t>v3 addition</t>
        </is>
      </c>
    </row>
    <row r="450" ht="15" customHeight="1" s="32">
      <c r="A450" s="64" t="n">
        <v>449</v>
      </c>
      <c r="B450" s="64" t="inlineStr">
        <is>
          <t>3. Linear DS - Stretch</t>
        </is>
      </c>
      <c r="C450" s="64" t="inlineStr">
        <is>
          <t>13. Stack &amp; Queue</t>
        </is>
      </c>
      <c r="D450" s="64" t="inlineStr">
        <is>
          <t>Expression</t>
        </is>
      </c>
      <c r="E450" s="64" t="inlineStr">
        <is>
          <t>Basic Calculator</t>
        </is>
      </c>
      <c r="F450" s="64" t="inlineStr">
        <is>
          <t>Hard</t>
        </is>
      </c>
      <c r="G450" s="64" t="inlineStr">
        <is>
          <t>Stretch</t>
        </is>
      </c>
      <c r="H450" s="64" t="inlineStr">
        <is>
          <t>LeetCode</t>
        </is>
      </c>
      <c r="I450" s="64" t="inlineStr">
        <is>
          <t>https://leetcode.com/problems/basic-calculator/</t>
        </is>
      </c>
      <c r="J450" s="64" t="inlineStr">
        <is>
          <t>Not Started</t>
        </is>
      </c>
      <c r="K450" s="64" t="n"/>
      <c r="L450" s="64" t="n"/>
      <c r="M450" s="70" t="n"/>
      <c r="N450" s="70">
        <f>IF($M450="","",$M450+IF($K450="",Dashboard!$M$9,INDEX(Dashboard!$M$5:$M$9,$K450)))</f>
        <v/>
      </c>
      <c r="O450" s="64">
        <f>IF(OR($J450="Attempted",$J450="Revisit"),"DUE",IF($N450="","",IF($N450&lt;=TODAY(),"DUE","")))</f>
        <v/>
      </c>
      <c r="P450" s="64" t="inlineStr">
        <is>
          <t>v3 addition</t>
        </is>
      </c>
    </row>
    <row r="451" ht="15" customHeight="1" s="32">
      <c r="A451" s="64" t="n">
        <v>450</v>
      </c>
      <c r="B451" s="64" t="inlineStr">
        <is>
          <t>3. Linear DS - Stretch</t>
        </is>
      </c>
      <c r="C451" s="64" t="inlineStr">
        <is>
          <t>13. Stack &amp; Queue</t>
        </is>
      </c>
      <c r="D451" s="64" t="inlineStr">
        <is>
          <t>Expression</t>
        </is>
      </c>
      <c r="E451" s="64" t="inlineStr">
        <is>
          <t>Number of Atoms</t>
        </is>
      </c>
      <c r="F451" s="64" t="inlineStr">
        <is>
          <t>Hard</t>
        </is>
      </c>
      <c r="G451" s="64" t="inlineStr">
        <is>
          <t>Stretch</t>
        </is>
      </c>
      <c r="H451" s="64" t="inlineStr">
        <is>
          <t>LeetCode</t>
        </is>
      </c>
      <c r="I451" s="64" t="inlineStr">
        <is>
          <t>https://leetcode.com/problems/number-of-atoms/</t>
        </is>
      </c>
      <c r="J451" s="64" t="inlineStr">
        <is>
          <t>Not Started</t>
        </is>
      </c>
      <c r="K451" s="64" t="n"/>
      <c r="L451" s="64" t="n"/>
      <c r="M451" s="70" t="n"/>
      <c r="N451" s="70">
        <f>IF($M451="","",$M451+IF($K451="",Dashboard!$M$9,INDEX(Dashboard!$M$5:$M$9,$K451)))</f>
        <v/>
      </c>
      <c r="O451" s="64">
        <f>IF(OR($J451="Attempted",$J451="Revisit"),"DUE",IF($N451="","",IF($N451&lt;=TODAY(),"DUE","")))</f>
        <v/>
      </c>
      <c r="P451" s="64" t="inlineStr">
        <is>
          <t>v3 addition</t>
        </is>
      </c>
    </row>
    <row r="452" ht="15" customHeight="1" s="32">
      <c r="A452" s="64" t="n">
        <v>451</v>
      </c>
      <c r="B452" s="64" t="inlineStr">
        <is>
          <t>3. Linear DS - Stretch</t>
        </is>
      </c>
      <c r="C452" s="64" t="inlineStr">
        <is>
          <t>13. Stack &amp; Queue</t>
        </is>
      </c>
      <c r="D452" s="64" t="inlineStr">
        <is>
          <t>Monotonic stack</t>
        </is>
      </c>
      <c r="E452" s="64" t="inlineStr">
        <is>
          <t>Number of Visible People in a Queue</t>
        </is>
      </c>
      <c r="F452" s="64" t="inlineStr">
        <is>
          <t>Hard</t>
        </is>
      </c>
      <c r="G452" s="64" t="inlineStr">
        <is>
          <t>Stretch</t>
        </is>
      </c>
      <c r="H452" s="64" t="inlineStr">
        <is>
          <t>LeetCode</t>
        </is>
      </c>
      <c r="I452" s="64" t="inlineStr">
        <is>
          <t>https://leetcode.com/problems/number-of-visible-people-in-a-queue/</t>
        </is>
      </c>
      <c r="J452" s="64" t="inlineStr">
        <is>
          <t>Not Started</t>
        </is>
      </c>
      <c r="K452" s="64" t="n"/>
      <c r="L452" s="64" t="n"/>
      <c r="M452" s="70" t="n"/>
      <c r="N452" s="70">
        <f>IF($M452="","",$M452+IF($K452="",Dashboard!$M$9,INDEX(Dashboard!$M$5:$M$9,$K452)))</f>
        <v/>
      </c>
      <c r="O452" s="64">
        <f>IF(OR($J452="Attempted",$J452="Revisit"),"DUE",IF($N452="","",IF($N452&lt;=TODAY(),"DUE","")))</f>
        <v/>
      </c>
      <c r="P452" s="64" t="inlineStr">
        <is>
          <t>v3 addition</t>
        </is>
      </c>
    </row>
    <row r="453" ht="15" customHeight="1" s="32">
      <c r="A453" s="64" t="n">
        <v>452</v>
      </c>
      <c r="B453" s="64" t="inlineStr">
        <is>
          <t>3. Linear DS - Stretch</t>
        </is>
      </c>
      <c r="C453" s="64" t="inlineStr">
        <is>
          <t>13. Stack &amp; Queue</t>
        </is>
      </c>
      <c r="D453" s="64" t="inlineStr">
        <is>
          <t>Monotonic stack</t>
        </is>
      </c>
      <c r="E453" s="64" t="inlineStr">
        <is>
          <t>Largest Rectangle in Histogram</t>
        </is>
      </c>
      <c r="F453" s="64" t="inlineStr">
        <is>
          <t>Hard</t>
        </is>
      </c>
      <c r="G453" s="64" t="inlineStr">
        <is>
          <t>Stretch</t>
        </is>
      </c>
      <c r="H453" s="64" t="inlineStr">
        <is>
          <t>LeetCode</t>
        </is>
      </c>
      <c r="I453" s="64" t="inlineStr">
        <is>
          <t>https://leetcode.com/problems/largest-rectangle-in-histogram/</t>
        </is>
      </c>
      <c r="J453" s="64" t="inlineStr">
        <is>
          <t>Not Started</t>
        </is>
      </c>
      <c r="K453" s="64" t="n"/>
      <c r="L453" s="64" t="n"/>
      <c r="M453" s="70" t="n"/>
      <c r="N453" s="70">
        <f>IF($M453="","",$M453+IF($K453="",Dashboard!$M$9,INDEX(Dashboard!$M$5:$M$9,$K453)))</f>
        <v/>
      </c>
      <c r="O453" s="64">
        <f>IF(OR($J453="Attempted",$J453="Revisit"),"DUE",IF($N453="","",IF($N453&lt;=TODAY(),"DUE","")))</f>
        <v/>
      </c>
      <c r="P453" s="64" t="inlineStr">
        <is>
          <t>v3 addition</t>
        </is>
      </c>
    </row>
    <row r="454" ht="15" customHeight="1" s="32">
      <c r="A454" s="64" t="n">
        <v>453</v>
      </c>
      <c r="B454" s="64" t="inlineStr">
        <is>
          <t>3. Linear DS - Stretch</t>
        </is>
      </c>
      <c r="C454" s="64" t="inlineStr">
        <is>
          <t>13. Stack &amp; Queue</t>
        </is>
      </c>
      <c r="D454" s="64" t="inlineStr">
        <is>
          <t>Monotonic stack</t>
        </is>
      </c>
      <c r="E454" s="64" t="inlineStr">
        <is>
          <t>Maximal Rectangle</t>
        </is>
      </c>
      <c r="F454" s="64" t="inlineStr">
        <is>
          <t>Hard</t>
        </is>
      </c>
      <c r="G454" s="64" t="inlineStr">
        <is>
          <t>Stretch</t>
        </is>
      </c>
      <c r="H454" s="64" t="inlineStr">
        <is>
          <t>LeetCode</t>
        </is>
      </c>
      <c r="I454" s="64" t="inlineStr">
        <is>
          <t>https://leetcode.com/problems/maximal-rectangle/</t>
        </is>
      </c>
      <c r="J454" s="64" t="inlineStr">
        <is>
          <t>Not Started</t>
        </is>
      </c>
      <c r="K454" s="64" t="n"/>
      <c r="L454" s="64" t="n"/>
      <c r="M454" s="70" t="n"/>
      <c r="N454" s="70">
        <f>IF($M454="","",$M454+IF($K454="",Dashboard!$M$9,INDEX(Dashboard!$M$5:$M$9,$K454)))</f>
        <v/>
      </c>
      <c r="O454" s="64">
        <f>IF(OR($J454="Attempted",$J454="Revisit"),"DUE",IF($N454="","",IF($N454&lt;=TODAY(),"DUE","")))</f>
        <v/>
      </c>
      <c r="P454" s="64" t="inlineStr">
        <is>
          <t>v3 addition</t>
        </is>
      </c>
    </row>
    <row r="455" ht="15" customHeight="1" s="32">
      <c r="A455" s="64" t="n">
        <v>454</v>
      </c>
      <c r="B455" s="64" t="inlineStr">
        <is>
          <t>3. Linear DS - Stretch</t>
        </is>
      </c>
      <c r="C455" s="64" t="inlineStr">
        <is>
          <t>13. Stack &amp; Queue</t>
        </is>
      </c>
      <c r="D455" s="64" t="inlineStr">
        <is>
          <t>Monotonic deque</t>
        </is>
      </c>
      <c r="E455" s="64" t="inlineStr">
        <is>
          <t>Shortest Subarray with Sum at Least K</t>
        </is>
      </c>
      <c r="F455" s="64" t="inlineStr">
        <is>
          <t>Hard</t>
        </is>
      </c>
      <c r="G455" s="64" t="inlineStr">
        <is>
          <t>Stretch</t>
        </is>
      </c>
      <c r="H455" s="64" t="inlineStr">
        <is>
          <t>LeetCode</t>
        </is>
      </c>
      <c r="I455" s="64" t="inlineStr">
        <is>
          <t>https://leetcode.com/problems/shortest-subarray-with-sum-at-least-k/</t>
        </is>
      </c>
      <c r="J455" s="64" t="inlineStr">
        <is>
          <t>Not Started</t>
        </is>
      </c>
      <c r="K455" s="64" t="n"/>
      <c r="L455" s="64" t="n"/>
      <c r="M455" s="70" t="n"/>
      <c r="N455" s="70">
        <f>IF($M455="","",$M455+IF($K455="",Dashboard!$M$9,INDEX(Dashboard!$M$5:$M$9,$K455)))</f>
        <v/>
      </c>
      <c r="O455" s="64">
        <f>IF(OR($J455="Attempted",$J455="Revisit"),"DUE",IF($N455="","",IF($N455&lt;=TODAY(),"DUE","")))</f>
        <v/>
      </c>
      <c r="P455" s="64" t="inlineStr">
        <is>
          <t>v3 addition</t>
        </is>
      </c>
    </row>
    <row r="456" ht="15" customHeight="1" s="32">
      <c r="A456" s="64" t="n">
        <v>455</v>
      </c>
      <c r="B456" s="64" t="inlineStr">
        <is>
          <t>3. Linear DS - Stretch</t>
        </is>
      </c>
      <c r="C456" s="64" t="inlineStr">
        <is>
          <t>13. Stack &amp; Queue</t>
        </is>
      </c>
      <c r="D456" s="64" t="inlineStr">
        <is>
          <t>Monotonic deque</t>
        </is>
      </c>
      <c r="E456" s="64" t="inlineStr">
        <is>
          <t>Max Value of Equation</t>
        </is>
      </c>
      <c r="F456" s="64" t="inlineStr">
        <is>
          <t>Hard</t>
        </is>
      </c>
      <c r="G456" s="64" t="inlineStr">
        <is>
          <t>Stretch</t>
        </is>
      </c>
      <c r="H456" s="64" t="inlineStr">
        <is>
          <t>LeetCode</t>
        </is>
      </c>
      <c r="I456" s="64" t="inlineStr">
        <is>
          <t>https://leetcode.com/problems/max-value-of-equation/</t>
        </is>
      </c>
      <c r="J456" s="64" t="inlineStr">
        <is>
          <t>Not Started</t>
        </is>
      </c>
      <c r="K456" s="64" t="n"/>
      <c r="L456" s="64" t="n"/>
      <c r="M456" s="70" t="n"/>
      <c r="N456" s="70">
        <f>IF($M456="","",$M456+IF($K456="",Dashboard!$M$9,INDEX(Dashboard!$M$5:$M$9,$K456)))</f>
        <v/>
      </c>
      <c r="O456" s="64">
        <f>IF(OR($J456="Attempted",$J456="Revisit"),"DUE",IF($N456="","",IF($N456&lt;=TODAY(),"DUE","")))</f>
        <v/>
      </c>
      <c r="P456" s="64" t="inlineStr">
        <is>
          <t>v3 addition</t>
        </is>
      </c>
    </row>
    <row r="457" ht="15" customHeight="1" s="32">
      <c r="A457" s="64" t="n">
        <v>456</v>
      </c>
      <c r="B457" s="64" t="inlineStr">
        <is>
          <t>3. Linear DS - Stretch</t>
        </is>
      </c>
      <c r="C457" s="64" t="inlineStr">
        <is>
          <t>13. Stack &amp; Queue</t>
        </is>
      </c>
      <c r="D457" s="64" t="inlineStr">
        <is>
          <t>Monotonic deque</t>
        </is>
      </c>
      <c r="E457" s="64" t="inlineStr">
        <is>
          <t>Constrained Subsequence Sum</t>
        </is>
      </c>
      <c r="F457" s="64" t="inlineStr">
        <is>
          <t>Hard</t>
        </is>
      </c>
      <c r="G457" s="64" t="inlineStr">
        <is>
          <t>Stretch</t>
        </is>
      </c>
      <c r="H457" s="64" t="inlineStr">
        <is>
          <t>LeetCode</t>
        </is>
      </c>
      <c r="I457" s="64" t="inlineStr">
        <is>
          <t>https://leetcode.com/problems/constrained-subsequence-sum/</t>
        </is>
      </c>
      <c r="J457" s="64" t="inlineStr">
        <is>
          <t>Not Started</t>
        </is>
      </c>
      <c r="K457" s="64" t="n"/>
      <c r="L457" s="64" t="n"/>
      <c r="M457" s="70" t="n"/>
      <c r="N457" s="70">
        <f>IF($M457="","",$M457+IF($K457="",Dashboard!$M$9,INDEX(Dashboard!$M$5:$M$9,$K457)))</f>
        <v/>
      </c>
      <c r="O457" s="64">
        <f>IF(OR($J457="Attempted",$J457="Revisit"),"DUE",IF($N457="","",IF($N457&lt;=TODAY(),"DUE","")))</f>
        <v/>
      </c>
      <c r="P457" s="64" t="inlineStr">
        <is>
          <t>v3 addition</t>
        </is>
      </c>
    </row>
    <row r="458" ht="15" customHeight="1" s="32">
      <c r="A458" s="64" t="n">
        <v>457</v>
      </c>
      <c r="B458" s="64" t="inlineStr">
        <is>
          <t>3. Linear DS - Stretch</t>
        </is>
      </c>
      <c r="C458" s="64" t="inlineStr">
        <is>
          <t>14. Heap &amp; Priority Queue</t>
        </is>
      </c>
      <c r="D458" s="64" t="inlineStr">
        <is>
          <t>K-way merge</t>
        </is>
      </c>
      <c r="E458" s="64" t="inlineStr">
        <is>
          <t>Smallest Range Covering Elements from K Lists</t>
        </is>
      </c>
      <c r="F458" s="64" t="inlineStr">
        <is>
          <t>Hard</t>
        </is>
      </c>
      <c r="G458" s="64" t="inlineStr">
        <is>
          <t>Stretch</t>
        </is>
      </c>
      <c r="H458" s="64" t="inlineStr">
        <is>
          <t>LeetCode</t>
        </is>
      </c>
      <c r="I458" s="64" t="inlineStr">
        <is>
          <t>https://leetcode.com/problems/smallest-range-covering-elements-from-k-lists/</t>
        </is>
      </c>
      <c r="J458" s="64" t="inlineStr">
        <is>
          <t>Not Started</t>
        </is>
      </c>
      <c r="K458" s="64" t="n"/>
      <c r="L458" s="64" t="n"/>
      <c r="M458" s="70" t="n"/>
      <c r="N458" s="70">
        <f>IF($M458="","",$M458+IF($K458="",Dashboard!$M$9,INDEX(Dashboard!$M$5:$M$9,$K458)))</f>
        <v/>
      </c>
      <c r="O458" s="64">
        <f>IF(OR($J458="Attempted",$J458="Revisit"),"DUE",IF($N458="","",IF($N458&lt;=TODAY(),"DUE","")))</f>
        <v/>
      </c>
      <c r="P458" s="64" t="inlineStr">
        <is>
          <t>v3 addition</t>
        </is>
      </c>
    </row>
    <row r="459" ht="15" customHeight="1" s="32">
      <c r="A459" s="64" t="n">
        <v>458</v>
      </c>
      <c r="B459" s="64" t="inlineStr">
        <is>
          <t>3. Linear DS - Stretch</t>
        </is>
      </c>
      <c r="C459" s="64" t="inlineStr">
        <is>
          <t>14. Heap &amp; Priority Queue</t>
        </is>
      </c>
      <c r="D459" s="64" t="inlineStr">
        <is>
          <t>Two heaps</t>
        </is>
      </c>
      <c r="E459" s="64" t="inlineStr">
        <is>
          <t>Sliding Window Median</t>
        </is>
      </c>
      <c r="F459" s="64" t="inlineStr">
        <is>
          <t>Hard</t>
        </is>
      </c>
      <c r="G459" s="64" t="inlineStr">
        <is>
          <t>Stretch</t>
        </is>
      </c>
      <c r="H459" s="64" t="inlineStr">
        <is>
          <t>LeetCode</t>
        </is>
      </c>
      <c r="I459" s="64" t="inlineStr">
        <is>
          <t>https://leetcode.com/problems/sliding-window-median/</t>
        </is>
      </c>
      <c r="J459" s="64" t="inlineStr">
        <is>
          <t>Not Started</t>
        </is>
      </c>
      <c r="K459" s="64" t="n"/>
      <c r="L459" s="64" t="n"/>
      <c r="M459" s="70" t="n"/>
      <c r="N459" s="70">
        <f>IF($M459="","",$M459+IF($K459="",Dashboard!$M$9,INDEX(Dashboard!$M$5:$M$9,$K459)))</f>
        <v/>
      </c>
      <c r="O459" s="64">
        <f>IF(OR($J459="Attempted",$J459="Revisit"),"DUE",IF($N459="","",IF($N459&lt;=TODAY(),"DUE","")))</f>
        <v/>
      </c>
      <c r="P459" s="64" t="n"/>
    </row>
    <row r="460" ht="15" customHeight="1" s="32">
      <c r="A460" s="64" t="n">
        <v>459</v>
      </c>
      <c r="B460" s="64" t="inlineStr">
        <is>
          <t>3. Linear DS - Stretch</t>
        </is>
      </c>
      <c r="C460" s="64" t="inlineStr">
        <is>
          <t>14. Heap &amp; Priority Queue</t>
        </is>
      </c>
      <c r="D460" s="64" t="inlineStr">
        <is>
          <t>Two heaps</t>
        </is>
      </c>
      <c r="E460" s="64" t="inlineStr">
        <is>
          <t>Minimize Deviation in Array</t>
        </is>
      </c>
      <c r="F460" s="64" t="inlineStr">
        <is>
          <t>Hard</t>
        </is>
      </c>
      <c r="G460" s="64" t="inlineStr">
        <is>
          <t>Stretch</t>
        </is>
      </c>
      <c r="H460" s="64" t="inlineStr">
        <is>
          <t>LeetCode</t>
        </is>
      </c>
      <c r="I460" s="64" t="inlineStr">
        <is>
          <t>https://leetcode.com/problems/minimize-deviation-in-array/</t>
        </is>
      </c>
      <c r="J460" s="64" t="inlineStr">
        <is>
          <t>Not Started</t>
        </is>
      </c>
      <c r="K460" s="64" t="n"/>
      <c r="L460" s="64" t="n"/>
      <c r="M460" s="70" t="n"/>
      <c r="N460" s="70">
        <f>IF($M460="","",$M460+IF($K460="",Dashboard!$M$9,INDEX(Dashboard!$M$5:$M$9,$K460)))</f>
        <v/>
      </c>
      <c r="O460" s="64">
        <f>IF(OR($J460="Attempted",$J460="Revisit"),"DUE",IF($N460="","",IF($N460&lt;=TODAY(),"DUE","")))</f>
        <v/>
      </c>
      <c r="P460" s="64" t="n"/>
    </row>
    <row r="461" ht="15" customHeight="1" s="32">
      <c r="A461" s="64" t="n">
        <v>460</v>
      </c>
      <c r="B461" s="64" t="inlineStr">
        <is>
          <t>3. Linear DS - Stretch</t>
        </is>
      </c>
      <c r="C461" s="64" t="inlineStr">
        <is>
          <t>14. Heap &amp; Priority Queue</t>
        </is>
      </c>
      <c r="D461" s="64" t="inlineStr">
        <is>
          <t>Two heaps</t>
        </is>
      </c>
      <c r="E461" s="64" t="inlineStr">
        <is>
          <t>Maximum Performance of a Team</t>
        </is>
      </c>
      <c r="F461" s="64" t="inlineStr">
        <is>
          <t>Hard</t>
        </is>
      </c>
      <c r="G461" s="64" t="inlineStr">
        <is>
          <t>Stretch</t>
        </is>
      </c>
      <c r="H461" s="64" t="inlineStr">
        <is>
          <t>LeetCode</t>
        </is>
      </c>
      <c r="I461" s="64" t="inlineStr">
        <is>
          <t>https://leetcode.com/problems/maximum-performance-of-a-team/</t>
        </is>
      </c>
      <c r="J461" s="64" t="inlineStr">
        <is>
          <t>Not Started</t>
        </is>
      </c>
      <c r="K461" s="64" t="n"/>
      <c r="L461" s="64" t="n"/>
      <c r="M461" s="70" t="n"/>
      <c r="N461" s="70">
        <f>IF($M461="","",$M461+IF($K461="",Dashboard!$M$9,INDEX(Dashboard!$M$5:$M$9,$K461)))</f>
        <v/>
      </c>
      <c r="O461" s="64">
        <f>IF(OR($J461="Attempted",$J461="Revisit"),"DUE",IF($N461="","",IF($N461&lt;=TODAY(),"DUE","")))</f>
        <v/>
      </c>
      <c r="P461" s="64" t="n"/>
    </row>
    <row r="462" ht="15" customHeight="1" s="32">
      <c r="A462" s="64" t="n">
        <v>461</v>
      </c>
      <c r="B462" s="64" t="inlineStr">
        <is>
          <t>3. Linear DS - Stretch</t>
        </is>
      </c>
      <c r="C462" s="64" t="inlineStr">
        <is>
          <t>14. Heap &amp; Priority Queue</t>
        </is>
      </c>
      <c r="D462" s="64" t="inlineStr">
        <is>
          <t>Greedy + heap</t>
        </is>
      </c>
      <c r="E462" s="64" t="inlineStr">
        <is>
          <t>IPO</t>
        </is>
      </c>
      <c r="F462" s="64" t="inlineStr">
        <is>
          <t>Hard</t>
        </is>
      </c>
      <c r="G462" s="64" t="inlineStr">
        <is>
          <t>Stretch</t>
        </is>
      </c>
      <c r="H462" s="64" t="inlineStr">
        <is>
          <t>LeetCode</t>
        </is>
      </c>
      <c r="I462" s="64" t="inlineStr">
        <is>
          <t>https://leetcode.com/problems/ipo/</t>
        </is>
      </c>
      <c r="J462" s="64" t="inlineStr">
        <is>
          <t>Not Started</t>
        </is>
      </c>
      <c r="K462" s="64" t="n"/>
      <c r="L462" s="64" t="n"/>
      <c r="M462" s="70" t="n"/>
      <c r="N462" s="70">
        <f>IF($M462="","",$M462+IF($K462="",Dashboard!$M$9,INDEX(Dashboard!$M$5:$M$9,$K462)))</f>
        <v/>
      </c>
      <c r="O462" s="64">
        <f>IF(OR($J462="Attempted",$J462="Revisit"),"DUE",IF($N462="","",IF($N462&lt;=TODAY(),"DUE","")))</f>
        <v/>
      </c>
      <c r="P462" s="64" t="inlineStr">
        <is>
          <t>v3 addition</t>
        </is>
      </c>
    </row>
    <row r="463" ht="15" customHeight="1" s="32">
      <c r="A463" s="64" t="n">
        <v>462</v>
      </c>
      <c r="B463" s="64" t="inlineStr">
        <is>
          <t>3. Linear DS - Stretch</t>
        </is>
      </c>
      <c r="C463" s="64" t="inlineStr">
        <is>
          <t>14. Heap &amp; Priority Queue</t>
        </is>
      </c>
      <c r="D463" s="64" t="inlineStr">
        <is>
          <t>Greedy + heap</t>
        </is>
      </c>
      <c r="E463" s="64" t="inlineStr">
        <is>
          <t>Minimum Number of Refueling Stops</t>
        </is>
      </c>
      <c r="F463" s="64" t="inlineStr">
        <is>
          <t>Hard</t>
        </is>
      </c>
      <c r="G463" s="64" t="inlineStr">
        <is>
          <t>Stretch</t>
        </is>
      </c>
      <c r="H463" s="64" t="inlineStr">
        <is>
          <t>LeetCode</t>
        </is>
      </c>
      <c r="I463" s="64" t="inlineStr">
        <is>
          <t>https://leetcode.com/problems/minimum-number-of-refueling-stops/</t>
        </is>
      </c>
      <c r="J463" s="64" t="inlineStr">
        <is>
          <t>Not Started</t>
        </is>
      </c>
      <c r="K463" s="64" t="n"/>
      <c r="L463" s="64" t="n"/>
      <c r="M463" s="70" t="n"/>
      <c r="N463" s="70">
        <f>IF($M463="","",$M463+IF($K463="",Dashboard!$M$9,INDEX(Dashboard!$M$5:$M$9,$K463)))</f>
        <v/>
      </c>
      <c r="O463" s="64">
        <f>IF(OR($J463="Attempted",$J463="Revisit"),"DUE",IF($N463="","",IF($N463&lt;=TODAY(),"DUE","")))</f>
        <v/>
      </c>
      <c r="P463" s="64" t="inlineStr">
        <is>
          <t>v3 addition</t>
        </is>
      </c>
    </row>
    <row r="464" ht="15" customHeight="1" s="32">
      <c r="A464" s="64" t="n">
        <v>463</v>
      </c>
      <c r="B464" s="64" t="inlineStr">
        <is>
          <t>3. Linear DS - Stretch</t>
        </is>
      </c>
      <c r="C464" s="64" t="inlineStr">
        <is>
          <t>14. Heap &amp; Priority Queue</t>
        </is>
      </c>
      <c r="D464" s="64" t="inlineStr">
        <is>
          <t>Greedy + heap</t>
        </is>
      </c>
      <c r="E464" s="64" t="inlineStr">
        <is>
          <t>Course Schedule III</t>
        </is>
      </c>
      <c r="F464" s="64" t="inlineStr">
        <is>
          <t>Hard</t>
        </is>
      </c>
      <c r="G464" s="64" t="inlineStr">
        <is>
          <t>Stretch</t>
        </is>
      </c>
      <c r="H464" s="64" t="inlineStr">
        <is>
          <t>LeetCode</t>
        </is>
      </c>
      <c r="I464" s="64" t="inlineStr">
        <is>
          <t>https://leetcode.com/problems/course-schedule-iii/</t>
        </is>
      </c>
      <c r="J464" s="64" t="inlineStr">
        <is>
          <t>Not Started</t>
        </is>
      </c>
      <c r="K464" s="64" t="n"/>
      <c r="L464" s="64" t="n"/>
      <c r="M464" s="70" t="n"/>
      <c r="N464" s="70">
        <f>IF($M464="","",$M464+IF($K464="",Dashboard!$M$9,INDEX(Dashboard!$M$5:$M$9,$K464)))</f>
        <v/>
      </c>
      <c r="O464" s="64">
        <f>IF(OR($J464="Attempted",$J464="Revisit"),"DUE",IF($N464="","",IF($N464&lt;=TODAY(),"DUE","")))</f>
        <v/>
      </c>
      <c r="P464" s="64" t="inlineStr">
        <is>
          <t>v3 addition</t>
        </is>
      </c>
    </row>
    <row r="465" ht="15" customHeight="1" s="32">
      <c r="A465" s="64" t="n">
        <v>464</v>
      </c>
      <c r="B465" s="64" t="inlineStr">
        <is>
          <t>4. Greedy &amp; Backtracking - Core</t>
        </is>
      </c>
      <c r="C465" s="64" t="inlineStr">
        <is>
          <t>15. Intervals</t>
        </is>
      </c>
      <c r="D465" s="64" t="inlineStr">
        <is>
          <t>Merging</t>
        </is>
      </c>
      <c r="E465" s="64" t="inlineStr">
        <is>
          <t>Summary Ranges</t>
        </is>
      </c>
      <c r="F465" s="64" t="inlineStr">
        <is>
          <t>Easy</t>
        </is>
      </c>
      <c r="G465" s="64" t="inlineStr">
        <is>
          <t>Core</t>
        </is>
      </c>
      <c r="H465" s="64" t="inlineStr">
        <is>
          <t>LeetCode</t>
        </is>
      </c>
      <c r="I465" s="64" t="inlineStr">
        <is>
          <t>https://leetcode.com/problems/summary-ranges/</t>
        </is>
      </c>
      <c r="J465" s="64" t="inlineStr">
        <is>
          <t>Not Started</t>
        </is>
      </c>
      <c r="K465" s="64" t="n"/>
      <c r="L465" s="64" t="n"/>
      <c r="M465" s="70" t="n"/>
      <c r="N465" s="70">
        <f>IF($M465="","",$M465+IF($K465="",Dashboard!$M$9,INDEX(Dashboard!$M$5:$M$9,$K465)))</f>
        <v/>
      </c>
      <c r="O465" s="64">
        <f>IF(OR($J465="Attempted",$J465="Revisit"),"DUE",IF($N465="","",IF($N465&lt;=TODAY(),"DUE","")))</f>
        <v/>
      </c>
      <c r="P465" s="64" t="inlineStr">
        <is>
          <t>v3 addition</t>
        </is>
      </c>
    </row>
    <row r="466" ht="15" customHeight="1" s="32">
      <c r="A466" s="64" t="n">
        <v>465</v>
      </c>
      <c r="B466" s="64" t="inlineStr">
        <is>
          <t>4. Greedy &amp; Backtracking - Core</t>
        </is>
      </c>
      <c r="C466" s="64" t="inlineStr">
        <is>
          <t>15. Intervals</t>
        </is>
      </c>
      <c r="D466" s="64" t="inlineStr">
        <is>
          <t>Merging</t>
        </is>
      </c>
      <c r="E466" s="64" t="inlineStr">
        <is>
          <t>Merge Intervals</t>
        </is>
      </c>
      <c r="F466" s="64" t="inlineStr">
        <is>
          <t>Medium</t>
        </is>
      </c>
      <c r="G466" s="64" t="inlineStr">
        <is>
          <t>Core</t>
        </is>
      </c>
      <c r="H466" s="64" t="inlineStr">
        <is>
          <t>LeetCode</t>
        </is>
      </c>
      <c r="I466" s="64" t="inlineStr">
        <is>
          <t>https://leetcode.com/problems/merge-intervals/</t>
        </is>
      </c>
      <c r="J466" s="64" t="inlineStr">
        <is>
          <t>Not Started</t>
        </is>
      </c>
      <c r="K466" s="64" t="n"/>
      <c r="L466" s="64" t="n"/>
      <c r="M466" s="70" t="n"/>
      <c r="N466" s="70">
        <f>IF($M466="","",$M466+IF($K466="",Dashboard!$M$9,INDEX(Dashboard!$M$5:$M$9,$K466)))</f>
        <v/>
      </c>
      <c r="O466" s="64">
        <f>IF(OR($J466="Attempted",$J466="Revisit"),"DUE",IF($N466="","",IF($N466&lt;=TODAY(),"DUE","")))</f>
        <v/>
      </c>
      <c r="P466" s="64" t="inlineStr">
        <is>
          <t>v3 addition</t>
        </is>
      </c>
    </row>
    <row r="467" ht="15" customHeight="1" s="32">
      <c r="A467" s="64" t="n">
        <v>466</v>
      </c>
      <c r="B467" s="64" t="inlineStr">
        <is>
          <t>4. Greedy &amp; Backtracking - Core</t>
        </is>
      </c>
      <c r="C467" s="64" t="inlineStr">
        <is>
          <t>15. Intervals</t>
        </is>
      </c>
      <c r="D467" s="64" t="inlineStr">
        <is>
          <t>Merging</t>
        </is>
      </c>
      <c r="E467" s="64" t="inlineStr">
        <is>
          <t>Insert Interval</t>
        </is>
      </c>
      <c r="F467" s="64" t="inlineStr">
        <is>
          <t>Medium</t>
        </is>
      </c>
      <c r="G467" s="64" t="inlineStr">
        <is>
          <t>Core</t>
        </is>
      </c>
      <c r="H467" s="64" t="inlineStr">
        <is>
          <t>LeetCode</t>
        </is>
      </c>
      <c r="I467" s="64" t="inlineStr">
        <is>
          <t>https://leetcode.com/problems/insert-interval/</t>
        </is>
      </c>
      <c r="J467" s="64" t="inlineStr">
        <is>
          <t>Not Started</t>
        </is>
      </c>
      <c r="K467" s="64" t="n"/>
      <c r="L467" s="64" t="n"/>
      <c r="M467" s="70" t="n"/>
      <c r="N467" s="70">
        <f>IF($M467="","",$M467+IF($K467="",Dashboard!$M$9,INDEX(Dashboard!$M$5:$M$9,$K467)))</f>
        <v/>
      </c>
      <c r="O467" s="64">
        <f>IF(OR($J467="Attempted",$J467="Revisit"),"DUE",IF($N467="","",IF($N467&lt;=TODAY(),"DUE","")))</f>
        <v/>
      </c>
      <c r="P467" s="64" t="n"/>
    </row>
    <row r="468" ht="15" customHeight="1" s="32">
      <c r="A468" s="64" t="n">
        <v>467</v>
      </c>
      <c r="B468" s="64" t="inlineStr">
        <is>
          <t>4. Greedy &amp; Backtracking - Core</t>
        </is>
      </c>
      <c r="C468" s="64" t="inlineStr">
        <is>
          <t>15. Intervals</t>
        </is>
      </c>
      <c r="D468" s="64" t="inlineStr">
        <is>
          <t>Scheduling</t>
        </is>
      </c>
      <c r="E468" s="64" t="inlineStr">
        <is>
          <t>Meeting Rooms</t>
        </is>
      </c>
      <c r="F468" s="64" t="inlineStr">
        <is>
          <t>Easy</t>
        </is>
      </c>
      <c r="G468" s="64" t="inlineStr">
        <is>
          <t>Core</t>
        </is>
      </c>
      <c r="H468" s="64" t="inlineStr">
        <is>
          <t>GeeksforGeeks</t>
        </is>
      </c>
      <c r="I468" s="64" t="inlineStr">
        <is>
          <t>https://www.geeksforgeeks.org/problems/attend-all-meetings/1</t>
        </is>
      </c>
      <c r="J468" s="64" t="inlineStr">
        <is>
          <t>Not Started</t>
        </is>
      </c>
      <c r="K468" s="64" t="n"/>
      <c r="L468" s="64" t="n"/>
      <c r="M468" s="70" t="n"/>
      <c r="N468" s="70">
        <f>IF($M468="","",$M468+IF($K468="",Dashboard!$M$9,INDEX(Dashboard!$M$5:$M$9,$K468)))</f>
        <v/>
      </c>
      <c r="O468" s="64">
        <f>IF(OR($J468="Attempted",$J468="Revisit"),"DUE",IF($N468="","",IF($N468&lt;=TODAY(),"DUE","")))</f>
        <v/>
      </c>
      <c r="P468" s="64" t="inlineStr">
        <is>
          <t>v3 addition</t>
        </is>
      </c>
    </row>
    <row r="469" ht="15" customHeight="1" s="32">
      <c r="A469" s="64" t="n">
        <v>468</v>
      </c>
      <c r="B469" s="64" t="inlineStr">
        <is>
          <t>4. Greedy &amp; Backtracking - Core</t>
        </is>
      </c>
      <c r="C469" s="64" t="inlineStr">
        <is>
          <t>15. Intervals</t>
        </is>
      </c>
      <c r="D469" s="64" t="inlineStr">
        <is>
          <t>Scheduling</t>
        </is>
      </c>
      <c r="E469" s="64" t="inlineStr">
        <is>
          <t>Non-overlapping Intervals</t>
        </is>
      </c>
      <c r="F469" s="64" t="inlineStr">
        <is>
          <t>Medium</t>
        </is>
      </c>
      <c r="G469" s="64" t="inlineStr">
        <is>
          <t>Core</t>
        </is>
      </c>
      <c r="H469" s="64" t="inlineStr">
        <is>
          <t>LeetCode</t>
        </is>
      </c>
      <c r="I469" s="64" t="inlineStr">
        <is>
          <t>https://leetcode.com/problems/non-overlapping-intervals/</t>
        </is>
      </c>
      <c r="J469" s="64" t="inlineStr">
        <is>
          <t>Not Started</t>
        </is>
      </c>
      <c r="K469" s="64" t="n"/>
      <c r="L469" s="64" t="n"/>
      <c r="M469" s="70" t="n"/>
      <c r="N469" s="70">
        <f>IF($M469="","",$M469+IF($K469="",Dashboard!$M$9,INDEX(Dashboard!$M$5:$M$9,$K469)))</f>
        <v/>
      </c>
      <c r="O469" s="64">
        <f>IF(OR($J469="Attempted",$J469="Revisit"),"DUE",IF($N469="","",IF($N469&lt;=TODAY(),"DUE","")))</f>
        <v/>
      </c>
      <c r="P469" s="64" t="inlineStr">
        <is>
          <t>v3 addition</t>
        </is>
      </c>
    </row>
    <row r="470" ht="15" customHeight="1" s="32">
      <c r="A470" s="64" t="n">
        <v>469</v>
      </c>
      <c r="B470" s="64" t="inlineStr">
        <is>
          <t>4. Greedy &amp; Backtracking - Core</t>
        </is>
      </c>
      <c r="C470" s="64" t="inlineStr">
        <is>
          <t>15. Intervals</t>
        </is>
      </c>
      <c r="D470" s="64" t="inlineStr">
        <is>
          <t>Scheduling</t>
        </is>
      </c>
      <c r="E470" s="64" t="inlineStr">
        <is>
          <t>Attend All Meetings II (Min Meeting Rooms)</t>
        </is>
      </c>
      <c r="F470" s="64" t="inlineStr">
        <is>
          <t>Medium</t>
        </is>
      </c>
      <c r="G470" s="64" t="inlineStr">
        <is>
          <t>Core</t>
        </is>
      </c>
      <c r="H470" s="64" t="inlineStr">
        <is>
          <t>GeeksforGeeks</t>
        </is>
      </c>
      <c r="I470" s="64" t="inlineStr">
        <is>
          <t>https://www.geeksforgeeks.org/problems/attend-all-meetings-ii/1</t>
        </is>
      </c>
      <c r="J470" s="64" t="inlineStr">
        <is>
          <t>Not Started</t>
        </is>
      </c>
      <c r="K470" s="64" t="n"/>
      <c r="L470" s="64" t="n"/>
      <c r="M470" s="70" t="n"/>
      <c r="N470" s="70">
        <f>IF($M470="","",$M470+IF($K470="",Dashboard!$M$9,INDEX(Dashboard!$M$5:$M$9,$K470)))</f>
        <v/>
      </c>
      <c r="O470" s="64">
        <f>IF(OR($J470="Attempted",$J470="Revisit"),"DUE",IF($N470="","",IF($N470&lt;=TODAY(),"DUE","")))</f>
        <v/>
      </c>
      <c r="P470" s="64" t="inlineStr">
        <is>
          <t>v3 addition</t>
        </is>
      </c>
    </row>
    <row r="471" ht="15" customHeight="1" s="32">
      <c r="A471" s="64" t="n">
        <v>470</v>
      </c>
      <c r="B471" s="64" t="inlineStr">
        <is>
          <t>4. Greedy &amp; Backtracking - Core</t>
        </is>
      </c>
      <c r="C471" s="64" t="inlineStr">
        <is>
          <t>15. Intervals</t>
        </is>
      </c>
      <c r="D471" s="64" t="inlineStr">
        <is>
          <t>Booking</t>
        </is>
      </c>
      <c r="E471" s="64" t="inlineStr">
        <is>
          <t>My Calendar I</t>
        </is>
      </c>
      <c r="F471" s="64" t="inlineStr">
        <is>
          <t>Medium</t>
        </is>
      </c>
      <c r="G471" s="64" t="inlineStr">
        <is>
          <t>Core</t>
        </is>
      </c>
      <c r="H471" s="64" t="inlineStr">
        <is>
          <t>LeetCode</t>
        </is>
      </c>
      <c r="I471" s="64" t="inlineStr">
        <is>
          <t>https://leetcode.com/problems/my-calendar-i/</t>
        </is>
      </c>
      <c r="J471" s="64" t="inlineStr">
        <is>
          <t>Not Started</t>
        </is>
      </c>
      <c r="K471" s="64" t="n"/>
      <c r="L471" s="64" t="n"/>
      <c r="M471" s="70" t="n"/>
      <c r="N471" s="70">
        <f>IF($M471="","",$M471+IF($K471="",Dashboard!$M$9,INDEX(Dashboard!$M$5:$M$9,$K471)))</f>
        <v/>
      </c>
      <c r="O471" s="64">
        <f>IF(OR($J471="Attempted",$J471="Revisit"),"DUE",IF($N471="","",IF($N471&lt;=TODAY(),"DUE","")))</f>
        <v/>
      </c>
      <c r="P471" s="64" t="inlineStr">
        <is>
          <t>v3 addition</t>
        </is>
      </c>
    </row>
    <row r="472" ht="15" customHeight="1" s="32">
      <c r="A472" s="64" t="n">
        <v>471</v>
      </c>
      <c r="B472" s="64" t="inlineStr">
        <is>
          <t>4. Greedy &amp; Backtracking - Core</t>
        </is>
      </c>
      <c r="C472" s="64" t="inlineStr">
        <is>
          <t>15. Intervals</t>
        </is>
      </c>
      <c r="D472" s="64" t="inlineStr">
        <is>
          <t>Booking</t>
        </is>
      </c>
      <c r="E472" s="64" t="inlineStr">
        <is>
          <t>My Calendar II</t>
        </is>
      </c>
      <c r="F472" s="64" t="inlineStr">
        <is>
          <t>Medium</t>
        </is>
      </c>
      <c r="G472" s="64" t="inlineStr">
        <is>
          <t>Core</t>
        </is>
      </c>
      <c r="H472" s="64" t="inlineStr">
        <is>
          <t>LeetCode</t>
        </is>
      </c>
      <c r="I472" s="64" t="inlineStr">
        <is>
          <t>https://leetcode.com/problems/my-calendar-ii/</t>
        </is>
      </c>
      <c r="J472" s="64" t="inlineStr">
        <is>
          <t>Not Started</t>
        </is>
      </c>
      <c r="K472" s="64" t="n"/>
      <c r="L472" s="64" t="n"/>
      <c r="M472" s="70" t="n"/>
      <c r="N472" s="70">
        <f>IF($M472="","",$M472+IF($K472="",Dashboard!$M$9,INDEX(Dashboard!$M$5:$M$9,$K472)))</f>
        <v/>
      </c>
      <c r="O472" s="64">
        <f>IF(OR($J472="Attempted",$J472="Revisit"),"DUE",IF($N472="","",IF($N472&lt;=TODAY(),"DUE","")))</f>
        <v/>
      </c>
      <c r="P472" s="64" t="n"/>
    </row>
    <row r="473" ht="15" customHeight="1" s="32">
      <c r="A473" s="64" t="n">
        <v>472</v>
      </c>
      <c r="B473" s="64" t="inlineStr">
        <is>
          <t>4. Greedy &amp; Backtracking - Core</t>
        </is>
      </c>
      <c r="C473" s="64" t="inlineStr">
        <is>
          <t>16. Greedy</t>
        </is>
      </c>
      <c r="D473" s="64" t="inlineStr">
        <is>
          <t>Sort + pick</t>
        </is>
      </c>
      <c r="E473" s="64" t="inlineStr">
        <is>
          <t>Assign Cookies</t>
        </is>
      </c>
      <c r="F473" s="64" t="inlineStr">
        <is>
          <t>Easy</t>
        </is>
      </c>
      <c r="G473" s="64" t="inlineStr">
        <is>
          <t>Core</t>
        </is>
      </c>
      <c r="H473" s="64" t="inlineStr">
        <is>
          <t>LeetCode</t>
        </is>
      </c>
      <c r="I473" s="64" t="inlineStr">
        <is>
          <t>https://leetcode.com/problems/assign-cookies/</t>
        </is>
      </c>
      <c r="J473" s="64" t="inlineStr">
        <is>
          <t>Not Started</t>
        </is>
      </c>
      <c r="K473" s="64" t="n"/>
      <c r="L473" s="64" t="n"/>
      <c r="M473" s="70" t="n"/>
      <c r="N473" s="70">
        <f>IF($M473="","",$M473+IF($K473="",Dashboard!$M$9,INDEX(Dashboard!$M$5:$M$9,$K473)))</f>
        <v/>
      </c>
      <c r="O473" s="64">
        <f>IF(OR($J473="Attempted",$J473="Revisit"),"DUE",IF($N473="","",IF($N473&lt;=TODAY(),"DUE","")))</f>
        <v/>
      </c>
      <c r="P473" s="64" t="n"/>
    </row>
    <row r="474" ht="15" customHeight="1" s="32">
      <c r="A474" s="64" t="n">
        <v>473</v>
      </c>
      <c r="B474" s="64" t="inlineStr">
        <is>
          <t>4. Greedy &amp; Backtracking - Core</t>
        </is>
      </c>
      <c r="C474" s="64" t="inlineStr">
        <is>
          <t>16. Greedy</t>
        </is>
      </c>
      <c r="D474" s="64" t="inlineStr">
        <is>
          <t>Sort + pick</t>
        </is>
      </c>
      <c r="E474" s="64" t="inlineStr">
        <is>
          <t>Array Partition</t>
        </is>
      </c>
      <c r="F474" s="64" t="inlineStr">
        <is>
          <t>Easy</t>
        </is>
      </c>
      <c r="G474" s="64" t="inlineStr">
        <is>
          <t>Core</t>
        </is>
      </c>
      <c r="H474" s="64" t="inlineStr">
        <is>
          <t>LeetCode</t>
        </is>
      </c>
      <c r="I474" s="64" t="inlineStr">
        <is>
          <t>https://leetcode.com/problems/array-partition/</t>
        </is>
      </c>
      <c r="J474" s="64" t="inlineStr">
        <is>
          <t>Not Started</t>
        </is>
      </c>
      <c r="K474" s="64" t="n"/>
      <c r="L474" s="64" t="n"/>
      <c r="M474" s="70" t="n"/>
      <c r="N474" s="70">
        <f>IF($M474="","",$M474+IF($K474="",Dashboard!$M$9,INDEX(Dashboard!$M$5:$M$9,$K474)))</f>
        <v/>
      </c>
      <c r="O474" s="64">
        <f>IF(OR($J474="Attempted",$J474="Revisit"),"DUE",IF($N474="","",IF($N474&lt;=TODAY(),"DUE","")))</f>
        <v/>
      </c>
      <c r="P474" s="64" t="n"/>
    </row>
    <row r="475" ht="15" customHeight="1" s="32">
      <c r="A475" s="64" t="n">
        <v>474</v>
      </c>
      <c r="B475" s="64" t="inlineStr">
        <is>
          <t>4. Greedy &amp; Backtracking - Core</t>
        </is>
      </c>
      <c r="C475" s="64" t="inlineStr">
        <is>
          <t>16. Greedy</t>
        </is>
      </c>
      <c r="D475" s="64" t="inlineStr">
        <is>
          <t>Classic greedy</t>
        </is>
      </c>
      <c r="E475" s="64" t="inlineStr">
        <is>
          <t>Shortest Job First</t>
        </is>
      </c>
      <c r="F475" s="64" t="inlineStr">
        <is>
          <t>Easy</t>
        </is>
      </c>
      <c r="G475" s="64" t="inlineStr">
        <is>
          <t>Core</t>
        </is>
      </c>
      <c r="H475" s="64" t="inlineStr">
        <is>
          <t>GeeksforGeeks</t>
        </is>
      </c>
      <c r="I475" s="64" t="inlineStr">
        <is>
          <t>https://www.geeksforgeeks.org/problems/shortest-job-first/1</t>
        </is>
      </c>
      <c r="J475" s="64" t="inlineStr">
        <is>
          <t>Not Started</t>
        </is>
      </c>
      <c r="K475" s="64" t="n"/>
      <c r="L475" s="64" t="n"/>
      <c r="M475" s="70" t="n"/>
      <c r="N475" s="70">
        <f>IF($M475="","",$M475+IF($K475="",Dashboard!$M$9,INDEX(Dashboard!$M$5:$M$9,$K475)))</f>
        <v/>
      </c>
      <c r="O475" s="64">
        <f>IF(OR($J475="Attempted",$J475="Revisit"),"DUE",IF($N475="","",IF($N475&lt;=TODAY(),"DUE","")))</f>
        <v/>
      </c>
      <c r="P475" s="64" t="inlineStr">
        <is>
          <t>v3 addition</t>
        </is>
      </c>
    </row>
    <row r="476" ht="15" customHeight="1" s="32">
      <c r="A476" s="64" t="n">
        <v>475</v>
      </c>
      <c r="B476" s="64" t="inlineStr">
        <is>
          <t>4. Greedy &amp; Backtracking - Core</t>
        </is>
      </c>
      <c r="C476" s="64" t="inlineStr">
        <is>
          <t>16. Greedy</t>
        </is>
      </c>
      <c r="D476" s="64" t="inlineStr">
        <is>
          <t>Classic greedy</t>
        </is>
      </c>
      <c r="E476" s="64" t="inlineStr">
        <is>
          <t>Maximum Units on a Truck</t>
        </is>
      </c>
      <c r="F476" s="64" t="inlineStr">
        <is>
          <t>Easy</t>
        </is>
      </c>
      <c r="G476" s="64" t="inlineStr">
        <is>
          <t>Core</t>
        </is>
      </c>
      <c r="H476" s="64" t="inlineStr">
        <is>
          <t>LeetCode</t>
        </is>
      </c>
      <c r="I476" s="64" t="inlineStr">
        <is>
          <t>https://leetcode.com/problems/maximum-units-on-a-truck/</t>
        </is>
      </c>
      <c r="J476" s="64" t="inlineStr">
        <is>
          <t>Not Started</t>
        </is>
      </c>
      <c r="K476" s="64" t="n"/>
      <c r="L476" s="64" t="n"/>
      <c r="M476" s="70" t="n"/>
      <c r="N476" s="70">
        <f>IF($M476="","",$M476+IF($K476="",Dashboard!$M$9,INDEX(Dashboard!$M$5:$M$9,$K476)))</f>
        <v/>
      </c>
      <c r="O476" s="64">
        <f>IF(OR($J476="Attempted",$J476="Revisit"),"DUE",IF($N476="","",IF($N476&lt;=TODAY(),"DUE","")))</f>
        <v/>
      </c>
      <c r="P476" s="64" t="inlineStr">
        <is>
          <t>v3 addition</t>
        </is>
      </c>
    </row>
    <row r="477" ht="15" customHeight="1" s="32">
      <c r="A477" s="64" t="n">
        <v>476</v>
      </c>
      <c r="B477" s="64" t="inlineStr">
        <is>
          <t>4. Greedy &amp; Backtracking - Core</t>
        </is>
      </c>
      <c r="C477" s="64" t="inlineStr">
        <is>
          <t>16. Greedy</t>
        </is>
      </c>
      <c r="D477" s="64" t="inlineStr">
        <is>
          <t>Classic greedy</t>
        </is>
      </c>
      <c r="E477" s="64" t="inlineStr">
        <is>
          <t>Activity Selection</t>
        </is>
      </c>
      <c r="F477" s="64" t="inlineStr">
        <is>
          <t>Easy</t>
        </is>
      </c>
      <c r="G477" s="64" t="inlineStr">
        <is>
          <t>Core</t>
        </is>
      </c>
      <c r="H477" s="64" t="inlineStr">
        <is>
          <t>GeeksforGeeks</t>
        </is>
      </c>
      <c r="I477" s="64" t="inlineStr">
        <is>
          <t>https://www.geeksforgeeks.org/search/?q=Activity+Selection</t>
        </is>
      </c>
      <c r="J477" s="64" t="inlineStr">
        <is>
          <t>Not Started</t>
        </is>
      </c>
      <c r="K477" s="64" t="n"/>
      <c r="L477" s="64" t="n"/>
      <c r="M477" s="70" t="n"/>
      <c r="N477" s="70">
        <f>IF($M477="","",$M477+IF($K477="",Dashboard!$M$9,INDEX(Dashboard!$M$5:$M$9,$K477)))</f>
        <v/>
      </c>
      <c r="O477" s="64">
        <f>IF(OR($J477="Attempted",$J477="Revisit"),"DUE",IF($N477="","",IF($N477&lt;=TODAY(),"DUE","")))</f>
        <v/>
      </c>
      <c r="P477" s="64" t="inlineStr">
        <is>
          <t>v3 addition</t>
        </is>
      </c>
    </row>
    <row r="478" ht="15" customHeight="1" s="32">
      <c r="A478" s="64" t="n">
        <v>477</v>
      </c>
      <c r="B478" s="64" t="inlineStr">
        <is>
          <t>4. Greedy &amp; Backtracking - Core</t>
        </is>
      </c>
      <c r="C478" s="64" t="inlineStr">
        <is>
          <t>16. Greedy</t>
        </is>
      </c>
      <c r="D478" s="64" t="inlineStr">
        <is>
          <t>Simulation</t>
        </is>
      </c>
      <c r="E478" s="64" t="inlineStr">
        <is>
          <t>Lemonade Change</t>
        </is>
      </c>
      <c r="F478" s="64" t="inlineStr">
        <is>
          <t>Easy</t>
        </is>
      </c>
      <c r="G478" s="64" t="inlineStr">
        <is>
          <t>Core</t>
        </is>
      </c>
      <c r="H478" s="64" t="inlineStr">
        <is>
          <t>LeetCode</t>
        </is>
      </c>
      <c r="I478" s="64" t="inlineStr">
        <is>
          <t>https://leetcode.com/problems/lemonade-change/</t>
        </is>
      </c>
      <c r="J478" s="64" t="inlineStr">
        <is>
          <t>Not Started</t>
        </is>
      </c>
      <c r="K478" s="64" t="n"/>
      <c r="L478" s="64" t="n"/>
      <c r="M478" s="70" t="n"/>
      <c r="N478" s="70">
        <f>IF($M478="","",$M478+IF($K478="",Dashboard!$M$9,INDEX(Dashboard!$M$5:$M$9,$K478)))</f>
        <v/>
      </c>
      <c r="O478" s="64">
        <f>IF(OR($J478="Attempted",$J478="Revisit"),"DUE",IF($N478="","",IF($N478&lt;=TODAY(),"DUE","")))</f>
        <v/>
      </c>
      <c r="P478" s="64" t="inlineStr">
        <is>
          <t>v3 addition</t>
        </is>
      </c>
    </row>
    <row r="479" ht="15" customHeight="1" s="32">
      <c r="A479" s="64" t="n">
        <v>478</v>
      </c>
      <c r="B479" s="64" t="inlineStr">
        <is>
          <t>4. Greedy &amp; Backtracking - Core</t>
        </is>
      </c>
      <c r="C479" s="64" t="inlineStr">
        <is>
          <t>16. Greedy</t>
        </is>
      </c>
      <c r="D479" s="64" t="inlineStr">
        <is>
          <t>Prefix scan</t>
        </is>
      </c>
      <c r="E479" s="64" t="inlineStr">
        <is>
          <t>Minimum Value to Get Positive Step by Step Sum</t>
        </is>
      </c>
      <c r="F479" s="64" t="inlineStr">
        <is>
          <t>Easy</t>
        </is>
      </c>
      <c r="G479" s="64" t="inlineStr">
        <is>
          <t>Core</t>
        </is>
      </c>
      <c r="H479" s="64" t="inlineStr">
        <is>
          <t>LeetCode</t>
        </is>
      </c>
      <c r="I479" s="64" t="inlineStr">
        <is>
          <t>https://leetcode.com/problems/minimum-value-to-get-positive-step-by-step-sum/</t>
        </is>
      </c>
      <c r="J479" s="64" t="inlineStr">
        <is>
          <t>Not Started</t>
        </is>
      </c>
      <c r="K479" s="64" t="n"/>
      <c r="L479" s="64" t="n"/>
      <c r="M479" s="70" t="n"/>
      <c r="N479" s="70">
        <f>IF($M479="","",$M479+IF($K479="",Dashboard!$M$9,INDEX(Dashboard!$M$5:$M$9,$K479)))</f>
        <v/>
      </c>
      <c r="O479" s="64">
        <f>IF(OR($J479="Attempted",$J479="Revisit"),"DUE",IF($N479="","",IF($N479&lt;=TODAY(),"DUE","")))</f>
        <v/>
      </c>
      <c r="P479" s="64" t="inlineStr">
        <is>
          <t>v3 addition</t>
        </is>
      </c>
    </row>
    <row r="480" ht="15" customHeight="1" s="32">
      <c r="A480" s="64" t="n">
        <v>479</v>
      </c>
      <c r="B480" s="64" t="inlineStr">
        <is>
          <t>4. Greedy &amp; Backtracking - Core</t>
        </is>
      </c>
      <c r="C480" s="64" t="inlineStr">
        <is>
          <t>16. Greedy</t>
        </is>
      </c>
      <c r="D480" s="64" t="inlineStr">
        <is>
          <t>Prefix scan</t>
        </is>
      </c>
      <c r="E480" s="64" t="inlineStr">
        <is>
          <t>Find the Highest Altitude</t>
        </is>
      </c>
      <c r="F480" s="64" t="inlineStr">
        <is>
          <t>Easy</t>
        </is>
      </c>
      <c r="G480" s="64" t="inlineStr">
        <is>
          <t>Core</t>
        </is>
      </c>
      <c r="H480" s="64" t="inlineStr">
        <is>
          <t>LeetCode</t>
        </is>
      </c>
      <c r="I480" s="64" t="inlineStr">
        <is>
          <t>https://leetcode.com/problems/find-the-highest-altitude/</t>
        </is>
      </c>
      <c r="J480" s="64" t="inlineStr">
        <is>
          <t>Not Started</t>
        </is>
      </c>
      <c r="K480" s="64" t="n"/>
      <c r="L480" s="64" t="n"/>
      <c r="M480" s="70" t="n"/>
      <c r="N480" s="70">
        <f>IF($M480="","",$M480+IF($K480="",Dashboard!$M$9,INDEX(Dashboard!$M$5:$M$9,$K480)))</f>
        <v/>
      </c>
      <c r="O480" s="64">
        <f>IF(OR($J480="Attempted",$J480="Revisit"),"DUE",IF($N480="","",IF($N480&lt;=TODAY(),"DUE","")))</f>
        <v/>
      </c>
      <c r="P480" s="64" t="inlineStr">
        <is>
          <t>v3 addition</t>
        </is>
      </c>
    </row>
    <row r="481" ht="15" customHeight="1" s="32">
      <c r="A481" s="64" t="n">
        <v>480</v>
      </c>
      <c r="B481" s="64" t="inlineStr">
        <is>
          <t>4. Greedy &amp; Backtracking - Core</t>
        </is>
      </c>
      <c r="C481" s="64" t="inlineStr">
        <is>
          <t>16. Greedy</t>
        </is>
      </c>
      <c r="D481" s="64" t="inlineStr">
        <is>
          <t>Prefix scan</t>
        </is>
      </c>
      <c r="E481" s="64" t="inlineStr">
        <is>
          <t>Split a String in Balanced Strings</t>
        </is>
      </c>
      <c r="F481" s="64" t="inlineStr">
        <is>
          <t>Easy</t>
        </is>
      </c>
      <c r="G481" s="64" t="inlineStr">
        <is>
          <t>Core</t>
        </is>
      </c>
      <c r="H481" s="64" t="inlineStr">
        <is>
          <t>LeetCode</t>
        </is>
      </c>
      <c r="I481" s="64" t="inlineStr">
        <is>
          <t>https://leetcode.com/problems/split-a-string-in-balanced-strings/</t>
        </is>
      </c>
      <c r="J481" s="64" t="inlineStr">
        <is>
          <t>Not Started</t>
        </is>
      </c>
      <c r="K481" s="64" t="n"/>
      <c r="L481" s="64" t="n"/>
      <c r="M481" s="70" t="n"/>
      <c r="N481" s="70">
        <f>IF($M481="","",$M481+IF($K481="",Dashboard!$M$9,INDEX(Dashboard!$M$5:$M$9,$K481)))</f>
        <v/>
      </c>
      <c r="O481" s="64">
        <f>IF(OR($J481="Attempted",$J481="Revisit"),"DUE",IF($N481="","",IF($N481&lt;=TODAY(),"DUE","")))</f>
        <v/>
      </c>
      <c r="P481" s="64" t="inlineStr">
        <is>
          <t>v3 addition</t>
        </is>
      </c>
    </row>
    <row r="482" ht="15" customHeight="1" s="32">
      <c r="A482" s="64" t="n">
        <v>481</v>
      </c>
      <c r="B482" s="64" t="inlineStr">
        <is>
          <t>4. Greedy &amp; Backtracking - Core</t>
        </is>
      </c>
      <c r="C482" s="64" t="inlineStr">
        <is>
          <t>16. Greedy</t>
        </is>
      </c>
      <c r="D482" s="64" t="inlineStr">
        <is>
          <t>Prefix scan</t>
        </is>
      </c>
      <c r="E482" s="64" t="inlineStr">
        <is>
          <t>Gas Station</t>
        </is>
      </c>
      <c r="F482" s="64" t="inlineStr">
        <is>
          <t>Medium</t>
        </is>
      </c>
      <c r="G482" s="64" t="inlineStr">
        <is>
          <t>Core</t>
        </is>
      </c>
      <c r="H482" s="64" t="inlineStr">
        <is>
          <t>LeetCode</t>
        </is>
      </c>
      <c r="I482" s="64" t="inlineStr">
        <is>
          <t>https://leetcode.com/problems/gas-station/</t>
        </is>
      </c>
      <c r="J482" s="64" t="inlineStr">
        <is>
          <t>Not Started</t>
        </is>
      </c>
      <c r="K482" s="64" t="n"/>
      <c r="L482" s="64" t="n"/>
      <c r="M482" s="70" t="n"/>
      <c r="N482" s="70">
        <f>IF($M482="","",$M482+IF($K482="",Dashboard!$M$9,INDEX(Dashboard!$M$5:$M$9,$K482)))</f>
        <v/>
      </c>
      <c r="O482" s="64">
        <f>IF(OR($J482="Attempted",$J482="Revisit"),"DUE",IF($N482="","",IF($N482&lt;=TODAY(),"DUE","")))</f>
        <v/>
      </c>
      <c r="P482" s="64" t="inlineStr">
        <is>
          <t>v3 addition</t>
        </is>
      </c>
    </row>
    <row r="483" ht="15" customHeight="1" s="32">
      <c r="A483" s="64" t="n">
        <v>482</v>
      </c>
      <c r="B483" s="64" t="inlineStr">
        <is>
          <t>4. Greedy &amp; Backtracking - Core</t>
        </is>
      </c>
      <c r="C483" s="64" t="inlineStr">
        <is>
          <t>16. Greedy</t>
        </is>
      </c>
      <c r="D483" s="64" t="inlineStr">
        <is>
          <t>Two pass</t>
        </is>
      </c>
      <c r="E483" s="64" t="inlineStr">
        <is>
          <t>Shortest Distance to a Character</t>
        </is>
      </c>
      <c r="F483" s="64" t="inlineStr">
        <is>
          <t>Easy</t>
        </is>
      </c>
      <c r="G483" s="64" t="inlineStr">
        <is>
          <t>Core</t>
        </is>
      </c>
      <c r="H483" s="64" t="inlineStr">
        <is>
          <t>LeetCode</t>
        </is>
      </c>
      <c r="I483" s="64" t="inlineStr">
        <is>
          <t>https://leetcode.com/problems/shortest-distance-to-a-character/</t>
        </is>
      </c>
      <c r="J483" s="64" t="inlineStr">
        <is>
          <t>Not Started</t>
        </is>
      </c>
      <c r="K483" s="64" t="n"/>
      <c r="L483" s="64" t="n"/>
      <c r="M483" s="70" t="n"/>
      <c r="N483" s="70">
        <f>IF($M483="","",$M483+IF($K483="",Dashboard!$M$9,INDEX(Dashboard!$M$5:$M$9,$K483)))</f>
        <v/>
      </c>
      <c r="O483" s="64">
        <f>IF(OR($J483="Attempted",$J483="Revisit"),"DUE",IF($N483="","",IF($N483&lt;=TODAY(),"DUE","")))</f>
        <v/>
      </c>
      <c r="P483" s="64" t="inlineStr">
        <is>
          <t>v3 addition</t>
        </is>
      </c>
    </row>
    <row r="484" ht="15" customHeight="1" s="32">
      <c r="A484" s="64" t="n">
        <v>483</v>
      </c>
      <c r="B484" s="64" t="inlineStr">
        <is>
          <t>4. Greedy &amp; Backtracking - Core</t>
        </is>
      </c>
      <c r="C484" s="64" t="inlineStr">
        <is>
          <t>16. Greedy</t>
        </is>
      </c>
      <c r="D484" s="64" t="inlineStr">
        <is>
          <t>Two pass</t>
        </is>
      </c>
      <c r="E484" s="64" t="inlineStr">
        <is>
          <t>Replace Elements with Greatest Element on Right Side</t>
        </is>
      </c>
      <c r="F484" s="64" t="inlineStr">
        <is>
          <t>Easy</t>
        </is>
      </c>
      <c r="G484" s="64" t="inlineStr">
        <is>
          <t>Core</t>
        </is>
      </c>
      <c r="H484" s="64" t="inlineStr">
        <is>
          <t>LeetCode</t>
        </is>
      </c>
      <c r="I484" s="64" t="inlineStr">
        <is>
          <t>https://leetcode.com/problems/replace-elements-with-greatest-element-on-right-side/</t>
        </is>
      </c>
      <c r="J484" s="64" t="inlineStr">
        <is>
          <t>Not Started</t>
        </is>
      </c>
      <c r="K484" s="64" t="n"/>
      <c r="L484" s="64" t="n"/>
      <c r="M484" s="70" t="n"/>
      <c r="N484" s="70">
        <f>IF($M484="","",$M484+IF($K484="",Dashboard!$M$9,INDEX(Dashboard!$M$5:$M$9,$K484)))</f>
        <v/>
      </c>
      <c r="O484" s="64">
        <f>IF(OR($J484="Attempted",$J484="Revisit"),"DUE",IF($N484="","",IF($N484&lt;=TODAY(),"DUE","")))</f>
        <v/>
      </c>
      <c r="P484" s="64" t="inlineStr">
        <is>
          <t>v3 addition</t>
        </is>
      </c>
    </row>
    <row r="485" ht="15" customHeight="1" s="32">
      <c r="A485" s="64" t="n">
        <v>484</v>
      </c>
      <c r="B485" s="64" t="inlineStr">
        <is>
          <t>4. Greedy &amp; Backtracking - Core</t>
        </is>
      </c>
      <c r="C485" s="64" t="inlineStr">
        <is>
          <t>16. Greedy</t>
        </is>
      </c>
      <c r="D485" s="64" t="inlineStr">
        <is>
          <t>Two pass</t>
        </is>
      </c>
      <c r="E485" s="64" t="inlineStr">
        <is>
          <t>Wiggle Subsequence</t>
        </is>
      </c>
      <c r="F485" s="64" t="inlineStr">
        <is>
          <t>Medium</t>
        </is>
      </c>
      <c r="G485" s="64" t="inlineStr">
        <is>
          <t>Core</t>
        </is>
      </c>
      <c r="H485" s="64" t="inlineStr">
        <is>
          <t>LeetCode</t>
        </is>
      </c>
      <c r="I485" s="64" t="inlineStr">
        <is>
          <t>https://leetcode.com/problems/wiggle-subsequence/</t>
        </is>
      </c>
      <c r="J485" s="64" t="inlineStr">
        <is>
          <t>Not Started</t>
        </is>
      </c>
      <c r="K485" s="64" t="n"/>
      <c r="L485" s="64" t="n"/>
      <c r="M485" s="70" t="n"/>
      <c r="N485" s="70">
        <f>IF($M485="","",$M485+IF($K485="",Dashboard!$M$9,INDEX(Dashboard!$M$5:$M$9,$K485)))</f>
        <v/>
      </c>
      <c r="O485" s="64">
        <f>IF(OR($J485="Attempted",$J485="Revisit"),"DUE",IF($N485="","",IF($N485&lt;=TODAY(),"DUE","")))</f>
        <v/>
      </c>
      <c r="P485" s="64" t="inlineStr">
        <is>
          <t>v3 addition</t>
        </is>
      </c>
    </row>
    <row r="486" ht="15" customHeight="1" s="32">
      <c r="A486" s="64" t="n">
        <v>485</v>
      </c>
      <c r="B486" s="64" t="inlineStr">
        <is>
          <t>4. Greedy &amp; Backtracking - Core</t>
        </is>
      </c>
      <c r="C486" s="64" t="inlineStr">
        <is>
          <t>16. Greedy</t>
        </is>
      </c>
      <c r="D486" s="64" t="inlineStr">
        <is>
          <t>Validation</t>
        </is>
      </c>
      <c r="E486" s="64" t="inlineStr">
        <is>
          <t>Can Place Flowers</t>
        </is>
      </c>
      <c r="F486" s="64" t="inlineStr">
        <is>
          <t>Easy</t>
        </is>
      </c>
      <c r="G486" s="64" t="inlineStr">
        <is>
          <t>Core</t>
        </is>
      </c>
      <c r="H486" s="64" t="inlineStr">
        <is>
          <t>LeetCode</t>
        </is>
      </c>
      <c r="I486" s="64" t="inlineStr">
        <is>
          <t>https://leetcode.com/problems/can-place-flowers/</t>
        </is>
      </c>
      <c r="J486" s="64" t="inlineStr">
        <is>
          <t>Not Started</t>
        </is>
      </c>
      <c r="K486" s="64" t="n"/>
      <c r="L486" s="64" t="n"/>
      <c r="M486" s="70" t="n"/>
      <c r="N486" s="70">
        <f>IF($M486="","",$M486+IF($K486="",Dashboard!$M$9,INDEX(Dashboard!$M$5:$M$9,$K486)))</f>
        <v/>
      </c>
      <c r="O486" s="64">
        <f>IF(OR($J486="Attempted",$J486="Revisit"),"DUE",IF($N486="","",IF($N486&lt;=TODAY(),"DUE","")))</f>
        <v/>
      </c>
      <c r="P486" s="64" t="inlineStr">
        <is>
          <t>v3 addition</t>
        </is>
      </c>
    </row>
    <row r="487" ht="15" customHeight="1" s="32">
      <c r="A487" s="64" t="n">
        <v>486</v>
      </c>
      <c r="B487" s="64" t="inlineStr">
        <is>
          <t>4. Greedy &amp; Backtracking - Core</t>
        </is>
      </c>
      <c r="C487" s="64" t="inlineStr">
        <is>
          <t>16. Greedy</t>
        </is>
      </c>
      <c r="D487" s="64" t="inlineStr">
        <is>
          <t>Validation</t>
        </is>
      </c>
      <c r="E487" s="64" t="inlineStr">
        <is>
          <t>Check if Array Is Sorted and Rotated</t>
        </is>
      </c>
      <c r="F487" s="64" t="inlineStr">
        <is>
          <t>Easy</t>
        </is>
      </c>
      <c r="G487" s="64" t="inlineStr">
        <is>
          <t>Core</t>
        </is>
      </c>
      <c r="H487" s="64" t="inlineStr">
        <is>
          <t>LeetCode</t>
        </is>
      </c>
      <c r="I487" s="64" t="inlineStr">
        <is>
          <t>https://leetcode.com/problems/check-if-array-is-sorted-and-rotated/</t>
        </is>
      </c>
      <c r="J487" s="64" t="inlineStr">
        <is>
          <t>Not Started</t>
        </is>
      </c>
      <c r="K487" s="64" t="n"/>
      <c r="L487" s="64" t="n"/>
      <c r="M487" s="70" t="n"/>
      <c r="N487" s="70">
        <f>IF($M487="","",$M487+IF($K487="",Dashboard!$M$9,INDEX(Dashboard!$M$5:$M$9,$K487)))</f>
        <v/>
      </c>
      <c r="O487" s="64">
        <f>IF(OR($J487="Attempted",$J487="Revisit"),"DUE",IF($N487="","",IF($N487&lt;=TODAY(),"DUE","")))</f>
        <v/>
      </c>
      <c r="P487" s="64" t="inlineStr">
        <is>
          <t>v3 addition</t>
        </is>
      </c>
    </row>
    <row r="488" ht="15" customHeight="1" s="32">
      <c r="A488" s="64" t="n">
        <v>487</v>
      </c>
      <c r="B488" s="64" t="inlineStr">
        <is>
          <t>4. Greedy &amp; Backtracking - Core</t>
        </is>
      </c>
      <c r="C488" s="64" t="inlineStr">
        <is>
          <t>16. Greedy</t>
        </is>
      </c>
      <c r="D488" s="64" t="inlineStr">
        <is>
          <t>Validation</t>
        </is>
      </c>
      <c r="E488" s="64" t="inlineStr">
        <is>
          <t>Valid Parenthesis String</t>
        </is>
      </c>
      <c r="F488" s="64" t="inlineStr">
        <is>
          <t>Medium</t>
        </is>
      </c>
      <c r="G488" s="64" t="inlineStr">
        <is>
          <t>Core</t>
        </is>
      </c>
      <c r="H488" s="64" t="inlineStr">
        <is>
          <t>LeetCode</t>
        </is>
      </c>
      <c r="I488" s="64" t="inlineStr">
        <is>
          <t>https://leetcode.com/problems/valid-parenthesis-string/</t>
        </is>
      </c>
      <c r="J488" s="64" t="inlineStr">
        <is>
          <t>Not Started</t>
        </is>
      </c>
      <c r="K488" s="64" t="n"/>
      <c r="L488" s="64" t="n"/>
      <c r="M488" s="70" t="n"/>
      <c r="N488" s="70">
        <f>IF($M488="","",$M488+IF($K488="",Dashboard!$M$9,INDEX(Dashboard!$M$5:$M$9,$K488)))</f>
        <v/>
      </c>
      <c r="O488" s="64">
        <f>IF(OR($J488="Attempted",$J488="Revisit"),"DUE",IF($N488="","",IF($N488&lt;=TODAY(),"DUE","")))</f>
        <v/>
      </c>
      <c r="P488" s="64" t="inlineStr">
        <is>
          <t>v3 addition</t>
        </is>
      </c>
    </row>
    <row r="489" ht="15" customHeight="1" s="32">
      <c r="A489" s="64" t="n">
        <v>488</v>
      </c>
      <c r="B489" s="64" t="inlineStr">
        <is>
          <t>4. Greedy &amp; Backtracking - Core</t>
        </is>
      </c>
      <c r="C489" s="64" t="inlineStr">
        <is>
          <t>16. Greedy</t>
        </is>
      </c>
      <c r="D489" s="64" t="inlineStr">
        <is>
          <t>Reachability</t>
        </is>
      </c>
      <c r="E489" s="64" t="inlineStr">
        <is>
          <t>Jump Game</t>
        </is>
      </c>
      <c r="F489" s="64" t="inlineStr">
        <is>
          <t>Medium</t>
        </is>
      </c>
      <c r="G489" s="64" t="inlineStr">
        <is>
          <t>Core</t>
        </is>
      </c>
      <c r="H489" s="64" t="inlineStr">
        <is>
          <t>LeetCode</t>
        </is>
      </c>
      <c r="I489" s="64" t="inlineStr">
        <is>
          <t>https://leetcode.com/problems/jump-game/</t>
        </is>
      </c>
      <c r="J489" s="64" t="inlineStr">
        <is>
          <t>Not Started</t>
        </is>
      </c>
      <c r="K489" s="64" t="n"/>
      <c r="L489" s="64" t="n"/>
      <c r="M489" s="70" t="n"/>
      <c r="N489" s="70">
        <f>IF($M489="","",$M489+IF($K489="",Dashboard!$M$9,INDEX(Dashboard!$M$5:$M$9,$K489)))</f>
        <v/>
      </c>
      <c r="O489" s="64">
        <f>IF(OR($J489="Attempted",$J489="Revisit"),"DUE",IF($N489="","",IF($N489&lt;=TODAY(),"DUE","")))</f>
        <v/>
      </c>
      <c r="P489" s="64" t="inlineStr">
        <is>
          <t>v3 addition</t>
        </is>
      </c>
    </row>
    <row r="490" ht="15" customHeight="1" s="32">
      <c r="A490" s="64" t="n">
        <v>489</v>
      </c>
      <c r="B490" s="64" t="inlineStr">
        <is>
          <t>4. Greedy &amp; Backtracking - Core</t>
        </is>
      </c>
      <c r="C490" s="64" t="inlineStr">
        <is>
          <t>16. Greedy</t>
        </is>
      </c>
      <c r="D490" s="64" t="inlineStr">
        <is>
          <t>Reachability</t>
        </is>
      </c>
      <c r="E490" s="64" t="inlineStr">
        <is>
          <t>Jump Game II</t>
        </is>
      </c>
      <c r="F490" s="64" t="inlineStr">
        <is>
          <t>Medium</t>
        </is>
      </c>
      <c r="G490" s="64" t="inlineStr">
        <is>
          <t>Core</t>
        </is>
      </c>
      <c r="H490" s="64" t="inlineStr">
        <is>
          <t>LeetCode</t>
        </is>
      </c>
      <c r="I490" s="64" t="inlineStr">
        <is>
          <t>https://leetcode.com/problems/jump-game-ii/</t>
        </is>
      </c>
      <c r="J490" s="64" t="inlineStr">
        <is>
          <t>Not Started</t>
        </is>
      </c>
      <c r="K490" s="64" t="n"/>
      <c r="L490" s="64" t="n"/>
      <c r="M490" s="70" t="n"/>
      <c r="N490" s="70">
        <f>IF($M490="","",$M490+IF($K490="",Dashboard!$M$9,INDEX(Dashboard!$M$5:$M$9,$K490)))</f>
        <v/>
      </c>
      <c r="O490" s="64">
        <f>IF(OR($J490="Attempted",$J490="Revisit"),"DUE",IF($N490="","",IF($N490&lt;=TODAY(),"DUE","")))</f>
        <v/>
      </c>
      <c r="P490" s="64" t="inlineStr">
        <is>
          <t>v3 addition</t>
        </is>
      </c>
    </row>
    <row r="491" ht="15" customHeight="1" s="32">
      <c r="A491" s="64" t="n">
        <v>490</v>
      </c>
      <c r="B491" s="64" t="inlineStr">
        <is>
          <t>4. Greedy &amp; Backtracking - Core</t>
        </is>
      </c>
      <c r="C491" s="64" t="inlineStr">
        <is>
          <t>16. Greedy</t>
        </is>
      </c>
      <c r="D491" s="64" t="inlineStr">
        <is>
          <t>Partitioning</t>
        </is>
      </c>
      <c r="E491" s="64" t="inlineStr">
        <is>
          <t>Partition Labels</t>
        </is>
      </c>
      <c r="F491" s="64" t="inlineStr">
        <is>
          <t>Medium</t>
        </is>
      </c>
      <c r="G491" s="64" t="inlineStr">
        <is>
          <t>Core</t>
        </is>
      </c>
      <c r="H491" s="64" t="inlineStr">
        <is>
          <t>LeetCode</t>
        </is>
      </c>
      <c r="I491" s="64" t="inlineStr">
        <is>
          <t>https://leetcode.com/problems/partition-labels/</t>
        </is>
      </c>
      <c r="J491" s="64" t="inlineStr">
        <is>
          <t>Not Started</t>
        </is>
      </c>
      <c r="K491" s="64" t="n"/>
      <c r="L491" s="64" t="n"/>
      <c r="M491" s="70" t="n"/>
      <c r="N491" s="70">
        <f>IF($M491="","",$M491+IF($K491="",Dashboard!$M$9,INDEX(Dashboard!$M$5:$M$9,$K491)))</f>
        <v/>
      </c>
      <c r="O491" s="64">
        <f>IF(OR($J491="Attempted",$J491="Revisit"),"DUE",IF($N491="","",IF($N491&lt;=TODAY(),"DUE","")))</f>
        <v/>
      </c>
      <c r="P491" s="64" t="n"/>
    </row>
    <row r="492" ht="15" customHeight="1" s="32">
      <c r="A492" s="64" t="n">
        <v>491</v>
      </c>
      <c r="B492" s="64" t="inlineStr">
        <is>
          <t>4. Greedy &amp; Backtracking - Core</t>
        </is>
      </c>
      <c r="C492" s="64" t="inlineStr">
        <is>
          <t>16. Greedy</t>
        </is>
      </c>
      <c r="D492" s="64" t="inlineStr">
        <is>
          <t>Reconstruction</t>
        </is>
      </c>
      <c r="E492" s="64" t="inlineStr">
        <is>
          <t>Queue Reconstruction by Height</t>
        </is>
      </c>
      <c r="F492" s="64" t="inlineStr">
        <is>
          <t>Medium</t>
        </is>
      </c>
      <c r="G492" s="64" t="inlineStr">
        <is>
          <t>Core</t>
        </is>
      </c>
      <c r="H492" s="64" t="inlineStr">
        <is>
          <t>LeetCode</t>
        </is>
      </c>
      <c r="I492" s="64" t="inlineStr">
        <is>
          <t>https://leetcode.com/problems/queue-reconstruction-by-height/</t>
        </is>
      </c>
      <c r="J492" s="64" t="inlineStr">
        <is>
          <t>Not Started</t>
        </is>
      </c>
      <c r="K492" s="64" t="n"/>
      <c r="L492" s="64" t="n"/>
      <c r="M492" s="70" t="n"/>
      <c r="N492" s="70">
        <f>IF($M492="","",$M492+IF($K492="",Dashboard!$M$9,INDEX(Dashboard!$M$5:$M$9,$K492)))</f>
        <v/>
      </c>
      <c r="O492" s="64">
        <f>IF(OR($J492="Attempted",$J492="Revisit"),"DUE",IF($N492="","",IF($N492&lt;=TODAY(),"DUE","")))</f>
        <v/>
      </c>
      <c r="P492" s="64" t="n"/>
    </row>
    <row r="493" ht="15" customHeight="1" s="32">
      <c r="A493" s="64" t="n">
        <v>492</v>
      </c>
      <c r="B493" s="64" t="inlineStr">
        <is>
          <t>4. Greedy &amp; Backtracking - Core</t>
        </is>
      </c>
      <c r="C493" s="64" t="inlineStr">
        <is>
          <t>17. Backtracking</t>
        </is>
      </c>
      <c r="D493" s="64" t="inlineStr">
        <is>
          <t>Subsets</t>
        </is>
      </c>
      <c r="E493" s="64" t="inlineStr">
        <is>
          <t>Subsets</t>
        </is>
      </c>
      <c r="F493" s="64" t="inlineStr">
        <is>
          <t>Medium</t>
        </is>
      </c>
      <c r="G493" s="64" t="inlineStr">
        <is>
          <t>Core</t>
        </is>
      </c>
      <c r="H493" s="64" t="inlineStr">
        <is>
          <t>LeetCode</t>
        </is>
      </c>
      <c r="I493" s="64" t="inlineStr">
        <is>
          <t>https://leetcode.com/problems/subsets/</t>
        </is>
      </c>
      <c r="J493" s="64" t="inlineStr">
        <is>
          <t>Not Started</t>
        </is>
      </c>
      <c r="K493" s="64" t="n"/>
      <c r="L493" s="64" t="n"/>
      <c r="M493" s="70" t="n"/>
      <c r="N493" s="70">
        <f>IF($M493="","",$M493+IF($K493="",Dashboard!$M$9,INDEX(Dashboard!$M$5:$M$9,$K493)))</f>
        <v/>
      </c>
      <c r="O493" s="64">
        <f>IF(OR($J493="Attempted",$J493="Revisit"),"DUE",IF($N493="","",IF($N493&lt;=TODAY(),"DUE","")))</f>
        <v/>
      </c>
      <c r="P493" s="64" t="n"/>
    </row>
    <row r="494" ht="15" customHeight="1" s="32">
      <c r="A494" s="64" t="n">
        <v>493</v>
      </c>
      <c r="B494" s="64" t="inlineStr">
        <is>
          <t>4. Greedy &amp; Backtracking - Core</t>
        </is>
      </c>
      <c r="C494" s="64" t="inlineStr">
        <is>
          <t>17. Backtracking</t>
        </is>
      </c>
      <c r="D494" s="64" t="inlineStr">
        <is>
          <t>Subsets</t>
        </is>
      </c>
      <c r="E494" s="64" t="inlineStr">
        <is>
          <t>Subsets II</t>
        </is>
      </c>
      <c r="F494" s="64" t="inlineStr">
        <is>
          <t>Medium</t>
        </is>
      </c>
      <c r="G494" s="64" t="inlineStr">
        <is>
          <t>Core</t>
        </is>
      </c>
      <c r="H494" s="64" t="inlineStr">
        <is>
          <t>LeetCode</t>
        </is>
      </c>
      <c r="I494" s="64" t="inlineStr">
        <is>
          <t>https://leetcode.com/problems/subsets-ii/</t>
        </is>
      </c>
      <c r="J494" s="64" t="inlineStr">
        <is>
          <t>Not Started</t>
        </is>
      </c>
      <c r="K494" s="64" t="n"/>
      <c r="L494" s="64" t="n"/>
      <c r="M494" s="70" t="n"/>
      <c r="N494" s="70">
        <f>IF($M494="","",$M494+IF($K494="",Dashboard!$M$9,INDEX(Dashboard!$M$5:$M$9,$K494)))</f>
        <v/>
      </c>
      <c r="O494" s="64">
        <f>IF(OR($J494="Attempted",$J494="Revisit"),"DUE",IF($N494="","",IF($N494&lt;=TODAY(),"DUE","")))</f>
        <v/>
      </c>
      <c r="P494" s="64" t="n"/>
    </row>
    <row r="495" ht="15" customHeight="1" s="32">
      <c r="A495" s="64" t="n">
        <v>494</v>
      </c>
      <c r="B495" s="64" t="inlineStr">
        <is>
          <t>4. Greedy &amp; Backtracking - Core</t>
        </is>
      </c>
      <c r="C495" s="64" t="inlineStr">
        <is>
          <t>17. Backtracking</t>
        </is>
      </c>
      <c r="D495" s="64" t="inlineStr">
        <is>
          <t>Permutations</t>
        </is>
      </c>
      <c r="E495" s="64" t="inlineStr">
        <is>
          <t>Permutations</t>
        </is>
      </c>
      <c r="F495" s="64" t="inlineStr">
        <is>
          <t>Medium</t>
        </is>
      </c>
      <c r="G495" s="64" t="inlineStr">
        <is>
          <t>Core</t>
        </is>
      </c>
      <c r="H495" s="64" t="inlineStr">
        <is>
          <t>LeetCode</t>
        </is>
      </c>
      <c r="I495" s="64" t="inlineStr">
        <is>
          <t>https://leetcode.com/problems/permutations/</t>
        </is>
      </c>
      <c r="J495" s="64" t="inlineStr">
        <is>
          <t>Not Started</t>
        </is>
      </c>
      <c r="K495" s="64" t="n"/>
      <c r="L495" s="64" t="n"/>
      <c r="M495" s="70" t="n"/>
      <c r="N495" s="70">
        <f>IF($M495="","",$M495+IF($K495="",Dashboard!$M$9,INDEX(Dashboard!$M$5:$M$9,$K495)))</f>
        <v/>
      </c>
      <c r="O495" s="64">
        <f>IF(OR($J495="Attempted",$J495="Revisit"),"DUE",IF($N495="","",IF($N495&lt;=TODAY(),"DUE","")))</f>
        <v/>
      </c>
      <c r="P495" s="64" t="inlineStr">
        <is>
          <t>v3 addition</t>
        </is>
      </c>
    </row>
    <row r="496" ht="15" customHeight="1" s="32">
      <c r="A496" s="64" t="n">
        <v>495</v>
      </c>
      <c r="B496" s="64" t="inlineStr">
        <is>
          <t>4. Greedy &amp; Backtracking - Core</t>
        </is>
      </c>
      <c r="C496" s="64" t="inlineStr">
        <is>
          <t>17. Backtracking</t>
        </is>
      </c>
      <c r="D496" s="64" t="inlineStr">
        <is>
          <t>Permutations</t>
        </is>
      </c>
      <c r="E496" s="64" t="inlineStr">
        <is>
          <t>Permutations II</t>
        </is>
      </c>
      <c r="F496" s="64" t="inlineStr">
        <is>
          <t>Medium</t>
        </is>
      </c>
      <c r="G496" s="64" t="inlineStr">
        <is>
          <t>Core</t>
        </is>
      </c>
      <c r="H496" s="64" t="inlineStr">
        <is>
          <t>LeetCode</t>
        </is>
      </c>
      <c r="I496" s="64" t="inlineStr">
        <is>
          <t>https://leetcode.com/problems/permutations-ii/</t>
        </is>
      </c>
      <c r="J496" s="64" t="inlineStr">
        <is>
          <t>Not Started</t>
        </is>
      </c>
      <c r="K496" s="64" t="n"/>
      <c r="L496" s="64" t="n"/>
      <c r="M496" s="70" t="n"/>
      <c r="N496" s="70">
        <f>IF($M496="","",$M496+IF($K496="",Dashboard!$M$9,INDEX(Dashboard!$M$5:$M$9,$K496)))</f>
        <v/>
      </c>
      <c r="O496" s="64">
        <f>IF(OR($J496="Attempted",$J496="Revisit"),"DUE",IF($N496="","",IF($N496&lt;=TODAY(),"DUE","")))</f>
        <v/>
      </c>
      <c r="P496" s="64" t="inlineStr">
        <is>
          <t>v3 addition</t>
        </is>
      </c>
    </row>
    <row r="497" ht="15" customHeight="1" s="32">
      <c r="A497" s="64" t="n">
        <v>496</v>
      </c>
      <c r="B497" s="64" t="inlineStr">
        <is>
          <t>4. Greedy &amp; Backtracking - Core</t>
        </is>
      </c>
      <c r="C497" s="64" t="inlineStr">
        <is>
          <t>17. Backtracking</t>
        </is>
      </c>
      <c r="D497" s="64" t="inlineStr">
        <is>
          <t>Combinations</t>
        </is>
      </c>
      <c r="E497" s="64" t="inlineStr">
        <is>
          <t>Combinations</t>
        </is>
      </c>
      <c r="F497" s="64" t="inlineStr">
        <is>
          <t>Medium</t>
        </is>
      </c>
      <c r="G497" s="64" t="inlineStr">
        <is>
          <t>Core</t>
        </is>
      </c>
      <c r="H497" s="64" t="inlineStr">
        <is>
          <t>LeetCode</t>
        </is>
      </c>
      <c r="I497" s="64" t="inlineStr">
        <is>
          <t>https://leetcode.com/problems/combinations/</t>
        </is>
      </c>
      <c r="J497" s="64" t="inlineStr">
        <is>
          <t>Not Started</t>
        </is>
      </c>
      <c r="K497" s="64" t="n"/>
      <c r="L497" s="64" t="n"/>
      <c r="M497" s="70" t="n"/>
      <c r="N497" s="70">
        <f>IF($M497="","",$M497+IF($K497="",Dashboard!$M$9,INDEX(Dashboard!$M$5:$M$9,$K497)))</f>
        <v/>
      </c>
      <c r="O497" s="64">
        <f>IF(OR($J497="Attempted",$J497="Revisit"),"DUE",IF($N497="","",IF($N497&lt;=TODAY(),"DUE","")))</f>
        <v/>
      </c>
      <c r="P497" s="64" t="inlineStr">
        <is>
          <t>v3 addition</t>
        </is>
      </c>
    </row>
    <row r="498" ht="15" customHeight="1" s="32">
      <c r="A498" s="64" t="n">
        <v>497</v>
      </c>
      <c r="B498" s="64" t="inlineStr">
        <is>
          <t>4. Greedy &amp; Backtracking - Core</t>
        </is>
      </c>
      <c r="C498" s="64" t="inlineStr">
        <is>
          <t>17. Backtracking</t>
        </is>
      </c>
      <c r="D498" s="64" t="inlineStr">
        <is>
          <t>Combinations</t>
        </is>
      </c>
      <c r="E498" s="64" t="inlineStr">
        <is>
          <t>Combination Sum</t>
        </is>
      </c>
      <c r="F498" s="64" t="inlineStr">
        <is>
          <t>Medium</t>
        </is>
      </c>
      <c r="G498" s="64" t="inlineStr">
        <is>
          <t>Core</t>
        </is>
      </c>
      <c r="H498" s="64" t="inlineStr">
        <is>
          <t>LeetCode</t>
        </is>
      </c>
      <c r="I498" s="64" t="inlineStr">
        <is>
          <t>https://leetcode.com/problems/combination-sum/</t>
        </is>
      </c>
      <c r="J498" s="64" t="inlineStr">
        <is>
          <t>Not Started</t>
        </is>
      </c>
      <c r="K498" s="64" t="n"/>
      <c r="L498" s="64" t="n"/>
      <c r="M498" s="70" t="n"/>
      <c r="N498" s="70">
        <f>IF($M498="","",$M498+IF($K498="",Dashboard!$M$9,INDEX(Dashboard!$M$5:$M$9,$K498)))</f>
        <v/>
      </c>
      <c r="O498" s="64">
        <f>IF(OR($J498="Attempted",$J498="Revisit"),"DUE",IF($N498="","",IF($N498&lt;=TODAY(),"DUE","")))</f>
        <v/>
      </c>
      <c r="P498" s="64" t="inlineStr">
        <is>
          <t>v3 addition</t>
        </is>
      </c>
    </row>
    <row r="499" ht="15" customHeight="1" s="32">
      <c r="A499" s="64" t="n">
        <v>498</v>
      </c>
      <c r="B499" s="64" t="inlineStr">
        <is>
          <t>4. Greedy &amp; Backtracking - Core</t>
        </is>
      </c>
      <c r="C499" s="64" t="inlineStr">
        <is>
          <t>17. Backtracking</t>
        </is>
      </c>
      <c r="D499" s="64" t="inlineStr">
        <is>
          <t>Combinations</t>
        </is>
      </c>
      <c r="E499" s="64" t="inlineStr">
        <is>
          <t>Combination Sum II</t>
        </is>
      </c>
      <c r="F499" s="64" t="inlineStr">
        <is>
          <t>Medium</t>
        </is>
      </c>
      <c r="G499" s="64" t="inlineStr">
        <is>
          <t>Core</t>
        </is>
      </c>
      <c r="H499" s="64" t="inlineStr">
        <is>
          <t>LeetCode</t>
        </is>
      </c>
      <c r="I499" s="64" t="inlineStr">
        <is>
          <t>https://leetcode.com/problems/combination-sum-ii/</t>
        </is>
      </c>
      <c r="J499" s="64" t="inlineStr">
        <is>
          <t>Not Started</t>
        </is>
      </c>
      <c r="K499" s="64" t="n"/>
      <c r="L499" s="64" t="n"/>
      <c r="M499" s="70" t="n"/>
      <c r="N499" s="70">
        <f>IF($M499="","",$M499+IF($K499="",Dashboard!$M$9,INDEX(Dashboard!$M$5:$M$9,$K499)))</f>
        <v/>
      </c>
      <c r="O499" s="64">
        <f>IF(OR($J499="Attempted",$J499="Revisit"),"DUE",IF($N499="","",IF($N499&lt;=TODAY(),"DUE","")))</f>
        <v/>
      </c>
      <c r="P499" s="64" t="inlineStr">
        <is>
          <t>v3 addition</t>
        </is>
      </c>
    </row>
    <row r="500" ht="15" customHeight="1" s="32">
      <c r="A500" s="64" t="n">
        <v>499</v>
      </c>
      <c r="B500" s="64" t="inlineStr">
        <is>
          <t>4. Greedy &amp; Backtracking - Core</t>
        </is>
      </c>
      <c r="C500" s="64" t="inlineStr">
        <is>
          <t>17. Backtracking</t>
        </is>
      </c>
      <c r="D500" s="64" t="inlineStr">
        <is>
          <t>Combinations</t>
        </is>
      </c>
      <c r="E500" s="64" t="inlineStr">
        <is>
          <t>Letter Combinations of a Phone Number</t>
        </is>
      </c>
      <c r="F500" s="64" t="inlineStr">
        <is>
          <t>Medium</t>
        </is>
      </c>
      <c r="G500" s="64" t="inlineStr">
        <is>
          <t>Core</t>
        </is>
      </c>
      <c r="H500" s="64" t="inlineStr">
        <is>
          <t>LeetCode</t>
        </is>
      </c>
      <c r="I500" s="64" t="inlineStr">
        <is>
          <t>https://leetcode.com/problems/letter-combinations-of-a-phone-number/</t>
        </is>
      </c>
      <c r="J500" s="64" t="inlineStr">
        <is>
          <t>Not Started</t>
        </is>
      </c>
      <c r="K500" s="64" t="n"/>
      <c r="L500" s="64" t="n"/>
      <c r="M500" s="70" t="n"/>
      <c r="N500" s="70">
        <f>IF($M500="","",$M500+IF($K500="",Dashboard!$M$9,INDEX(Dashboard!$M$5:$M$9,$K500)))</f>
        <v/>
      </c>
      <c r="O500" s="64">
        <f>IF(OR($J500="Attempted",$J500="Revisit"),"DUE",IF($N500="","",IF($N500&lt;=TODAY(),"DUE","")))</f>
        <v/>
      </c>
      <c r="P500" s="64" t="inlineStr">
        <is>
          <t>v3 addition</t>
        </is>
      </c>
    </row>
    <row r="501" ht="15" customHeight="1" s="32">
      <c r="A501" s="64" t="n">
        <v>500</v>
      </c>
      <c r="B501" s="64" t="inlineStr">
        <is>
          <t>4. Greedy &amp; Backtracking - Core</t>
        </is>
      </c>
      <c r="C501" s="64" t="inlineStr">
        <is>
          <t>17. Backtracking</t>
        </is>
      </c>
      <c r="D501" s="64" t="inlineStr">
        <is>
          <t>String building</t>
        </is>
      </c>
      <c r="E501" s="64" t="inlineStr">
        <is>
          <t>Generate Parentheses</t>
        </is>
      </c>
      <c r="F501" s="64" t="inlineStr">
        <is>
          <t>Medium</t>
        </is>
      </c>
      <c r="G501" s="64" t="inlineStr">
        <is>
          <t>Core</t>
        </is>
      </c>
      <c r="H501" s="64" t="inlineStr">
        <is>
          <t>LeetCode</t>
        </is>
      </c>
      <c r="I501" s="64" t="inlineStr">
        <is>
          <t>https://leetcode.com/problems/generate-parentheses/</t>
        </is>
      </c>
      <c r="J501" s="64" t="inlineStr">
        <is>
          <t>Not Started</t>
        </is>
      </c>
      <c r="K501" s="64" t="n"/>
      <c r="L501" s="64" t="n"/>
      <c r="M501" s="70" t="n"/>
      <c r="N501" s="70">
        <f>IF($M501="","",$M501+IF($K501="",Dashboard!$M$9,INDEX(Dashboard!$M$5:$M$9,$K501)))</f>
        <v/>
      </c>
      <c r="O501" s="64">
        <f>IF(OR($J501="Attempted",$J501="Revisit"),"DUE",IF($N501="","",IF($N501&lt;=TODAY(),"DUE","")))</f>
        <v/>
      </c>
      <c r="P501" s="64" t="inlineStr">
        <is>
          <t>v3 addition</t>
        </is>
      </c>
    </row>
    <row r="502" ht="15" customHeight="1" s="32">
      <c r="A502" s="64" t="n">
        <v>501</v>
      </c>
      <c r="B502" s="64" t="inlineStr">
        <is>
          <t>4. Greedy &amp; Backtracking - Core</t>
        </is>
      </c>
      <c r="C502" s="64" t="inlineStr">
        <is>
          <t>17. Backtracking</t>
        </is>
      </c>
      <c r="D502" s="64" t="inlineStr">
        <is>
          <t>String building</t>
        </is>
      </c>
      <c r="E502" s="64" t="inlineStr">
        <is>
          <t>Restore IP Addresses</t>
        </is>
      </c>
      <c r="F502" s="64" t="inlineStr">
        <is>
          <t>Medium</t>
        </is>
      </c>
      <c r="G502" s="64" t="inlineStr">
        <is>
          <t>Core</t>
        </is>
      </c>
      <c r="H502" s="64" t="inlineStr">
        <is>
          <t>LeetCode</t>
        </is>
      </c>
      <c r="I502" s="64" t="inlineStr">
        <is>
          <t>https://leetcode.com/problems/restore-ip-addresses/</t>
        </is>
      </c>
      <c r="J502" s="64" t="inlineStr">
        <is>
          <t>Not Started</t>
        </is>
      </c>
      <c r="K502" s="64" t="n"/>
      <c r="L502" s="64" t="n"/>
      <c r="M502" s="70" t="n"/>
      <c r="N502" s="70">
        <f>IF($M502="","",$M502+IF($K502="",Dashboard!$M$9,INDEX(Dashboard!$M$5:$M$9,$K502)))</f>
        <v/>
      </c>
      <c r="O502" s="64">
        <f>IF(OR($J502="Attempted",$J502="Revisit"),"DUE",IF($N502="","",IF($N502&lt;=TODAY(),"DUE","")))</f>
        <v/>
      </c>
      <c r="P502" s="64" t="inlineStr">
        <is>
          <t>v3 addition</t>
        </is>
      </c>
    </row>
    <row r="503" ht="15" customHeight="1" s="32">
      <c r="A503" s="64" t="n">
        <v>502</v>
      </c>
      <c r="B503" s="64" t="inlineStr">
        <is>
          <t>4. Greedy &amp; Backtracking - Core</t>
        </is>
      </c>
      <c r="C503" s="64" t="inlineStr">
        <is>
          <t>17. Backtracking</t>
        </is>
      </c>
      <c r="D503" s="64" t="inlineStr">
        <is>
          <t>String partition</t>
        </is>
      </c>
      <c r="E503" s="64" t="inlineStr">
        <is>
          <t>Palindrome Partitioning</t>
        </is>
      </c>
      <c r="F503" s="64" t="inlineStr">
        <is>
          <t>Medium</t>
        </is>
      </c>
      <c r="G503" s="64" t="inlineStr">
        <is>
          <t>Core</t>
        </is>
      </c>
      <c r="H503" s="64" t="inlineStr">
        <is>
          <t>LeetCode</t>
        </is>
      </c>
      <c r="I503" s="64" t="inlineStr">
        <is>
          <t>https://leetcode.com/problems/palindrome-partitioning/</t>
        </is>
      </c>
      <c r="J503" s="64" t="inlineStr">
        <is>
          <t>Not Started</t>
        </is>
      </c>
      <c r="K503" s="64" t="n"/>
      <c r="L503" s="64" t="n"/>
      <c r="M503" s="70" t="n"/>
      <c r="N503" s="70">
        <f>IF($M503="","",$M503+IF($K503="",Dashboard!$M$9,INDEX(Dashboard!$M$5:$M$9,$K503)))</f>
        <v/>
      </c>
      <c r="O503" s="64">
        <f>IF(OR($J503="Attempted",$J503="Revisit"),"DUE",IF($N503="","",IF($N503&lt;=TODAY(),"DUE","")))</f>
        <v/>
      </c>
      <c r="P503" s="64" t="inlineStr">
        <is>
          <t>v3 addition</t>
        </is>
      </c>
    </row>
    <row r="504" ht="15" customHeight="1" s="32">
      <c r="A504" s="65" t="n">
        <v>503</v>
      </c>
      <c r="B504" s="65" t="inlineStr">
        <is>
          <t>4. Greedy &amp; Backtracking - Core</t>
        </is>
      </c>
      <c r="C504" s="65" t="inlineStr">
        <is>
          <t>17. Backtracking</t>
        </is>
      </c>
      <c r="D504" s="65" t="inlineStr">
        <is>
          <t>Grid backtracking</t>
        </is>
      </c>
      <c r="E504" s="65" t="inlineStr">
        <is>
          <t>Word Search</t>
        </is>
      </c>
      <c r="F504" s="65" t="inlineStr">
        <is>
          <t>Medium</t>
        </is>
      </c>
      <c r="G504" s="65" t="inlineStr">
        <is>
          <t>Core</t>
        </is>
      </c>
      <c r="H504" s="65" t="inlineStr">
        <is>
          <t>LeetCode</t>
        </is>
      </c>
      <c r="I504" s="65" t="inlineStr">
        <is>
          <t>https://leetcode.com/problems/word-search/</t>
        </is>
      </c>
      <c r="J504" s="65" t="inlineStr">
        <is>
          <t>Not Started</t>
        </is>
      </c>
      <c r="K504" s="65" t="n"/>
      <c r="L504" s="65" t="n"/>
      <c r="M504" s="71" t="n"/>
      <c r="N504" s="71">
        <f>IF($M504="","",$M504+IF($K504="",Dashboard!$M$9,INDEX(Dashboard!$M$5:$M$9,$K504)))</f>
        <v/>
      </c>
      <c r="O504" s="65">
        <f>IF(OR($J504="Attempted",$J504="Revisit"),"DUE",IF($N504="","",IF($N504&lt;=TODAY(),"DUE","")))</f>
        <v/>
      </c>
      <c r="P504" s="65" t="n"/>
    </row>
    <row r="505" ht="15" customHeight="1" s="32">
      <c r="A505" s="65" t="n">
        <v>504</v>
      </c>
      <c r="B505" s="65" t="inlineStr">
        <is>
          <t>4. Greedy &amp; Backtracking - Core</t>
        </is>
      </c>
      <c r="C505" s="65" t="inlineStr">
        <is>
          <t>17. Backtracking</t>
        </is>
      </c>
      <c r="D505" s="65" t="inlineStr">
        <is>
          <t>Grid backtracking</t>
        </is>
      </c>
      <c r="E505" s="65" t="inlineStr">
        <is>
          <t>Rat in a Maze Problem</t>
        </is>
      </c>
      <c r="F505" s="65" t="inlineStr">
        <is>
          <t>Medium</t>
        </is>
      </c>
      <c r="G505" s="65" t="inlineStr">
        <is>
          <t>Core</t>
        </is>
      </c>
      <c r="H505" s="65" t="inlineStr">
        <is>
          <t>GeeksforGeeks</t>
        </is>
      </c>
      <c r="I505" s="65" t="inlineStr">
        <is>
          <t>https://www.geeksforgeeks.org/problems/rat-in-a-maze-problem/1</t>
        </is>
      </c>
      <c r="J505" s="65" t="inlineStr">
        <is>
          <t>Not Started</t>
        </is>
      </c>
      <c r="K505" s="65" t="n"/>
      <c r="L505" s="65" t="n"/>
      <c r="M505" s="71" t="n"/>
      <c r="N505" s="71">
        <f>IF($M505="","",$M505+IF($K505="",Dashboard!$M$9,INDEX(Dashboard!$M$5:$M$9,$K505)))</f>
        <v/>
      </c>
      <c r="O505" s="65">
        <f>IF(OR($J505="Attempted",$J505="Revisit"),"DUE",IF($N505="","",IF($N505&lt;=TODAY(),"DUE","")))</f>
        <v/>
      </c>
      <c r="P505" s="65" t="n"/>
    </row>
    <row r="506" ht="15" customHeight="1" s="32">
      <c r="A506" s="65" t="n">
        <v>505</v>
      </c>
      <c r="B506" s="65" t="inlineStr">
        <is>
          <t>4. Greedy &amp; Backtracking - Core</t>
        </is>
      </c>
      <c r="C506" s="65" t="inlineStr">
        <is>
          <t>17. Backtracking</t>
        </is>
      </c>
      <c r="D506" s="65" t="inlineStr">
        <is>
          <t>Partition into K</t>
        </is>
      </c>
      <c r="E506" s="65" t="inlineStr">
        <is>
          <t>Partition to K Equal Sum Subsets</t>
        </is>
      </c>
      <c r="F506" s="65" t="inlineStr">
        <is>
          <t>Medium</t>
        </is>
      </c>
      <c r="G506" s="65" t="inlineStr">
        <is>
          <t>Core</t>
        </is>
      </c>
      <c r="H506" s="65" t="inlineStr">
        <is>
          <t>LeetCode</t>
        </is>
      </c>
      <c r="I506" s="65" t="inlineStr">
        <is>
          <t>https://leetcode.com/problems/partition-to-k-equal-sum-subsets/</t>
        </is>
      </c>
      <c r="J506" s="65" t="inlineStr">
        <is>
          <t>Not Started</t>
        </is>
      </c>
      <c r="K506" s="65" t="n"/>
      <c r="L506" s="65" t="n"/>
      <c r="M506" s="71" t="n"/>
      <c r="N506" s="71">
        <f>IF($M506="","",$M506+IF($K506="",Dashboard!$M$9,INDEX(Dashboard!$M$5:$M$9,$K506)))</f>
        <v/>
      </c>
      <c r="O506" s="65">
        <f>IF(OR($J506="Attempted",$J506="Revisit"),"DUE",IF($N506="","",IF($N506&lt;=TODAY(),"DUE","")))</f>
        <v/>
      </c>
      <c r="P506" s="65" t="inlineStr">
        <is>
          <t>v3 addition</t>
        </is>
      </c>
    </row>
    <row r="507" ht="15" customHeight="1" s="32">
      <c r="A507" s="65" t="n">
        <v>506</v>
      </c>
      <c r="B507" s="65" t="inlineStr">
        <is>
          <t>4. Greedy &amp; Backtracking - Core</t>
        </is>
      </c>
      <c r="C507" s="65" t="inlineStr">
        <is>
          <t>17. Backtracking</t>
        </is>
      </c>
      <c r="D507" s="65" t="inlineStr">
        <is>
          <t>Partition into K</t>
        </is>
      </c>
      <c r="E507" s="65" t="inlineStr">
        <is>
          <t>Matchsticks to Square</t>
        </is>
      </c>
      <c r="F507" s="65" t="inlineStr">
        <is>
          <t>Medium</t>
        </is>
      </c>
      <c r="G507" s="65" t="inlineStr">
        <is>
          <t>Core</t>
        </is>
      </c>
      <c r="H507" s="65" t="inlineStr">
        <is>
          <t>LeetCode</t>
        </is>
      </c>
      <c r="I507" s="65" t="inlineStr">
        <is>
          <t>https://leetcode.com/problems/matchsticks-to-square/</t>
        </is>
      </c>
      <c r="J507" s="65" t="inlineStr">
        <is>
          <t>Not Started</t>
        </is>
      </c>
      <c r="K507" s="65" t="n"/>
      <c r="L507" s="65" t="n"/>
      <c r="M507" s="71" t="n"/>
      <c r="N507" s="71">
        <f>IF($M507="","",$M507+IF($K507="",Dashboard!$M$9,INDEX(Dashboard!$M$5:$M$9,$K507)))</f>
        <v/>
      </c>
      <c r="O507" s="65">
        <f>IF(OR($J507="Attempted",$J507="Revisit"),"DUE",IF($N507="","",IF($N507&lt;=TODAY(),"DUE","")))</f>
        <v/>
      </c>
      <c r="P507" s="65" t="n"/>
    </row>
    <row r="508" ht="15" customHeight="1" s="32">
      <c r="A508" s="65" t="n">
        <v>507</v>
      </c>
      <c r="B508" s="65" t="inlineStr">
        <is>
          <t>4. Greedy &amp; Backtracking - Core</t>
        </is>
      </c>
      <c r="C508" s="65" t="inlineStr">
        <is>
          <t>17. Backtracking</t>
        </is>
      </c>
      <c r="D508" s="65" t="inlineStr">
        <is>
          <t>Counting</t>
        </is>
      </c>
      <c r="E508" s="65" t="inlineStr">
        <is>
          <t>Beautiful Arrangement</t>
        </is>
      </c>
      <c r="F508" s="65" t="inlineStr">
        <is>
          <t>Medium</t>
        </is>
      </c>
      <c r="G508" s="65" t="inlineStr">
        <is>
          <t>Core</t>
        </is>
      </c>
      <c r="H508" s="65" t="inlineStr">
        <is>
          <t>LeetCode</t>
        </is>
      </c>
      <c r="I508" s="65" t="inlineStr">
        <is>
          <t>https://leetcode.com/problems/beautiful-arrangement/</t>
        </is>
      </c>
      <c r="J508" s="65" t="inlineStr">
        <is>
          <t>Not Started</t>
        </is>
      </c>
      <c r="K508" s="65" t="n"/>
      <c r="L508" s="65" t="n"/>
      <c r="M508" s="71" t="n"/>
      <c r="N508" s="71">
        <f>IF($M508="","",$M508+IF($K508="",Dashboard!$M$9,INDEX(Dashboard!$M$5:$M$9,$K508)))</f>
        <v/>
      </c>
      <c r="O508" s="65">
        <f>IF(OR($J508="Attempted",$J508="Revisit"),"DUE",IF($N508="","",IF($N508&lt;=TODAY(),"DUE","")))</f>
        <v/>
      </c>
      <c r="P508" s="65" t="n"/>
    </row>
    <row r="509" ht="15" customHeight="1" s="32">
      <c r="A509" s="65" t="n">
        <v>508</v>
      </c>
      <c r="B509" s="65" t="inlineStr">
        <is>
          <t>4. Greedy &amp; Backtracking - Depth</t>
        </is>
      </c>
      <c r="C509" s="65" t="inlineStr">
        <is>
          <t>15. Intervals</t>
        </is>
      </c>
      <c r="D509" s="65" t="inlineStr">
        <is>
          <t>Merging</t>
        </is>
      </c>
      <c r="E509" s="65" t="inlineStr">
        <is>
          <t>Interval List Intersections</t>
        </is>
      </c>
      <c r="F509" s="65" t="inlineStr">
        <is>
          <t>Medium</t>
        </is>
      </c>
      <c r="G509" s="65" t="inlineStr">
        <is>
          <t>Depth</t>
        </is>
      </c>
      <c r="H509" s="65" t="inlineStr">
        <is>
          <t>LeetCode</t>
        </is>
      </c>
      <c r="I509" s="65" t="inlineStr">
        <is>
          <t>https://leetcode.com/problems/interval-list-intersections/</t>
        </is>
      </c>
      <c r="J509" s="65" t="inlineStr">
        <is>
          <t>Not Started</t>
        </is>
      </c>
      <c r="K509" s="65" t="n"/>
      <c r="L509" s="65" t="n"/>
      <c r="M509" s="71" t="n"/>
      <c r="N509" s="71">
        <f>IF($M509="","",$M509+IF($K509="",Dashboard!$M$9,INDEX(Dashboard!$M$5:$M$9,$K509)))</f>
        <v/>
      </c>
      <c r="O509" s="65">
        <f>IF(OR($J509="Attempted",$J509="Revisit"),"DUE",IF($N509="","",IF($N509&lt;=TODAY(),"DUE","")))</f>
        <v/>
      </c>
      <c r="P509" s="65" t="inlineStr">
        <is>
          <t>v3 addition</t>
        </is>
      </c>
    </row>
    <row r="510" ht="15" customHeight="1" s="32">
      <c r="A510" s="65" t="n">
        <v>509</v>
      </c>
      <c r="B510" s="65" t="inlineStr">
        <is>
          <t>4. Greedy &amp; Backtracking - Depth</t>
        </is>
      </c>
      <c r="C510" s="65" t="inlineStr">
        <is>
          <t>15. Intervals</t>
        </is>
      </c>
      <c r="D510" s="65" t="inlineStr">
        <is>
          <t>Merging</t>
        </is>
      </c>
      <c r="E510" s="65" t="inlineStr">
        <is>
          <t>Remove Covered Intervals</t>
        </is>
      </c>
      <c r="F510" s="65" t="inlineStr">
        <is>
          <t>Medium</t>
        </is>
      </c>
      <c r="G510" s="65" t="inlineStr">
        <is>
          <t>Depth</t>
        </is>
      </c>
      <c r="H510" s="65" t="inlineStr">
        <is>
          <t>LeetCode</t>
        </is>
      </c>
      <c r="I510" s="65" t="inlineStr">
        <is>
          <t>https://leetcode.com/problems/remove-covered-intervals/</t>
        </is>
      </c>
      <c r="J510" s="65" t="inlineStr">
        <is>
          <t>Not Started</t>
        </is>
      </c>
      <c r="K510" s="65" t="n"/>
      <c r="L510" s="65" t="n"/>
      <c r="M510" s="71" t="n"/>
      <c r="N510" s="71">
        <f>IF($M510="","",$M510+IF($K510="",Dashboard!$M$9,INDEX(Dashboard!$M$5:$M$9,$K510)))</f>
        <v/>
      </c>
      <c r="O510" s="65">
        <f>IF(OR($J510="Attempted",$J510="Revisit"),"DUE",IF($N510="","",IF($N510&lt;=TODAY(),"DUE","")))</f>
        <v/>
      </c>
      <c r="P510" s="65" t="n"/>
    </row>
    <row r="511" ht="15" customHeight="1" s="32">
      <c r="A511" s="65" t="n">
        <v>510</v>
      </c>
      <c r="B511" s="65" t="inlineStr">
        <is>
          <t>4. Greedy &amp; Backtracking - Depth</t>
        </is>
      </c>
      <c r="C511" s="65" t="inlineStr">
        <is>
          <t>15. Intervals</t>
        </is>
      </c>
      <c r="D511" s="65" t="inlineStr">
        <is>
          <t>Scheduling</t>
        </is>
      </c>
      <c r="E511" s="65" t="inlineStr">
        <is>
          <t>Minimum Number of Arrows to Burst Balloons</t>
        </is>
      </c>
      <c r="F511" s="65" t="inlineStr">
        <is>
          <t>Medium</t>
        </is>
      </c>
      <c r="G511" s="65" t="inlineStr">
        <is>
          <t>Depth</t>
        </is>
      </c>
      <c r="H511" s="65" t="inlineStr">
        <is>
          <t>LeetCode</t>
        </is>
      </c>
      <c r="I511" s="65" t="inlineStr">
        <is>
          <t>https://leetcode.com/problems/minimum-number-of-arrows-to-burst-balloons/</t>
        </is>
      </c>
      <c r="J511" s="65" t="inlineStr">
        <is>
          <t>Not Started</t>
        </is>
      </c>
      <c r="K511" s="65" t="n"/>
      <c r="L511" s="65" t="n"/>
      <c r="M511" s="71" t="n"/>
      <c r="N511" s="71">
        <f>IF($M511="","",$M511+IF($K511="",Dashboard!$M$9,INDEX(Dashboard!$M$5:$M$9,$K511)))</f>
        <v/>
      </c>
      <c r="O511" s="65">
        <f>IF(OR($J511="Attempted",$J511="Revisit"),"DUE",IF($N511="","",IF($N511&lt;=TODAY(),"DUE","")))</f>
        <v/>
      </c>
      <c r="P511" s="65" t="n"/>
    </row>
    <row r="512" ht="15" customHeight="1" s="32">
      <c r="A512" s="65" t="n">
        <v>511</v>
      </c>
      <c r="B512" s="65" t="inlineStr">
        <is>
          <t>4. Greedy &amp; Backtracking - Depth</t>
        </is>
      </c>
      <c r="C512" s="65" t="inlineStr">
        <is>
          <t>15. Intervals</t>
        </is>
      </c>
      <c r="D512" s="65" t="inlineStr">
        <is>
          <t>Scheduling</t>
        </is>
      </c>
      <c r="E512" s="65" t="inlineStr">
        <is>
          <t>Minimum Platforms</t>
        </is>
      </c>
      <c r="F512" s="65" t="inlineStr">
        <is>
          <t>Medium</t>
        </is>
      </c>
      <c r="G512" s="65" t="inlineStr">
        <is>
          <t>Depth</t>
        </is>
      </c>
      <c r="H512" s="65" t="inlineStr">
        <is>
          <t>GeeksforGeeks</t>
        </is>
      </c>
      <c r="I512" s="65" t="inlineStr">
        <is>
          <t>https://www.geeksforgeeks.org/problems/minimum-platforms-1587115620/1</t>
        </is>
      </c>
      <c r="J512" s="65" t="inlineStr">
        <is>
          <t>Not Started</t>
        </is>
      </c>
      <c r="K512" s="65" t="n"/>
      <c r="L512" s="65" t="n"/>
      <c r="M512" s="71" t="n"/>
      <c r="N512" s="71">
        <f>IF($M512="","",$M512+IF($K512="",Dashboard!$M$9,INDEX(Dashboard!$M$5:$M$9,$K512)))</f>
        <v/>
      </c>
      <c r="O512" s="65">
        <f>IF(OR($J512="Attempted",$J512="Revisit"),"DUE",IF($N512="","",IF($N512&lt;=TODAY(),"DUE","")))</f>
        <v/>
      </c>
      <c r="P512" s="65" t="n"/>
    </row>
    <row r="513" ht="15" customHeight="1" s="32">
      <c r="A513" s="65" t="n">
        <v>512</v>
      </c>
      <c r="B513" s="65" t="inlineStr">
        <is>
          <t>4. Greedy &amp; Backtracking - Depth</t>
        </is>
      </c>
      <c r="C513" s="65" t="inlineStr">
        <is>
          <t>15. Intervals</t>
        </is>
      </c>
      <c r="D513" s="65" t="inlineStr">
        <is>
          <t>Scheduling</t>
        </is>
      </c>
      <c r="E513" s="65" t="inlineStr">
        <is>
          <t>Maximum Number of Events That Can Be Attended</t>
        </is>
      </c>
      <c r="F513" s="65" t="inlineStr">
        <is>
          <t>Medium</t>
        </is>
      </c>
      <c r="G513" s="65" t="inlineStr">
        <is>
          <t>Depth</t>
        </is>
      </c>
      <c r="H513" s="65" t="inlineStr">
        <is>
          <t>LeetCode</t>
        </is>
      </c>
      <c r="I513" s="65" t="inlineStr">
        <is>
          <t>https://leetcode.com/problems/maximum-number-of-events-that-can-be-attended/</t>
        </is>
      </c>
      <c r="J513" s="65" t="inlineStr">
        <is>
          <t>Not Started</t>
        </is>
      </c>
      <c r="K513" s="65" t="n"/>
      <c r="L513" s="65" t="n"/>
      <c r="M513" s="71" t="n"/>
      <c r="N513" s="71">
        <f>IF($M513="","",$M513+IF($K513="",Dashboard!$M$9,INDEX(Dashboard!$M$5:$M$9,$K513)))</f>
        <v/>
      </c>
      <c r="O513" s="65">
        <f>IF(OR($J513="Attempted",$J513="Revisit"),"DUE",IF($N513="","",IF($N513&lt;=TODAY(),"DUE","")))</f>
        <v/>
      </c>
      <c r="P513" s="65" t="n"/>
    </row>
    <row r="514" ht="15" customHeight="1" s="32">
      <c r="A514" s="65" t="n">
        <v>513</v>
      </c>
      <c r="B514" s="65" t="inlineStr">
        <is>
          <t>4. Greedy &amp; Backtracking - Depth</t>
        </is>
      </c>
      <c r="C514" s="65" t="inlineStr">
        <is>
          <t>15. Intervals</t>
        </is>
      </c>
      <c r="D514" s="65" t="inlineStr">
        <is>
          <t>Booking</t>
        </is>
      </c>
      <c r="E514" s="65" t="inlineStr">
        <is>
          <t>The Number of the Smallest Unoccupied Chair</t>
        </is>
      </c>
      <c r="F514" s="65" t="inlineStr">
        <is>
          <t>Medium</t>
        </is>
      </c>
      <c r="G514" s="65" t="inlineStr">
        <is>
          <t>Depth</t>
        </is>
      </c>
      <c r="H514" s="65" t="inlineStr">
        <is>
          <t>LeetCode</t>
        </is>
      </c>
      <c r="I514" s="65" t="inlineStr">
        <is>
          <t>https://leetcode.com/problems/the-number-of-the-smallest-unoccupied-chair/</t>
        </is>
      </c>
      <c r="J514" s="65" t="inlineStr">
        <is>
          <t>Not Started</t>
        </is>
      </c>
      <c r="K514" s="65" t="n"/>
      <c r="L514" s="65" t="n"/>
      <c r="M514" s="71" t="n"/>
      <c r="N514" s="71">
        <f>IF($M514="","",$M514+IF($K514="",Dashboard!$M$9,INDEX(Dashboard!$M$5:$M$9,$K514)))</f>
        <v/>
      </c>
      <c r="O514" s="65">
        <f>IF(OR($J514="Attempted",$J514="Revisit"),"DUE",IF($N514="","",IF($N514&lt;=TODAY(),"DUE","")))</f>
        <v/>
      </c>
      <c r="P514" s="65" t="n"/>
    </row>
    <row r="515" ht="15" customHeight="1" s="32">
      <c r="A515" s="65" t="n">
        <v>514</v>
      </c>
      <c r="B515" s="65" t="inlineStr">
        <is>
          <t>4. Greedy &amp; Backtracking - Depth</t>
        </is>
      </c>
      <c r="C515" s="65" t="inlineStr">
        <is>
          <t>16. Greedy</t>
        </is>
      </c>
      <c r="D515" s="65" t="inlineStr">
        <is>
          <t>Sort + pick</t>
        </is>
      </c>
      <c r="E515" s="65" t="inlineStr">
        <is>
          <t>Two City Scheduling</t>
        </is>
      </c>
      <c r="F515" s="65" t="inlineStr">
        <is>
          <t>Medium</t>
        </is>
      </c>
      <c r="G515" s="65" t="inlineStr">
        <is>
          <t>Depth</t>
        </is>
      </c>
      <c r="H515" s="65" t="inlineStr">
        <is>
          <t>LeetCode</t>
        </is>
      </c>
      <c r="I515" s="65" t="inlineStr">
        <is>
          <t>https://leetcode.com/problems/two-city-scheduling/</t>
        </is>
      </c>
      <c r="J515" s="65" t="inlineStr">
        <is>
          <t>Not Started</t>
        </is>
      </c>
      <c r="K515" s="65" t="n"/>
      <c r="L515" s="65" t="n"/>
      <c r="M515" s="71" t="n"/>
      <c r="N515" s="71">
        <f>IF($M515="","",$M515+IF($K515="",Dashboard!$M$9,INDEX(Dashboard!$M$5:$M$9,$K515)))</f>
        <v/>
      </c>
      <c r="O515" s="65">
        <f>IF(OR($J515="Attempted",$J515="Revisit"),"DUE",IF($N515="","",IF($N515&lt;=TODAY(),"DUE","")))</f>
        <v/>
      </c>
      <c r="P515" s="65" t="n"/>
    </row>
    <row r="516" ht="15" customHeight="1" s="32">
      <c r="A516" s="65" t="n">
        <v>515</v>
      </c>
      <c r="B516" s="65" t="inlineStr">
        <is>
          <t>4. Greedy &amp; Backtracking - Depth</t>
        </is>
      </c>
      <c r="C516" s="65" t="inlineStr">
        <is>
          <t>16. Greedy</t>
        </is>
      </c>
      <c r="D516" s="65" t="inlineStr">
        <is>
          <t>Sort + pick</t>
        </is>
      </c>
      <c r="E516" s="65" t="inlineStr">
        <is>
          <t>Advantage Shuffle</t>
        </is>
      </c>
      <c r="F516" s="65" t="inlineStr">
        <is>
          <t>Medium</t>
        </is>
      </c>
      <c r="G516" s="65" t="inlineStr">
        <is>
          <t>Depth</t>
        </is>
      </c>
      <c r="H516" s="65" t="inlineStr">
        <is>
          <t>LeetCode</t>
        </is>
      </c>
      <c r="I516" s="65" t="inlineStr">
        <is>
          <t>https://leetcode.com/problems/advantage-shuffle/</t>
        </is>
      </c>
      <c r="J516" s="65" t="inlineStr">
        <is>
          <t>Not Started</t>
        </is>
      </c>
      <c r="K516" s="65" t="n"/>
      <c r="L516" s="65" t="n"/>
      <c r="M516" s="71" t="n"/>
      <c r="N516" s="71">
        <f>IF($M516="","",$M516+IF($K516="",Dashboard!$M$9,INDEX(Dashboard!$M$5:$M$9,$K516)))</f>
        <v/>
      </c>
      <c r="O516" s="65">
        <f>IF(OR($J516="Attempted",$J516="Revisit"),"DUE",IF($N516="","",IF($N516&lt;=TODAY(),"DUE","")))</f>
        <v/>
      </c>
      <c r="P516" s="65" t="n"/>
    </row>
    <row r="517" ht="15" customHeight="1" s="32">
      <c r="A517" s="65" t="n">
        <v>516</v>
      </c>
      <c r="B517" s="65" t="inlineStr">
        <is>
          <t>4. Greedy &amp; Backtracking - Depth</t>
        </is>
      </c>
      <c r="C517" s="65" t="inlineStr">
        <is>
          <t>16. Greedy</t>
        </is>
      </c>
      <c r="D517" s="65" t="inlineStr">
        <is>
          <t>Sort + pick</t>
        </is>
      </c>
      <c r="E517" s="65" t="inlineStr">
        <is>
          <t>Maximum Number of Coins You Can Get</t>
        </is>
      </c>
      <c r="F517" s="65" t="inlineStr">
        <is>
          <t>Medium</t>
        </is>
      </c>
      <c r="G517" s="65" t="inlineStr">
        <is>
          <t>Depth</t>
        </is>
      </c>
      <c r="H517" s="65" t="inlineStr">
        <is>
          <t>LeetCode</t>
        </is>
      </c>
      <c r="I517" s="65" t="inlineStr">
        <is>
          <t>https://leetcode.com/problems/maximum-number-of-coins-you-can-get/</t>
        </is>
      </c>
      <c r="J517" s="65" t="inlineStr">
        <is>
          <t>Not Started</t>
        </is>
      </c>
      <c r="K517" s="65" t="n"/>
      <c r="L517" s="65" t="n"/>
      <c r="M517" s="71" t="n"/>
      <c r="N517" s="71">
        <f>IF($M517="","",$M517+IF($K517="",Dashboard!$M$9,INDEX(Dashboard!$M$5:$M$9,$K517)))</f>
        <v/>
      </c>
      <c r="O517" s="65">
        <f>IF(OR($J517="Attempted",$J517="Revisit"),"DUE",IF($N517="","",IF($N517&lt;=TODAY(),"DUE","")))</f>
        <v/>
      </c>
      <c r="P517" s="65" t="n"/>
    </row>
    <row r="518" ht="15" customHeight="1" s="32">
      <c r="A518" s="65" t="n">
        <v>517</v>
      </c>
      <c r="B518" s="65" t="inlineStr">
        <is>
          <t>4. Greedy &amp; Backtracking - Depth</t>
        </is>
      </c>
      <c r="C518" s="65" t="inlineStr">
        <is>
          <t>16. Greedy</t>
        </is>
      </c>
      <c r="D518" s="65" t="inlineStr">
        <is>
          <t>Classic greedy</t>
        </is>
      </c>
      <c r="E518" s="65" t="inlineStr">
        <is>
          <t>Fractional Knapsack</t>
        </is>
      </c>
      <c r="F518" s="65" t="inlineStr">
        <is>
          <t>Medium</t>
        </is>
      </c>
      <c r="G518" s="65" t="inlineStr">
        <is>
          <t>Depth</t>
        </is>
      </c>
      <c r="H518" s="65" t="inlineStr">
        <is>
          <t>GeeksforGeeks</t>
        </is>
      </c>
      <c r="I518" s="65" t="inlineStr">
        <is>
          <t>https://www.geeksforgeeks.org/problems/fractional-knapsack-1587115620/1</t>
        </is>
      </c>
      <c r="J518" s="65" t="inlineStr">
        <is>
          <t>Not Started</t>
        </is>
      </c>
      <c r="K518" s="65" t="n"/>
      <c r="L518" s="65" t="n"/>
      <c r="M518" s="71" t="n"/>
      <c r="N518" s="71">
        <f>IF($M518="","",$M518+IF($K518="",Dashboard!$M$9,INDEX(Dashboard!$M$5:$M$9,$K518)))</f>
        <v/>
      </c>
      <c r="O518" s="65">
        <f>IF(OR($J518="Attempted",$J518="Revisit"),"DUE",IF($N518="","",IF($N518&lt;=TODAY(),"DUE","")))</f>
        <v/>
      </c>
      <c r="P518" s="65" t="n"/>
    </row>
    <row r="519" ht="15" customHeight="1" s="32">
      <c r="A519" s="65" t="n">
        <v>518</v>
      </c>
      <c r="B519" s="65" t="inlineStr">
        <is>
          <t>4. Greedy &amp; Backtracking - Depth</t>
        </is>
      </c>
      <c r="C519" s="65" t="inlineStr">
        <is>
          <t>16. Greedy</t>
        </is>
      </c>
      <c r="D519" s="65" t="inlineStr">
        <is>
          <t>Classic greedy</t>
        </is>
      </c>
      <c r="E519" s="65" t="inlineStr">
        <is>
          <t>Huffman Encoding</t>
        </is>
      </c>
      <c r="F519" s="65" t="inlineStr">
        <is>
          <t>Medium</t>
        </is>
      </c>
      <c r="G519" s="65" t="inlineStr">
        <is>
          <t>Depth</t>
        </is>
      </c>
      <c r="H519" s="65" t="inlineStr">
        <is>
          <t>GeeksforGeeks</t>
        </is>
      </c>
      <c r="I519" s="65" t="inlineStr">
        <is>
          <t>https://www.geeksforgeeks.org/search/?q=Huffman+Encoding</t>
        </is>
      </c>
      <c r="J519" s="65" t="inlineStr">
        <is>
          <t>Not Started</t>
        </is>
      </c>
      <c r="K519" s="65" t="n"/>
      <c r="L519" s="65" t="n"/>
      <c r="M519" s="71" t="n"/>
      <c r="N519" s="71">
        <f>IF($M519="","",$M519+IF($K519="",Dashboard!$M$9,INDEX(Dashboard!$M$5:$M$9,$K519)))</f>
        <v/>
      </c>
      <c r="O519" s="65">
        <f>IF(OR($J519="Attempted",$J519="Revisit"),"DUE",IF($N519="","",IF($N519&lt;=TODAY(),"DUE","")))</f>
        <v/>
      </c>
      <c r="P519" s="65" t="n"/>
    </row>
    <row r="520" ht="15" customHeight="1" s="32">
      <c r="A520" s="65" t="n">
        <v>519</v>
      </c>
      <c r="B520" s="65" t="inlineStr">
        <is>
          <t>4. Greedy &amp; Backtracking - Depth</t>
        </is>
      </c>
      <c r="C520" s="65" t="inlineStr">
        <is>
          <t>16. Greedy</t>
        </is>
      </c>
      <c r="D520" s="65" t="inlineStr">
        <is>
          <t>Simulation</t>
        </is>
      </c>
      <c r="E520" s="65" t="inlineStr">
        <is>
          <t>Broken Calculator</t>
        </is>
      </c>
      <c r="F520" s="65" t="inlineStr">
        <is>
          <t>Medium</t>
        </is>
      </c>
      <c r="G520" s="65" t="inlineStr">
        <is>
          <t>Depth</t>
        </is>
      </c>
      <c r="H520" s="65" t="inlineStr">
        <is>
          <t>LeetCode</t>
        </is>
      </c>
      <c r="I520" s="65" t="inlineStr">
        <is>
          <t>https://leetcode.com/problems/broken-calculator/</t>
        </is>
      </c>
      <c r="J520" s="65" t="inlineStr">
        <is>
          <t>Not Started</t>
        </is>
      </c>
      <c r="K520" s="65" t="n"/>
      <c r="L520" s="65" t="n"/>
      <c r="M520" s="71" t="n"/>
      <c r="N520" s="71">
        <f>IF($M520="","",$M520+IF($K520="",Dashboard!$M$9,INDEX(Dashboard!$M$5:$M$9,$K520)))</f>
        <v/>
      </c>
      <c r="O520" s="65">
        <f>IF(OR($J520="Attempted",$J520="Revisit"),"DUE",IF($N520="","",IF($N520&lt;=TODAY(),"DUE","")))</f>
        <v/>
      </c>
      <c r="P520" s="65" t="n"/>
    </row>
    <row r="521" ht="15" customHeight="1" s="32">
      <c r="A521" s="65" t="n">
        <v>520</v>
      </c>
      <c r="B521" s="65" t="inlineStr">
        <is>
          <t>4. Greedy &amp; Backtracking - Depth</t>
        </is>
      </c>
      <c r="C521" s="65" t="inlineStr">
        <is>
          <t>16. Greedy</t>
        </is>
      </c>
      <c r="D521" s="65" t="inlineStr">
        <is>
          <t>Simulation</t>
        </is>
      </c>
      <c r="E521" s="65" t="inlineStr">
        <is>
          <t>Bag of Tokens</t>
        </is>
      </c>
      <c r="F521" s="65" t="inlineStr">
        <is>
          <t>Medium</t>
        </is>
      </c>
      <c r="G521" s="65" t="inlineStr">
        <is>
          <t>Depth</t>
        </is>
      </c>
      <c r="H521" s="65" t="inlineStr">
        <is>
          <t>LeetCode</t>
        </is>
      </c>
      <c r="I521" s="65" t="inlineStr">
        <is>
          <t>https://leetcode.com/problems/bag-of-tokens/</t>
        </is>
      </c>
      <c r="J521" s="65" t="inlineStr">
        <is>
          <t>Not Started</t>
        </is>
      </c>
      <c r="K521" s="65" t="n"/>
      <c r="L521" s="65" t="n"/>
      <c r="M521" s="71" t="n"/>
      <c r="N521" s="71">
        <f>IF($M521="","",$M521+IF($K521="",Dashboard!$M$9,INDEX(Dashboard!$M$5:$M$9,$K521)))</f>
        <v/>
      </c>
      <c r="O521" s="65">
        <f>IF(OR($J521="Attempted",$J521="Revisit"),"DUE",IF($N521="","",IF($N521&lt;=TODAY(),"DUE","")))</f>
        <v/>
      </c>
      <c r="P521" s="65" t="n"/>
    </row>
    <row r="522" ht="15" customHeight="1" s="32">
      <c r="A522" s="65" t="n">
        <v>521</v>
      </c>
      <c r="B522" s="65" t="inlineStr">
        <is>
          <t>4. Greedy &amp; Backtracking - Depth</t>
        </is>
      </c>
      <c r="C522" s="65" t="inlineStr">
        <is>
          <t>16. Greedy</t>
        </is>
      </c>
      <c r="D522" s="65" t="inlineStr">
        <is>
          <t>Simulation</t>
        </is>
      </c>
      <c r="E522" s="65" t="inlineStr">
        <is>
          <t>Push Dominoes</t>
        </is>
      </c>
      <c r="F522" s="65" t="inlineStr">
        <is>
          <t>Medium</t>
        </is>
      </c>
      <c r="G522" s="65" t="inlineStr">
        <is>
          <t>Depth</t>
        </is>
      </c>
      <c r="H522" s="65" t="inlineStr">
        <is>
          <t>LeetCode</t>
        </is>
      </c>
      <c r="I522" s="65" t="inlineStr">
        <is>
          <t>https://leetcode.com/problems/push-dominoes/</t>
        </is>
      </c>
      <c r="J522" s="65" t="inlineStr">
        <is>
          <t>Not Started</t>
        </is>
      </c>
      <c r="K522" s="65" t="n"/>
      <c r="L522" s="65" t="n"/>
      <c r="M522" s="71" t="n"/>
      <c r="N522" s="71">
        <f>IF($M522="","",$M522+IF($K522="",Dashboard!$M$9,INDEX(Dashboard!$M$5:$M$9,$K522)))</f>
        <v/>
      </c>
      <c r="O522" s="65">
        <f>IF(OR($J522="Attempted",$J522="Revisit"),"DUE",IF($N522="","",IF($N522&lt;=TODAY(),"DUE","")))</f>
        <v/>
      </c>
      <c r="P522" s="65" t="inlineStr">
        <is>
          <t>v3 addition</t>
        </is>
      </c>
    </row>
    <row r="523" ht="15" customHeight="1" s="32">
      <c r="A523" s="65" t="n">
        <v>522</v>
      </c>
      <c r="B523" s="65" t="inlineStr">
        <is>
          <t>4. Greedy &amp; Backtracking - Depth</t>
        </is>
      </c>
      <c r="C523" s="65" t="inlineStr">
        <is>
          <t>16. Greedy</t>
        </is>
      </c>
      <c r="D523" s="65" t="inlineStr">
        <is>
          <t>Simulation</t>
        </is>
      </c>
      <c r="E523" s="65" t="inlineStr">
        <is>
          <t>Minimum Deletions to Make Character Frequencies Unique</t>
        </is>
      </c>
      <c r="F523" s="65" t="inlineStr">
        <is>
          <t>Medium</t>
        </is>
      </c>
      <c r="G523" s="65" t="inlineStr">
        <is>
          <t>Depth</t>
        </is>
      </c>
      <c r="H523" s="65" t="inlineStr">
        <is>
          <t>LeetCode</t>
        </is>
      </c>
      <c r="I523" s="65" t="inlineStr">
        <is>
          <t>https://leetcode.com/problems/minimum-deletions-to-make-character-frequencies-unique/</t>
        </is>
      </c>
      <c r="J523" s="65" t="inlineStr">
        <is>
          <t>Not Started</t>
        </is>
      </c>
      <c r="K523" s="65" t="n"/>
      <c r="L523" s="65" t="n"/>
      <c r="M523" s="71" t="n"/>
      <c r="N523" s="71">
        <f>IF($M523="","",$M523+IF($K523="",Dashboard!$M$9,INDEX(Dashboard!$M$5:$M$9,$K523)))</f>
        <v/>
      </c>
      <c r="O523" s="65">
        <f>IF(OR($J523="Attempted",$J523="Revisit"),"DUE",IF($N523="","",IF($N523&lt;=TODAY(),"DUE","")))</f>
        <v/>
      </c>
      <c r="P523" s="65" t="n"/>
    </row>
    <row r="524" ht="15" customHeight="1" s="32">
      <c r="A524" s="65" t="n">
        <v>523</v>
      </c>
      <c r="B524" s="65" t="inlineStr">
        <is>
          <t>4. Greedy &amp; Backtracking - Depth</t>
        </is>
      </c>
      <c r="C524" s="65" t="inlineStr">
        <is>
          <t>16. Greedy</t>
        </is>
      </c>
      <c r="D524" s="65" t="inlineStr">
        <is>
          <t>Two pass</t>
        </is>
      </c>
      <c r="E524" s="65" t="inlineStr">
        <is>
          <t>Best Sightseeing Pair</t>
        </is>
      </c>
      <c r="F524" s="65" t="inlineStr">
        <is>
          <t>Medium</t>
        </is>
      </c>
      <c r="G524" s="65" t="inlineStr">
        <is>
          <t>Depth</t>
        </is>
      </c>
      <c r="H524" s="65" t="inlineStr">
        <is>
          <t>LeetCode</t>
        </is>
      </c>
      <c r="I524" s="65" t="inlineStr">
        <is>
          <t>https://leetcode.com/problems/best-sightseeing-pair/</t>
        </is>
      </c>
      <c r="J524" s="65" t="inlineStr">
        <is>
          <t>Not Started</t>
        </is>
      </c>
      <c r="K524" s="65" t="n"/>
      <c r="L524" s="65" t="n"/>
      <c r="M524" s="71" t="n"/>
      <c r="N524" s="71">
        <f>IF($M524="","",$M524+IF($K524="",Dashboard!$M$9,INDEX(Dashboard!$M$5:$M$9,$K524)))</f>
        <v/>
      </c>
      <c r="O524" s="65">
        <f>IF(OR($J524="Attempted",$J524="Revisit"),"DUE",IF($N524="","",IF($N524&lt;=TODAY(),"DUE","")))</f>
        <v/>
      </c>
      <c r="P524" s="65" t="n"/>
    </row>
    <row r="525" ht="15" customHeight="1" s="32">
      <c r="A525" s="65" t="n">
        <v>524</v>
      </c>
      <c r="B525" s="65" t="inlineStr">
        <is>
          <t>4. Greedy &amp; Backtracking - Depth</t>
        </is>
      </c>
      <c r="C525" s="65" t="inlineStr">
        <is>
          <t>16. Greedy</t>
        </is>
      </c>
      <c r="D525" s="65" t="inlineStr">
        <is>
          <t>Two pass</t>
        </is>
      </c>
      <c r="E525" s="65" t="inlineStr">
        <is>
          <t>Candy</t>
        </is>
      </c>
      <c r="F525" s="65" t="inlineStr">
        <is>
          <t>Hard</t>
        </is>
      </c>
      <c r="G525" s="65" t="inlineStr">
        <is>
          <t>Depth</t>
        </is>
      </c>
      <c r="H525" s="65" t="inlineStr">
        <is>
          <t>LeetCode</t>
        </is>
      </c>
      <c r="I525" s="65" t="inlineStr">
        <is>
          <t>https://leetcode.com/problems/candy/</t>
        </is>
      </c>
      <c r="J525" s="65" t="inlineStr">
        <is>
          <t>Not Started</t>
        </is>
      </c>
      <c r="K525" s="65" t="n"/>
      <c r="L525" s="65" t="n"/>
      <c r="M525" s="71" t="n"/>
      <c r="N525" s="71">
        <f>IF($M525="","",$M525+IF($K525="",Dashboard!$M$9,INDEX(Dashboard!$M$5:$M$9,$K525)))</f>
        <v/>
      </c>
      <c r="O525" s="65">
        <f>IF(OR($J525="Attempted",$J525="Revisit"),"DUE",IF($N525="","",IF($N525&lt;=TODAY(),"DUE","")))</f>
        <v/>
      </c>
      <c r="P525" s="65" t="n"/>
    </row>
    <row r="526" ht="15" customHeight="1" s="32">
      <c r="A526" s="65" t="n">
        <v>525</v>
      </c>
      <c r="B526" s="65" t="inlineStr">
        <is>
          <t>4. Greedy &amp; Backtracking - Depth</t>
        </is>
      </c>
      <c r="C526" s="65" t="inlineStr">
        <is>
          <t>16. Greedy</t>
        </is>
      </c>
      <c r="D526" s="65" t="inlineStr">
        <is>
          <t>Validation</t>
        </is>
      </c>
      <c r="E526" s="65" t="inlineStr">
        <is>
          <t>Check If a String Can Break Another String</t>
        </is>
      </c>
      <c r="F526" s="65" t="inlineStr">
        <is>
          <t>Medium</t>
        </is>
      </c>
      <c r="G526" s="65" t="inlineStr">
        <is>
          <t>Depth</t>
        </is>
      </c>
      <c r="H526" s="65" t="inlineStr">
        <is>
          <t>LeetCode</t>
        </is>
      </c>
      <c r="I526" s="65" t="inlineStr">
        <is>
          <t>https://leetcode.com/problems/check-if-a-string-can-break-another-string/</t>
        </is>
      </c>
      <c r="J526" s="65" t="inlineStr">
        <is>
          <t>Not Started</t>
        </is>
      </c>
      <c r="K526" s="65" t="n"/>
      <c r="L526" s="65" t="n"/>
      <c r="M526" s="71" t="n"/>
      <c r="N526" s="71">
        <f>IF($M526="","",$M526+IF($K526="",Dashboard!$M$9,INDEX(Dashboard!$M$5:$M$9,$K526)))</f>
        <v/>
      </c>
      <c r="O526" s="65">
        <f>IF(OR($J526="Attempted",$J526="Revisit"),"DUE",IF($N526="","",IF($N526&lt;=TODAY(),"DUE","")))</f>
        <v/>
      </c>
      <c r="P526" s="65" t="n"/>
    </row>
    <row r="527" ht="15" customHeight="1" s="32">
      <c r="A527" s="65" t="n">
        <v>526</v>
      </c>
      <c r="B527" s="65" t="inlineStr">
        <is>
          <t>4. Greedy &amp; Backtracking - Depth</t>
        </is>
      </c>
      <c r="C527" s="65" t="inlineStr">
        <is>
          <t>16. Greedy</t>
        </is>
      </c>
      <c r="D527" s="65" t="inlineStr">
        <is>
          <t>Validation</t>
        </is>
      </c>
      <c r="E527" s="65" t="inlineStr">
        <is>
          <t>Minimum Number of Swaps to Make the String Balanced</t>
        </is>
      </c>
      <c r="F527" s="65" t="inlineStr">
        <is>
          <t>Medium</t>
        </is>
      </c>
      <c r="G527" s="65" t="inlineStr">
        <is>
          <t>Depth</t>
        </is>
      </c>
      <c r="H527" s="65" t="inlineStr">
        <is>
          <t>LeetCode</t>
        </is>
      </c>
      <c r="I527" s="65" t="inlineStr">
        <is>
          <t>https://leetcode.com/problems/minimum-number-of-swaps-to-make-the-string-balanced/</t>
        </is>
      </c>
      <c r="J527" s="65" t="inlineStr">
        <is>
          <t>Not Started</t>
        </is>
      </c>
      <c r="K527" s="65" t="n"/>
      <c r="L527" s="65" t="n"/>
      <c r="M527" s="71" t="n"/>
      <c r="N527" s="71">
        <f>IF($M527="","",$M527+IF($K527="",Dashboard!$M$9,INDEX(Dashboard!$M$5:$M$9,$K527)))</f>
        <v/>
      </c>
      <c r="O527" s="65">
        <f>IF(OR($J527="Attempted",$J527="Revisit"),"DUE",IF($N527="","",IF($N527&lt;=TODAY(),"DUE","")))</f>
        <v/>
      </c>
      <c r="P527" s="65" t="n"/>
    </row>
    <row r="528" ht="15" customHeight="1" s="32">
      <c r="A528" s="65" t="n">
        <v>527</v>
      </c>
      <c r="B528" s="65" t="inlineStr">
        <is>
          <t>4. Greedy &amp; Backtracking - Depth</t>
        </is>
      </c>
      <c r="C528" s="65" t="inlineStr">
        <is>
          <t>16. Greedy</t>
        </is>
      </c>
      <c r="D528" s="65" t="inlineStr">
        <is>
          <t>Reachability</t>
        </is>
      </c>
      <c r="E528" s="65" t="inlineStr">
        <is>
          <t>Jump Game III</t>
        </is>
      </c>
      <c r="F528" s="65" t="inlineStr">
        <is>
          <t>Medium</t>
        </is>
      </c>
      <c r="G528" s="65" t="inlineStr">
        <is>
          <t>Depth</t>
        </is>
      </c>
      <c r="H528" s="65" t="inlineStr">
        <is>
          <t>LeetCode</t>
        </is>
      </c>
      <c r="I528" s="65" t="inlineStr">
        <is>
          <t>https://leetcode.com/problems/jump-game-iii/</t>
        </is>
      </c>
      <c r="J528" s="65" t="inlineStr">
        <is>
          <t>Not Started</t>
        </is>
      </c>
      <c r="K528" s="65" t="n"/>
      <c r="L528" s="65" t="n"/>
      <c r="M528" s="71" t="n"/>
      <c r="N528" s="71">
        <f>IF($M528="","",$M528+IF($K528="",Dashboard!$M$9,INDEX(Dashboard!$M$5:$M$9,$K528)))</f>
        <v/>
      </c>
      <c r="O528" s="65">
        <f>IF(OR($J528="Attempted",$J528="Revisit"),"DUE",IF($N528="","",IF($N528&lt;=TODAY(),"DUE","")))</f>
        <v/>
      </c>
      <c r="P528" s="65" t="n"/>
    </row>
    <row r="529" ht="15" customHeight="1" s="32">
      <c r="A529" s="65" t="n">
        <v>528</v>
      </c>
      <c r="B529" s="65" t="inlineStr">
        <is>
          <t>4. Greedy &amp; Backtracking - Depth</t>
        </is>
      </c>
      <c r="C529" s="65" t="inlineStr">
        <is>
          <t>16. Greedy</t>
        </is>
      </c>
      <c r="D529" s="65" t="inlineStr">
        <is>
          <t>Reachability</t>
        </is>
      </c>
      <c r="E529" s="65" t="inlineStr">
        <is>
          <t>Jump Game VII</t>
        </is>
      </c>
      <c r="F529" s="65" t="inlineStr">
        <is>
          <t>Medium</t>
        </is>
      </c>
      <c r="G529" s="65" t="inlineStr">
        <is>
          <t>Depth</t>
        </is>
      </c>
      <c r="H529" s="65" t="inlineStr">
        <is>
          <t>LeetCode</t>
        </is>
      </c>
      <c r="I529" s="65" t="inlineStr">
        <is>
          <t>https://leetcode.com/problems/jump-game-vii/</t>
        </is>
      </c>
      <c r="J529" s="65" t="inlineStr">
        <is>
          <t>Not Started</t>
        </is>
      </c>
      <c r="K529" s="65" t="n"/>
      <c r="L529" s="65" t="n"/>
      <c r="M529" s="71" t="n"/>
      <c r="N529" s="71">
        <f>IF($M529="","",$M529+IF($K529="",Dashboard!$M$9,INDEX(Dashboard!$M$5:$M$9,$K529)))</f>
        <v/>
      </c>
      <c r="O529" s="65">
        <f>IF(OR($J529="Attempted",$J529="Revisit"),"DUE",IF($N529="","",IF($N529&lt;=TODAY(),"DUE","")))</f>
        <v/>
      </c>
      <c r="P529" s="65" t="n"/>
    </row>
    <row r="530" ht="15" customHeight="1" s="32">
      <c r="A530" s="65" t="n">
        <v>529</v>
      </c>
      <c r="B530" s="65" t="inlineStr">
        <is>
          <t>4. Greedy &amp; Backtracking - Depth</t>
        </is>
      </c>
      <c r="C530" s="65" t="inlineStr">
        <is>
          <t>16. Greedy</t>
        </is>
      </c>
      <c r="D530" s="65" t="inlineStr">
        <is>
          <t>Reachability</t>
        </is>
      </c>
      <c r="E530" s="65" t="inlineStr">
        <is>
          <t>Reach a Number</t>
        </is>
      </c>
      <c r="F530" s="65" t="inlineStr">
        <is>
          <t>Medium</t>
        </is>
      </c>
      <c r="G530" s="65" t="inlineStr">
        <is>
          <t>Depth</t>
        </is>
      </c>
      <c r="H530" s="65" t="inlineStr">
        <is>
          <t>LeetCode</t>
        </is>
      </c>
      <c r="I530" s="65" t="inlineStr">
        <is>
          <t>https://leetcode.com/problems/reach-a-number/</t>
        </is>
      </c>
      <c r="J530" s="65" t="inlineStr">
        <is>
          <t>Not Started</t>
        </is>
      </c>
      <c r="K530" s="65" t="n"/>
      <c r="L530" s="65" t="n"/>
      <c r="M530" s="71" t="n"/>
      <c r="N530" s="71">
        <f>IF($M530="","",$M530+IF($K530="",Dashboard!$M$9,INDEX(Dashboard!$M$5:$M$9,$K530)))</f>
        <v/>
      </c>
      <c r="O530" s="65">
        <f>IF(OR($J530="Attempted",$J530="Revisit"),"DUE",IF($N530="","",IF($N530&lt;=TODAY(),"DUE","")))</f>
        <v/>
      </c>
      <c r="P530" s="65" t="n"/>
    </row>
    <row r="531" ht="15" customHeight="1" s="32">
      <c r="A531" s="65" t="n">
        <v>530</v>
      </c>
      <c r="B531" s="65" t="inlineStr">
        <is>
          <t>4. Greedy &amp; Backtracking - Depth</t>
        </is>
      </c>
      <c r="C531" s="65" t="inlineStr">
        <is>
          <t>16. Greedy</t>
        </is>
      </c>
      <c r="D531" s="65" t="inlineStr">
        <is>
          <t>Partitioning</t>
        </is>
      </c>
      <c r="E531" s="65" t="inlineStr">
        <is>
          <t>Partition Array into Disjoint Intervals</t>
        </is>
      </c>
      <c r="F531" s="65" t="inlineStr">
        <is>
          <t>Medium</t>
        </is>
      </c>
      <c r="G531" s="65" t="inlineStr">
        <is>
          <t>Depth</t>
        </is>
      </c>
      <c r="H531" s="65" t="inlineStr">
        <is>
          <t>LeetCode</t>
        </is>
      </c>
      <c r="I531" s="65" t="inlineStr">
        <is>
          <t>https://leetcode.com/problems/partition-array-into-disjoint-intervals/</t>
        </is>
      </c>
      <c r="J531" s="65" t="inlineStr">
        <is>
          <t>Not Started</t>
        </is>
      </c>
      <c r="K531" s="65" t="n"/>
      <c r="L531" s="65" t="n"/>
      <c r="M531" s="71" t="n"/>
      <c r="N531" s="71">
        <f>IF($M531="","",$M531+IF($K531="",Dashboard!$M$9,INDEX(Dashboard!$M$5:$M$9,$K531)))</f>
        <v/>
      </c>
      <c r="O531" s="65">
        <f>IF(OR($J531="Attempted",$J531="Revisit"),"DUE",IF($N531="","",IF($N531&lt;=TODAY(),"DUE","")))</f>
        <v/>
      </c>
      <c r="P531" s="65" t="n"/>
    </row>
    <row r="532" ht="15" customHeight="1" s="32">
      <c r="A532" s="65" t="n">
        <v>531</v>
      </c>
      <c r="B532" s="65" t="inlineStr">
        <is>
          <t>4. Greedy &amp; Backtracking - Depth</t>
        </is>
      </c>
      <c r="C532" s="65" t="inlineStr">
        <is>
          <t>16. Greedy</t>
        </is>
      </c>
      <c r="D532" s="65" t="inlineStr">
        <is>
          <t>Partitioning</t>
        </is>
      </c>
      <c r="E532" s="65" t="inlineStr">
        <is>
          <t>Divide Players Into Teams of Equal Skill</t>
        </is>
      </c>
      <c r="F532" s="65" t="inlineStr">
        <is>
          <t>Medium</t>
        </is>
      </c>
      <c r="G532" s="65" t="inlineStr">
        <is>
          <t>Depth</t>
        </is>
      </c>
      <c r="H532" s="65" t="inlineStr">
        <is>
          <t>LeetCode</t>
        </is>
      </c>
      <c r="I532" s="65" t="inlineStr">
        <is>
          <t>https://leetcode.com/problems/divide-players-into-teams-of-equal-skill/</t>
        </is>
      </c>
      <c r="J532" s="65" t="inlineStr">
        <is>
          <t>Not Started</t>
        </is>
      </c>
      <c r="K532" s="65" t="n"/>
      <c r="L532" s="65" t="n"/>
      <c r="M532" s="71" t="n"/>
      <c r="N532" s="71">
        <f>IF($M532="","",$M532+IF($K532="",Dashboard!$M$9,INDEX(Dashboard!$M$5:$M$9,$K532)))</f>
        <v/>
      </c>
      <c r="O532" s="65">
        <f>IF(OR($J532="Attempted",$J532="Revisit"),"DUE",IF($N532="","",IF($N532&lt;=TODAY(),"DUE","")))</f>
        <v/>
      </c>
      <c r="P532" s="65" t="n"/>
    </row>
    <row r="533" ht="15" customHeight="1" s="32">
      <c r="A533" s="65" t="n">
        <v>532</v>
      </c>
      <c r="B533" s="65" t="inlineStr">
        <is>
          <t>4. Greedy &amp; Backtracking - Depth</t>
        </is>
      </c>
      <c r="C533" s="65" t="inlineStr">
        <is>
          <t>16. Greedy</t>
        </is>
      </c>
      <c r="D533" s="65" t="inlineStr">
        <is>
          <t>Partitioning</t>
        </is>
      </c>
      <c r="E533" s="65" t="inlineStr">
        <is>
          <t>Split Array into Consecutive Subsequences</t>
        </is>
      </c>
      <c r="F533" s="65" t="inlineStr">
        <is>
          <t>Medium</t>
        </is>
      </c>
      <c r="G533" s="65" t="inlineStr">
        <is>
          <t>Depth</t>
        </is>
      </c>
      <c r="H533" s="65" t="inlineStr">
        <is>
          <t>LeetCode</t>
        </is>
      </c>
      <c r="I533" s="65" t="inlineStr">
        <is>
          <t>https://leetcode.com/problems/split-array-into-consecutive-subsequences/</t>
        </is>
      </c>
      <c r="J533" s="65" t="inlineStr">
        <is>
          <t>Not Started</t>
        </is>
      </c>
      <c r="K533" s="65" t="n"/>
      <c r="L533" s="65" t="n"/>
      <c r="M533" s="71" t="n"/>
      <c r="N533" s="71">
        <f>IF($M533="","",$M533+IF($K533="",Dashboard!$M$9,INDEX(Dashboard!$M$5:$M$9,$K533)))</f>
        <v/>
      </c>
      <c r="O533" s="65">
        <f>IF(OR($J533="Attempted",$J533="Revisit"),"DUE",IF($N533="","",IF($N533&lt;=TODAY(),"DUE","")))</f>
        <v/>
      </c>
      <c r="P533" s="65" t="n"/>
    </row>
    <row r="534" ht="15" customHeight="1" s="32">
      <c r="A534" s="65" t="n">
        <v>533</v>
      </c>
      <c r="B534" s="65" t="inlineStr">
        <is>
          <t>4. Greedy &amp; Backtracking - Depth</t>
        </is>
      </c>
      <c r="C534" s="65" t="inlineStr">
        <is>
          <t>16. Greedy</t>
        </is>
      </c>
      <c r="D534" s="65" t="inlineStr">
        <is>
          <t>Reconstruction</t>
        </is>
      </c>
      <c r="E534" s="65" t="inlineStr">
        <is>
          <t>Construct String With Repeat Limit</t>
        </is>
      </c>
      <c r="F534" s="65" t="inlineStr">
        <is>
          <t>Medium</t>
        </is>
      </c>
      <c r="G534" s="65" t="inlineStr">
        <is>
          <t>Depth</t>
        </is>
      </c>
      <c r="H534" s="65" t="inlineStr">
        <is>
          <t>LeetCode</t>
        </is>
      </c>
      <c r="I534" s="65" t="inlineStr">
        <is>
          <t>https://leetcode.com/problems/construct-string-with-repeat-limit/</t>
        </is>
      </c>
      <c r="J534" s="65" t="inlineStr">
        <is>
          <t>Not Started</t>
        </is>
      </c>
      <c r="K534" s="65" t="n"/>
      <c r="L534" s="65" t="n"/>
      <c r="M534" s="71" t="n"/>
      <c r="N534" s="71">
        <f>IF($M534="","",$M534+IF($K534="",Dashboard!$M$9,INDEX(Dashboard!$M$5:$M$9,$K534)))</f>
        <v/>
      </c>
      <c r="O534" s="65">
        <f>IF(OR($J534="Attempted",$J534="Revisit"),"DUE",IF($N534="","",IF($N534&lt;=TODAY(),"DUE","")))</f>
        <v/>
      </c>
      <c r="P534" s="65" t="inlineStr">
        <is>
          <t>v3 addition</t>
        </is>
      </c>
    </row>
    <row r="535" ht="15" customHeight="1" s="32">
      <c r="A535" s="65" t="n">
        <v>534</v>
      </c>
      <c r="B535" s="65" t="inlineStr">
        <is>
          <t>4. Greedy &amp; Backtracking - Depth</t>
        </is>
      </c>
      <c r="C535" s="65" t="inlineStr">
        <is>
          <t>16. Greedy</t>
        </is>
      </c>
      <c r="D535" s="65" t="inlineStr">
        <is>
          <t>Reconstruction</t>
        </is>
      </c>
      <c r="E535" s="65" t="inlineStr">
        <is>
          <t>Remove Duplicate Letters</t>
        </is>
      </c>
      <c r="F535" s="65" t="inlineStr">
        <is>
          <t>Medium</t>
        </is>
      </c>
      <c r="G535" s="65" t="inlineStr">
        <is>
          <t>Depth</t>
        </is>
      </c>
      <c r="H535" s="65" t="inlineStr">
        <is>
          <t>LeetCode</t>
        </is>
      </c>
      <c r="I535" s="65" t="inlineStr">
        <is>
          <t>https://leetcode.com/problems/remove-duplicate-letters/</t>
        </is>
      </c>
      <c r="J535" s="65" t="inlineStr">
        <is>
          <t>Not Started</t>
        </is>
      </c>
      <c r="K535" s="65" t="n"/>
      <c r="L535" s="65" t="n"/>
      <c r="M535" s="71" t="n"/>
      <c r="N535" s="71">
        <f>IF($M535="","",$M535+IF($K535="",Dashboard!$M$9,INDEX(Dashboard!$M$5:$M$9,$K535)))</f>
        <v/>
      </c>
      <c r="O535" s="65">
        <f>IF(OR($J535="Attempted",$J535="Revisit"),"DUE",IF($N535="","",IF($N535&lt;=TODAY(),"DUE","")))</f>
        <v/>
      </c>
      <c r="P535" s="65" t="n"/>
    </row>
    <row r="536" ht="15" customHeight="1" s="32">
      <c r="A536" s="65" t="n">
        <v>535</v>
      </c>
      <c r="B536" s="65" t="inlineStr">
        <is>
          <t>4. Greedy &amp; Backtracking - Depth</t>
        </is>
      </c>
      <c r="C536" s="65" t="inlineStr">
        <is>
          <t>16. Greedy</t>
        </is>
      </c>
      <c r="D536" s="65" t="inlineStr">
        <is>
          <t>Interval greedy</t>
        </is>
      </c>
      <c r="E536" s="65" t="inlineStr">
        <is>
          <t>Job Sequencing Problem</t>
        </is>
      </c>
      <c r="F536" s="65" t="inlineStr">
        <is>
          <t>Medium</t>
        </is>
      </c>
      <c r="G536" s="65" t="inlineStr">
        <is>
          <t>Depth</t>
        </is>
      </c>
      <c r="H536" s="65" t="inlineStr">
        <is>
          <t>GeeksforGeeks</t>
        </is>
      </c>
      <c r="I536" s="65" t="inlineStr">
        <is>
          <t>https://www.geeksforgeeks.org/problems/job-sequencing-problem-1587115620/1</t>
        </is>
      </c>
      <c r="J536" s="65" t="inlineStr">
        <is>
          <t>Not Started</t>
        </is>
      </c>
      <c r="K536" s="65" t="n"/>
      <c r="L536" s="65" t="n"/>
      <c r="M536" s="71" t="n"/>
      <c r="N536" s="71">
        <f>IF($M536="","",$M536+IF($K536="",Dashboard!$M$9,INDEX(Dashboard!$M$5:$M$9,$K536)))</f>
        <v/>
      </c>
      <c r="O536" s="65">
        <f>IF(OR($J536="Attempted",$J536="Revisit"),"DUE",IF($N536="","",IF($N536&lt;=TODAY(),"DUE","")))</f>
        <v/>
      </c>
      <c r="P536" s="65" t="n"/>
    </row>
    <row r="537" ht="15" customHeight="1" s="32">
      <c r="A537" s="65" t="n">
        <v>536</v>
      </c>
      <c r="B537" s="65" t="inlineStr">
        <is>
          <t>4. Greedy &amp; Backtracking - Depth</t>
        </is>
      </c>
      <c r="C537" s="65" t="inlineStr">
        <is>
          <t>17. Backtracking</t>
        </is>
      </c>
      <c r="D537" s="65" t="inlineStr">
        <is>
          <t>Subsets</t>
        </is>
      </c>
      <c r="E537" s="65" t="inlineStr">
        <is>
          <t>Subset Sum</t>
        </is>
      </c>
      <c r="F537" s="65" t="inlineStr">
        <is>
          <t>Medium</t>
        </is>
      </c>
      <c r="G537" s="65" t="inlineStr">
        <is>
          <t>Depth</t>
        </is>
      </c>
      <c r="H537" s="65" t="inlineStr">
        <is>
          <t>GeeksforGeeks</t>
        </is>
      </c>
      <c r="I537" s="65" t="inlineStr">
        <is>
          <t>https://www.geeksforgeeks.org/problems/subset-sum-problem-1611555638/1</t>
        </is>
      </c>
      <c r="J537" s="65" t="inlineStr">
        <is>
          <t>Not Started</t>
        </is>
      </c>
      <c r="K537" s="65" t="n"/>
      <c r="L537" s="65" t="n"/>
      <c r="M537" s="71" t="n"/>
      <c r="N537" s="71">
        <f>IF($M537="","",$M537+IF($K537="",Dashboard!$M$9,INDEX(Dashboard!$M$5:$M$9,$K537)))</f>
        <v/>
      </c>
      <c r="O537" s="65">
        <f>IF(OR($J537="Attempted",$J537="Revisit"),"DUE",IF($N537="","",IF($N537&lt;=TODAY(),"DUE","")))</f>
        <v/>
      </c>
      <c r="P537" s="65" t="n"/>
    </row>
    <row r="538" ht="15" customHeight="1" s="32">
      <c r="A538" s="65" t="n">
        <v>537</v>
      </c>
      <c r="B538" s="65" t="inlineStr">
        <is>
          <t>4. Greedy &amp; Backtracking - Depth</t>
        </is>
      </c>
      <c r="C538" s="65" t="inlineStr">
        <is>
          <t>17. Backtracking</t>
        </is>
      </c>
      <c r="D538" s="65" t="inlineStr">
        <is>
          <t>Subsets</t>
        </is>
      </c>
      <c r="E538" s="65" t="inlineStr">
        <is>
          <t>Letter Case Permutation</t>
        </is>
      </c>
      <c r="F538" s="65" t="inlineStr">
        <is>
          <t>Medium</t>
        </is>
      </c>
      <c r="G538" s="65" t="inlineStr">
        <is>
          <t>Depth</t>
        </is>
      </c>
      <c r="H538" s="65" t="inlineStr">
        <is>
          <t>LeetCode</t>
        </is>
      </c>
      <c r="I538" s="65" t="inlineStr">
        <is>
          <t>https://leetcode.com/problems/letter-case-permutation/</t>
        </is>
      </c>
      <c r="J538" s="65" t="inlineStr">
        <is>
          <t>Not Started</t>
        </is>
      </c>
      <c r="K538" s="65" t="n"/>
      <c r="L538" s="65" t="n"/>
      <c r="M538" s="71" t="n"/>
      <c r="N538" s="71">
        <f>IF($M538="","",$M538+IF($K538="",Dashboard!$M$9,INDEX(Dashboard!$M$5:$M$9,$K538)))</f>
        <v/>
      </c>
      <c r="O538" s="65">
        <f>IF(OR($J538="Attempted",$J538="Revisit"),"DUE",IF($N538="","",IF($N538&lt;=TODAY(),"DUE","")))</f>
        <v/>
      </c>
      <c r="P538" s="65" t="n"/>
    </row>
    <row r="539" ht="15" customHeight="1" s="32">
      <c r="A539" s="65" t="n">
        <v>538</v>
      </c>
      <c r="B539" s="65" t="inlineStr">
        <is>
          <t>4. Greedy &amp; Backtracking - Depth</t>
        </is>
      </c>
      <c r="C539" s="65" t="inlineStr">
        <is>
          <t>17. Backtracking</t>
        </is>
      </c>
      <c r="D539" s="65" t="inlineStr">
        <is>
          <t>Subsets</t>
        </is>
      </c>
      <c r="E539" s="65" t="inlineStr">
        <is>
          <t>Count Number of Maximum Bitwise-OR Subsets</t>
        </is>
      </c>
      <c r="F539" s="65" t="inlineStr">
        <is>
          <t>Medium</t>
        </is>
      </c>
      <c r="G539" s="65" t="inlineStr">
        <is>
          <t>Depth</t>
        </is>
      </c>
      <c r="H539" s="65" t="inlineStr">
        <is>
          <t>LeetCode</t>
        </is>
      </c>
      <c r="I539" s="65" t="inlineStr">
        <is>
          <t>https://leetcode.com/problems/count-number-of-maximum-bitwise-or-subsets/</t>
        </is>
      </c>
      <c r="J539" s="65" t="inlineStr">
        <is>
          <t>Not Started</t>
        </is>
      </c>
      <c r="K539" s="65" t="n"/>
      <c r="L539" s="65" t="n"/>
      <c r="M539" s="71" t="n"/>
      <c r="N539" s="71">
        <f>IF($M539="","",$M539+IF($K539="",Dashboard!$M$9,INDEX(Dashboard!$M$5:$M$9,$K539)))</f>
        <v/>
      </c>
      <c r="O539" s="65">
        <f>IF(OR($J539="Attempted",$J539="Revisit"),"DUE",IF($N539="","",IF($N539&lt;=TODAY(),"DUE","")))</f>
        <v/>
      </c>
      <c r="P539" s="65" t="inlineStr">
        <is>
          <t>v3 addition</t>
        </is>
      </c>
    </row>
    <row r="540" ht="15" customHeight="1" s="32">
      <c r="A540" s="65" t="n">
        <v>539</v>
      </c>
      <c r="B540" s="65" t="inlineStr">
        <is>
          <t>4. Greedy &amp; Backtracking - Depth</t>
        </is>
      </c>
      <c r="C540" s="65" t="inlineStr">
        <is>
          <t>17. Backtracking</t>
        </is>
      </c>
      <c r="D540" s="65" t="inlineStr">
        <is>
          <t>Permutations</t>
        </is>
      </c>
      <c r="E540" s="65" t="inlineStr">
        <is>
          <t>Letter Tile Possibilities</t>
        </is>
      </c>
      <c r="F540" s="65" t="inlineStr">
        <is>
          <t>Medium</t>
        </is>
      </c>
      <c r="G540" s="65" t="inlineStr">
        <is>
          <t>Depth</t>
        </is>
      </c>
      <c r="H540" s="65" t="inlineStr">
        <is>
          <t>LeetCode</t>
        </is>
      </c>
      <c r="I540" s="65" t="inlineStr">
        <is>
          <t>https://leetcode.com/problems/letter-tile-possibilities/</t>
        </is>
      </c>
      <c r="J540" s="65" t="inlineStr">
        <is>
          <t>Not Started</t>
        </is>
      </c>
      <c r="K540" s="65" t="n"/>
      <c r="L540" s="65" t="n"/>
      <c r="M540" s="71" t="n"/>
      <c r="N540" s="71">
        <f>IF($M540="","",$M540+IF($K540="",Dashboard!$M$9,INDEX(Dashboard!$M$5:$M$9,$K540)))</f>
        <v/>
      </c>
      <c r="O540" s="65">
        <f>IF(OR($J540="Attempted",$J540="Revisit"),"DUE",IF($N540="","",IF($N540&lt;=TODAY(),"DUE","")))</f>
        <v/>
      </c>
      <c r="P540" s="65" t="inlineStr">
        <is>
          <t>v3 addition</t>
        </is>
      </c>
    </row>
    <row r="541" ht="15" customHeight="1" s="32">
      <c r="A541" s="65" t="n">
        <v>540</v>
      </c>
      <c r="B541" s="65" t="inlineStr">
        <is>
          <t>4. Greedy &amp; Backtracking - Depth</t>
        </is>
      </c>
      <c r="C541" s="65" t="inlineStr">
        <is>
          <t>17. Backtracking</t>
        </is>
      </c>
      <c r="D541" s="65" t="inlineStr">
        <is>
          <t>Permutations</t>
        </is>
      </c>
      <c r="E541" s="65" t="inlineStr">
        <is>
          <t>Permutations of a Given String</t>
        </is>
      </c>
      <c r="F541" s="65" t="inlineStr">
        <is>
          <t>Medium</t>
        </is>
      </c>
      <c r="G541" s="65" t="inlineStr">
        <is>
          <t>Depth</t>
        </is>
      </c>
      <c r="H541" s="65" t="inlineStr">
        <is>
          <t>GeeksforGeeks</t>
        </is>
      </c>
      <c r="I541" s="65" t="inlineStr">
        <is>
          <t>https://www.geeksforgeeks.org/search/?q=Permutations+of+a+Given+String</t>
        </is>
      </c>
      <c r="J541" s="65" t="inlineStr">
        <is>
          <t>Not Started</t>
        </is>
      </c>
      <c r="K541" s="65" t="n"/>
      <c r="L541" s="65" t="n"/>
      <c r="M541" s="71" t="n"/>
      <c r="N541" s="71">
        <f>IF($M541="","",$M541+IF($K541="",Dashboard!$M$9,INDEX(Dashboard!$M$5:$M$9,$K541)))</f>
        <v/>
      </c>
      <c r="O541" s="65">
        <f>IF(OR($J541="Attempted",$J541="Revisit"),"DUE",IF($N541="","",IF($N541&lt;=TODAY(),"DUE","")))</f>
        <v/>
      </c>
      <c r="P541" s="65" t="inlineStr">
        <is>
          <t>v3 addition</t>
        </is>
      </c>
    </row>
    <row r="542" ht="15" customHeight="1" s="32">
      <c r="A542" s="65" t="n">
        <v>541</v>
      </c>
      <c r="B542" s="65" t="inlineStr">
        <is>
          <t>4. Greedy &amp; Backtracking - Depth</t>
        </is>
      </c>
      <c r="C542" s="65" t="inlineStr">
        <is>
          <t>17. Backtracking</t>
        </is>
      </c>
      <c r="D542" s="65" t="inlineStr">
        <is>
          <t>Combinations</t>
        </is>
      </c>
      <c r="E542" s="65" t="inlineStr">
        <is>
          <t>Combination Sum III</t>
        </is>
      </c>
      <c r="F542" s="65" t="inlineStr">
        <is>
          <t>Medium</t>
        </is>
      </c>
      <c r="G542" s="65" t="inlineStr">
        <is>
          <t>Depth</t>
        </is>
      </c>
      <c r="H542" s="65" t="inlineStr">
        <is>
          <t>LeetCode</t>
        </is>
      </c>
      <c r="I542" s="65" t="inlineStr">
        <is>
          <t>https://leetcode.com/problems/combination-sum-iii/</t>
        </is>
      </c>
      <c r="J542" s="65" t="inlineStr">
        <is>
          <t>Not Started</t>
        </is>
      </c>
      <c r="K542" s="65" t="n"/>
      <c r="L542" s="65" t="n"/>
      <c r="M542" s="71" t="n"/>
      <c r="N542" s="71">
        <f>IF($M542="","",$M542+IF($K542="",Dashboard!$M$9,INDEX(Dashboard!$M$5:$M$9,$K542)))</f>
        <v/>
      </c>
      <c r="O542" s="65">
        <f>IF(OR($J542="Attempted",$J542="Revisit"),"DUE",IF($N542="","",IF($N542&lt;=TODAY(),"DUE","")))</f>
        <v/>
      </c>
      <c r="P542" s="65" t="inlineStr">
        <is>
          <t>v3 addition</t>
        </is>
      </c>
    </row>
    <row r="543" ht="15" customHeight="1" s="32">
      <c r="A543" s="65" t="n">
        <v>542</v>
      </c>
      <c r="B543" s="65" t="inlineStr">
        <is>
          <t>4. Greedy &amp; Backtracking - Depth</t>
        </is>
      </c>
      <c r="C543" s="65" t="inlineStr">
        <is>
          <t>17. Backtracking</t>
        </is>
      </c>
      <c r="D543" s="65" t="inlineStr">
        <is>
          <t>String building</t>
        </is>
      </c>
      <c r="E543" s="65" t="inlineStr">
        <is>
          <t>Split a String Into the Max Number of Unique Substrings</t>
        </is>
      </c>
      <c r="F543" s="65" t="inlineStr">
        <is>
          <t>Medium</t>
        </is>
      </c>
      <c r="G543" s="65" t="inlineStr">
        <is>
          <t>Depth</t>
        </is>
      </c>
      <c r="H543" s="65" t="inlineStr">
        <is>
          <t>LeetCode</t>
        </is>
      </c>
      <c r="I543" s="65" t="inlineStr">
        <is>
          <t>https://leetcode.com/problems/split-a-string-into-the-max-number-of-unique-substrings/</t>
        </is>
      </c>
      <c r="J543" s="65" t="inlineStr">
        <is>
          <t>Not Started</t>
        </is>
      </c>
      <c r="K543" s="65" t="n"/>
      <c r="L543" s="65" t="n"/>
      <c r="M543" s="71" t="n"/>
      <c r="N543" s="71">
        <f>IF($M543="","",$M543+IF($K543="",Dashboard!$M$9,INDEX(Dashboard!$M$5:$M$9,$K543)))</f>
        <v/>
      </c>
      <c r="O543" s="65">
        <f>IF(OR($J543="Attempted",$J543="Revisit"),"DUE",IF($N543="","",IF($N543&lt;=TODAY(),"DUE","")))</f>
        <v/>
      </c>
      <c r="P543" s="65" t="n"/>
    </row>
    <row r="544" ht="15" customHeight="1" s="32">
      <c r="A544" s="65" t="n">
        <v>543</v>
      </c>
      <c r="B544" s="65" t="inlineStr">
        <is>
          <t>4. Greedy &amp; Backtracking - Depth</t>
        </is>
      </c>
      <c r="C544" s="65" t="inlineStr">
        <is>
          <t>17. Backtracking</t>
        </is>
      </c>
      <c r="D544" s="65" t="inlineStr">
        <is>
          <t>String building</t>
        </is>
      </c>
      <c r="E544" s="65" t="inlineStr">
        <is>
          <t>Generate All Binary Strings from Given Pattern</t>
        </is>
      </c>
      <c r="F544" s="65" t="inlineStr">
        <is>
          <t>Medium</t>
        </is>
      </c>
      <c r="G544" s="65" t="inlineStr">
        <is>
          <t>Depth</t>
        </is>
      </c>
      <c r="H544" s="65" t="inlineStr">
        <is>
          <t>GeeksforGeeks</t>
        </is>
      </c>
      <c r="I544" s="65" t="inlineStr">
        <is>
          <t>https://www.geeksforgeeks.org/search/?q=Generate+All+Binary+Strings+from+Given+Pattern</t>
        </is>
      </c>
      <c r="J544" s="65" t="inlineStr">
        <is>
          <t>Not Started</t>
        </is>
      </c>
      <c r="K544" s="65" t="n"/>
      <c r="L544" s="65" t="n"/>
      <c r="M544" s="71" t="n"/>
      <c r="N544" s="71">
        <f>IF($M544="","",$M544+IF($K544="",Dashboard!$M$9,INDEX(Dashboard!$M$5:$M$9,$K544)))</f>
        <v/>
      </c>
      <c r="O544" s="65">
        <f>IF(OR($J544="Attempted",$J544="Revisit"),"DUE",IF($N544="","",IF($N544&lt;=TODAY(),"DUE","")))</f>
        <v/>
      </c>
      <c r="P544" s="65" t="n"/>
    </row>
    <row r="545" ht="15" customHeight="1" s="32">
      <c r="A545" s="65" t="n">
        <v>544</v>
      </c>
      <c r="B545" s="65" t="inlineStr">
        <is>
          <t>4. Greedy &amp; Backtracking - Depth</t>
        </is>
      </c>
      <c r="C545" s="65" t="inlineStr">
        <is>
          <t>17. Backtracking</t>
        </is>
      </c>
      <c r="D545" s="65" t="inlineStr">
        <is>
          <t>String partition</t>
        </is>
      </c>
      <c r="E545" s="65" t="inlineStr">
        <is>
          <t>Additive Number</t>
        </is>
      </c>
      <c r="F545" s="65" t="inlineStr">
        <is>
          <t>Medium</t>
        </is>
      </c>
      <c r="G545" s="65" t="inlineStr">
        <is>
          <t>Depth</t>
        </is>
      </c>
      <c r="H545" s="65" t="inlineStr">
        <is>
          <t>LeetCode</t>
        </is>
      </c>
      <c r="I545" s="65" t="inlineStr">
        <is>
          <t>https://leetcode.com/problems/additive-number/</t>
        </is>
      </c>
      <c r="J545" s="65" t="inlineStr">
        <is>
          <t>Not Started</t>
        </is>
      </c>
      <c r="K545" s="65" t="n"/>
      <c r="L545" s="65" t="n"/>
      <c r="M545" s="71" t="n"/>
      <c r="N545" s="71">
        <f>IF($M545="","",$M545+IF($K545="",Dashboard!$M$9,INDEX(Dashboard!$M$5:$M$9,$K545)))</f>
        <v/>
      </c>
      <c r="O545" s="65">
        <f>IF(OR($J545="Attempted",$J545="Revisit"),"DUE",IF($N545="","",IF($N545&lt;=TODAY(),"DUE","")))</f>
        <v/>
      </c>
      <c r="P545" s="65" t="inlineStr">
        <is>
          <t>v3 addition</t>
        </is>
      </c>
    </row>
    <row r="546" ht="15" customHeight="1" s="32">
      <c r="A546" s="65" t="n">
        <v>545</v>
      </c>
      <c r="B546" s="65" t="inlineStr">
        <is>
          <t>4. Greedy &amp; Backtracking - Depth</t>
        </is>
      </c>
      <c r="C546" s="65" t="inlineStr">
        <is>
          <t>17. Backtracking</t>
        </is>
      </c>
      <c r="D546" s="65" t="inlineStr">
        <is>
          <t>String partition</t>
        </is>
      </c>
      <c r="E546" s="65" t="inlineStr">
        <is>
          <t>Split Array into Fibonacci Sequence</t>
        </is>
      </c>
      <c r="F546" s="65" t="inlineStr">
        <is>
          <t>Medium</t>
        </is>
      </c>
      <c r="G546" s="65" t="inlineStr">
        <is>
          <t>Depth</t>
        </is>
      </c>
      <c r="H546" s="65" t="inlineStr">
        <is>
          <t>LeetCode</t>
        </is>
      </c>
      <c r="I546" s="65" t="inlineStr">
        <is>
          <t>https://leetcode.com/problems/split-array-into-fibonacci-sequence/</t>
        </is>
      </c>
      <c r="J546" s="65" t="inlineStr">
        <is>
          <t>Not Started</t>
        </is>
      </c>
      <c r="K546" s="65" t="n"/>
      <c r="L546" s="65" t="n"/>
      <c r="M546" s="71" t="n"/>
      <c r="N546" s="71">
        <f>IF($M546="","",$M546+IF($K546="",Dashboard!$M$9,INDEX(Dashboard!$M$5:$M$9,$K546)))</f>
        <v/>
      </c>
      <c r="O546" s="65">
        <f>IF(OR($J546="Attempted",$J546="Revisit"),"DUE",IF($N546="","",IF($N546&lt;=TODAY(),"DUE","")))</f>
        <v/>
      </c>
      <c r="P546" s="65" t="n"/>
    </row>
    <row r="547" ht="15" customHeight="1" s="32">
      <c r="A547" s="65" t="n">
        <v>546</v>
      </c>
      <c r="B547" s="65" t="inlineStr">
        <is>
          <t>4. Greedy &amp; Backtracking - Depth</t>
        </is>
      </c>
      <c r="C547" s="65" t="inlineStr">
        <is>
          <t>17. Backtracking</t>
        </is>
      </c>
      <c r="D547" s="65" t="inlineStr">
        <is>
          <t>String partition</t>
        </is>
      </c>
      <c r="E547" s="65" t="inlineStr">
        <is>
          <t>Maximum Length of a Concatenated String with Unique Characters</t>
        </is>
      </c>
      <c r="F547" s="65" t="inlineStr">
        <is>
          <t>Medium</t>
        </is>
      </c>
      <c r="G547" s="65" t="inlineStr">
        <is>
          <t>Depth</t>
        </is>
      </c>
      <c r="H547" s="65" t="inlineStr">
        <is>
          <t>LeetCode</t>
        </is>
      </c>
      <c r="I547" s="65" t="inlineStr">
        <is>
          <t>https://leetcode.com/problems/maximum-length-of-a-concatenated-string-with-unique-characters/</t>
        </is>
      </c>
      <c r="J547" s="65" t="inlineStr">
        <is>
          <t>Not Started</t>
        </is>
      </c>
      <c r="K547" s="65" t="n"/>
      <c r="L547" s="65" t="n"/>
      <c r="M547" s="71" t="n"/>
      <c r="N547" s="71">
        <f>IF($M547="","",$M547+IF($K547="",Dashboard!$M$9,INDEX(Dashboard!$M$5:$M$9,$K547)))</f>
        <v/>
      </c>
      <c r="O547" s="65">
        <f>IF(OR($J547="Attempted",$J547="Revisit"),"DUE",IF($N547="","",IF($N547&lt;=TODAY(),"DUE","")))</f>
        <v/>
      </c>
      <c r="P547" s="65" t="n"/>
    </row>
    <row r="548" ht="15" customHeight="1" s="32">
      <c r="A548" s="65" t="n">
        <v>547</v>
      </c>
      <c r="B548" s="65" t="inlineStr">
        <is>
          <t>4. Greedy &amp; Backtracking - Depth</t>
        </is>
      </c>
      <c r="C548" s="65" t="inlineStr">
        <is>
          <t>17. Backtracking</t>
        </is>
      </c>
      <c r="D548" s="65" t="inlineStr">
        <is>
          <t>Partition into K</t>
        </is>
      </c>
      <c r="E548" s="65" t="inlineStr">
        <is>
          <t>Fair Distribution of Cookies</t>
        </is>
      </c>
      <c r="F548" s="65" t="inlineStr">
        <is>
          <t>Medium</t>
        </is>
      </c>
      <c r="G548" s="65" t="inlineStr">
        <is>
          <t>Depth</t>
        </is>
      </c>
      <c r="H548" s="65" t="inlineStr">
        <is>
          <t>LeetCode</t>
        </is>
      </c>
      <c r="I548" s="65" t="inlineStr">
        <is>
          <t>https://leetcode.com/problems/fair-distribution-of-cookies/</t>
        </is>
      </c>
      <c r="J548" s="65" t="inlineStr">
        <is>
          <t>Not Started</t>
        </is>
      </c>
      <c r="K548" s="65" t="n"/>
      <c r="L548" s="65" t="n"/>
      <c r="M548" s="71" t="n"/>
      <c r="N548" s="71">
        <f>IF($M548="","",$M548+IF($K548="",Dashboard!$M$9,INDEX(Dashboard!$M$5:$M$9,$K548)))</f>
        <v/>
      </c>
      <c r="O548" s="65">
        <f>IF(OR($J548="Attempted",$J548="Revisit"),"DUE",IF($N548="","",IF($N548&lt;=TODAY(),"DUE","")))</f>
        <v/>
      </c>
      <c r="P548" s="65" t="n"/>
    </row>
    <row r="549" ht="15" customHeight="1" s="32">
      <c r="A549" s="65" t="n">
        <v>548</v>
      </c>
      <c r="B549" s="65" t="inlineStr">
        <is>
          <t>4. Greedy &amp; Backtracking - Depth</t>
        </is>
      </c>
      <c r="C549" s="65" t="inlineStr">
        <is>
          <t>17. Backtracking</t>
        </is>
      </c>
      <c r="D549" s="65" t="inlineStr">
        <is>
          <t>Counting</t>
        </is>
      </c>
      <c r="E549" s="65" t="inlineStr">
        <is>
          <t>Count Numbers with Unique Digits</t>
        </is>
      </c>
      <c r="F549" s="65" t="inlineStr">
        <is>
          <t>Medium</t>
        </is>
      </c>
      <c r="G549" s="65" t="inlineStr">
        <is>
          <t>Depth</t>
        </is>
      </c>
      <c r="H549" s="65" t="inlineStr">
        <is>
          <t>LeetCode</t>
        </is>
      </c>
      <c r="I549" s="65" t="inlineStr">
        <is>
          <t>https://leetcode.com/problems/count-numbers-with-unique-digits/</t>
        </is>
      </c>
      <c r="J549" s="65" t="inlineStr">
        <is>
          <t>Not Started</t>
        </is>
      </c>
      <c r="K549" s="65" t="n"/>
      <c r="L549" s="65" t="n"/>
      <c r="M549" s="71" t="n"/>
      <c r="N549" s="71">
        <f>IF($M549="","",$M549+IF($K549="",Dashboard!$M$9,INDEX(Dashboard!$M$5:$M$9,$K549)))</f>
        <v/>
      </c>
      <c r="O549" s="65">
        <f>IF(OR($J549="Attempted",$J549="Revisit"),"DUE",IF($N549="","",IF($N549&lt;=TODAY(),"DUE","")))</f>
        <v/>
      </c>
      <c r="P549" s="65" t="n"/>
    </row>
    <row r="550" ht="15" customHeight="1" s="32">
      <c r="A550" s="65" t="n">
        <v>549</v>
      </c>
      <c r="B550" s="65" t="inlineStr">
        <is>
          <t>4. Greedy &amp; Backtracking - Depth</t>
        </is>
      </c>
      <c r="C550" s="65" t="inlineStr">
        <is>
          <t>17. Backtracking</t>
        </is>
      </c>
      <c r="D550" s="65" t="inlineStr">
        <is>
          <t>Counting</t>
        </is>
      </c>
      <c r="E550" s="65" t="inlineStr">
        <is>
          <t>Count Sorted Vowel Strings</t>
        </is>
      </c>
      <c r="F550" s="65" t="inlineStr">
        <is>
          <t>Medium</t>
        </is>
      </c>
      <c r="G550" s="65" t="inlineStr">
        <is>
          <t>Depth</t>
        </is>
      </c>
      <c r="H550" s="65" t="inlineStr">
        <is>
          <t>LeetCode</t>
        </is>
      </c>
      <c r="I550" s="65" t="inlineStr">
        <is>
          <t>https://leetcode.com/problems/count-sorted-vowel-strings/</t>
        </is>
      </c>
      <c r="J550" s="65" t="inlineStr">
        <is>
          <t>Not Started</t>
        </is>
      </c>
      <c r="K550" s="65" t="n"/>
      <c r="L550" s="65" t="n"/>
      <c r="M550" s="71" t="n"/>
      <c r="N550" s="71">
        <f>IF($M550="","",$M550+IF($K550="",Dashboard!$M$9,INDEX(Dashboard!$M$5:$M$9,$K550)))</f>
        <v/>
      </c>
      <c r="O550" s="65">
        <f>IF(OR($J550="Attempted",$J550="Revisit"),"DUE",IF($N550="","",IF($N550&lt;=TODAY(),"DUE","")))</f>
        <v/>
      </c>
      <c r="P550" s="65" t="n"/>
    </row>
    <row r="551" ht="15" customHeight="1" s="32">
      <c r="A551" s="65" t="n">
        <v>550</v>
      </c>
      <c r="B551" s="65" t="inlineStr">
        <is>
          <t>4. Greedy &amp; Backtracking - Depth</t>
        </is>
      </c>
      <c r="C551" s="65" t="inlineStr">
        <is>
          <t>17. Backtracking</t>
        </is>
      </c>
      <c r="D551" s="65" t="inlineStr">
        <is>
          <t>Expression</t>
        </is>
      </c>
      <c r="E551" s="65" t="inlineStr">
        <is>
          <t>Different Ways to Add Parentheses</t>
        </is>
      </c>
      <c r="F551" s="65" t="inlineStr">
        <is>
          <t>Medium</t>
        </is>
      </c>
      <c r="G551" s="65" t="inlineStr">
        <is>
          <t>Depth</t>
        </is>
      </c>
      <c r="H551" s="65" t="inlineStr">
        <is>
          <t>LeetCode</t>
        </is>
      </c>
      <c r="I551" s="65" t="inlineStr">
        <is>
          <t>https://leetcode.com/problems/different-ways-to-add-parentheses/</t>
        </is>
      </c>
      <c r="J551" s="65" t="inlineStr">
        <is>
          <t>Not Started</t>
        </is>
      </c>
      <c r="K551" s="65" t="n"/>
      <c r="L551" s="65" t="n"/>
      <c r="M551" s="71" t="n"/>
      <c r="N551" s="71">
        <f>IF($M551="","",$M551+IF($K551="",Dashboard!$M$9,INDEX(Dashboard!$M$5:$M$9,$K551)))</f>
        <v/>
      </c>
      <c r="O551" s="65">
        <f>IF(OR($J551="Attempted",$J551="Revisit"),"DUE",IF($N551="","",IF($N551&lt;=TODAY(),"DUE","")))</f>
        <v/>
      </c>
      <c r="P551" s="65" t="n"/>
    </row>
    <row r="552" ht="15" customHeight="1" s="32">
      <c r="A552" s="65" t="n">
        <v>551</v>
      </c>
      <c r="B552" s="65" t="inlineStr">
        <is>
          <t>4. Greedy &amp; Backtracking - Depth</t>
        </is>
      </c>
      <c r="C552" s="65" t="inlineStr">
        <is>
          <t>17. Backtracking</t>
        </is>
      </c>
      <c r="D552" s="65" t="inlineStr">
        <is>
          <t>Expression</t>
        </is>
      </c>
      <c r="E552" s="65" t="inlineStr">
        <is>
          <t>Expression Contains Redundant Bracket or Not</t>
        </is>
      </c>
      <c r="F552" s="65" t="inlineStr">
        <is>
          <t>Medium</t>
        </is>
      </c>
      <c r="G552" s="65" t="inlineStr">
        <is>
          <t>Depth</t>
        </is>
      </c>
      <c r="H552" s="65" t="inlineStr">
        <is>
          <t>GeeksforGeeks</t>
        </is>
      </c>
      <c r="I552" s="65" t="inlineStr">
        <is>
          <t>https://www.geeksforgeeks.org/search/?q=Expression+Contains+Redundant+Bracket+or+Not</t>
        </is>
      </c>
      <c r="J552" s="65" t="inlineStr">
        <is>
          <t>Not Started</t>
        </is>
      </c>
      <c r="K552" s="65" t="n"/>
      <c r="L552" s="65" t="n"/>
      <c r="M552" s="71" t="n"/>
      <c r="N552" s="71">
        <f>IF($M552="","",$M552+IF($K552="",Dashboard!$M$9,INDEX(Dashboard!$M$5:$M$9,$K552)))</f>
        <v/>
      </c>
      <c r="O552" s="65">
        <f>IF(OR($J552="Attempted",$J552="Revisit"),"DUE",IF($N552="","",IF($N552&lt;=TODAY(),"DUE","")))</f>
        <v/>
      </c>
      <c r="P552" s="65" t="n"/>
    </row>
    <row r="553" ht="15" customHeight="1" s="32">
      <c r="A553" s="65" t="n">
        <v>552</v>
      </c>
      <c r="B553" s="65" t="inlineStr">
        <is>
          <t>4. Greedy &amp; Backtracking - Depth</t>
        </is>
      </c>
      <c r="C553" s="65" t="inlineStr">
        <is>
          <t>17. Backtracking</t>
        </is>
      </c>
      <c r="D553" s="65" t="inlineStr">
        <is>
          <t>Bitmask assignment</t>
        </is>
      </c>
      <c r="E553" s="65" t="inlineStr">
        <is>
          <t>Maximum Compatibility Score Sum</t>
        </is>
      </c>
      <c r="F553" s="65" t="inlineStr">
        <is>
          <t>Medium</t>
        </is>
      </c>
      <c r="G553" s="65" t="inlineStr">
        <is>
          <t>Depth</t>
        </is>
      </c>
      <c r="H553" s="65" t="inlineStr">
        <is>
          <t>LeetCode</t>
        </is>
      </c>
      <c r="I553" s="65" t="inlineStr">
        <is>
          <t>https://leetcode.com/problems/maximum-compatibility-score-sum/</t>
        </is>
      </c>
      <c r="J553" s="65" t="inlineStr">
        <is>
          <t>Not Started</t>
        </is>
      </c>
      <c r="K553" s="65" t="n"/>
      <c r="L553" s="65" t="n"/>
      <c r="M553" s="71" t="n"/>
      <c r="N553" s="71">
        <f>IF($M553="","",$M553+IF($K553="",Dashboard!$M$9,INDEX(Dashboard!$M$5:$M$9,$K553)))</f>
        <v/>
      </c>
      <c r="O553" s="65">
        <f>IF(OR($J553="Attempted",$J553="Revisit"),"DUE",IF($N553="","",IF($N553&lt;=TODAY(),"DUE","")))</f>
        <v/>
      </c>
      <c r="P553" s="65" t="n"/>
    </row>
    <row r="554" ht="15" customHeight="1" s="32">
      <c r="A554" s="65" t="n">
        <v>553</v>
      </c>
      <c r="B554" s="65" t="inlineStr">
        <is>
          <t>4. Greedy &amp; Backtracking - Stretch</t>
        </is>
      </c>
      <c r="C554" s="65" t="inlineStr">
        <is>
          <t>15. Intervals</t>
        </is>
      </c>
      <c r="D554" s="65" t="inlineStr">
        <is>
          <t>Scheduling</t>
        </is>
      </c>
      <c r="E554" s="65" t="inlineStr">
        <is>
          <t>Maximum CPU Load</t>
        </is>
      </c>
      <c r="F554" s="65" t="inlineStr">
        <is>
          <t>Hard</t>
        </is>
      </c>
      <c r="G554" s="65" t="inlineStr">
        <is>
          <t>Stretch</t>
        </is>
      </c>
      <c r="H554" s="65" t="inlineStr">
        <is>
          <t>GeeksforGeeks</t>
        </is>
      </c>
      <c r="I554" s="65" t="inlineStr">
        <is>
          <t>https://www.geeksforgeeks.org/dsa/maximum-cpu-load-from-the-given-list-of-jobs/</t>
        </is>
      </c>
      <c r="J554" s="65" t="inlineStr">
        <is>
          <t>Not Started</t>
        </is>
      </c>
      <c r="K554" s="65" t="n"/>
      <c r="L554" s="65" t="n"/>
      <c r="M554" s="71" t="n"/>
      <c r="N554" s="71">
        <f>IF($M554="","",$M554+IF($K554="",Dashboard!$M$9,INDEX(Dashboard!$M$5:$M$9,$K554)))</f>
        <v/>
      </c>
      <c r="O554" s="65">
        <f>IF(OR($J554="Attempted",$J554="Revisit"),"DUE",IF($N554="","",IF($N554&lt;=TODAY(),"DUE","")))</f>
        <v/>
      </c>
      <c r="P554" s="65" t="n"/>
    </row>
    <row r="555" ht="15" customHeight="1" s="32">
      <c r="A555" s="65" t="n">
        <v>554</v>
      </c>
      <c r="B555" s="65" t="inlineStr">
        <is>
          <t>4. Greedy &amp; Backtracking - Stretch</t>
        </is>
      </c>
      <c r="C555" s="65" t="inlineStr">
        <is>
          <t>15. Intervals</t>
        </is>
      </c>
      <c r="D555" s="65" t="inlineStr">
        <is>
          <t>Scheduling</t>
        </is>
      </c>
      <c r="E555" s="65" t="inlineStr">
        <is>
          <t>Employee Free Time</t>
        </is>
      </c>
      <c r="F555" s="65" t="inlineStr">
        <is>
          <t>Hard</t>
        </is>
      </c>
      <c r="G555" s="65" t="inlineStr">
        <is>
          <t>Stretch</t>
        </is>
      </c>
      <c r="H555" s="65" t="inlineStr">
        <is>
          <t>GeeksforGeeks</t>
        </is>
      </c>
      <c r="I555" s="65" t="inlineStr">
        <is>
          <t>https://www.google.com/search?q=site%3Ageeksforgeeks.org+Employee+Free+Time</t>
        </is>
      </c>
      <c r="J555" s="65" t="inlineStr">
        <is>
          <t>Not Started</t>
        </is>
      </c>
      <c r="K555" s="65" t="n"/>
      <c r="L555" s="65" t="n"/>
      <c r="M555" s="71" t="n"/>
      <c r="N555" s="71">
        <f>IF($M555="","",$M555+IF($K555="",Dashboard!$M$9,INDEX(Dashboard!$M$5:$M$9,$K555)))</f>
        <v/>
      </c>
      <c r="O555" s="65">
        <f>IF(OR($J555="Attempted",$J555="Revisit"),"DUE",IF($N555="","",IF($N555&lt;=TODAY(),"DUE","")))</f>
        <v/>
      </c>
      <c r="P555" s="65" t="n"/>
    </row>
    <row r="556" ht="15" customHeight="1" s="32">
      <c r="A556" s="65" t="n">
        <v>555</v>
      </c>
      <c r="B556" s="65" t="inlineStr">
        <is>
          <t>4. Greedy &amp; Backtracking - Stretch</t>
        </is>
      </c>
      <c r="C556" s="65" t="inlineStr">
        <is>
          <t>15. Intervals</t>
        </is>
      </c>
      <c r="D556" s="65" t="inlineStr">
        <is>
          <t>Booking</t>
        </is>
      </c>
      <c r="E556" s="65" t="inlineStr">
        <is>
          <t>My Calendar III</t>
        </is>
      </c>
      <c r="F556" s="65" t="inlineStr">
        <is>
          <t>Hard</t>
        </is>
      </c>
      <c r="G556" s="65" t="inlineStr">
        <is>
          <t>Stretch</t>
        </is>
      </c>
      <c r="H556" s="65" t="inlineStr">
        <is>
          <t>LeetCode</t>
        </is>
      </c>
      <c r="I556" s="65" t="inlineStr">
        <is>
          <t>https://leetcode.com/problems/my-calendar-iii/</t>
        </is>
      </c>
      <c r="J556" s="65" t="inlineStr">
        <is>
          <t>Not Started</t>
        </is>
      </c>
      <c r="K556" s="65" t="n"/>
      <c r="L556" s="65" t="n"/>
      <c r="M556" s="71" t="n"/>
      <c r="N556" s="71">
        <f>IF($M556="","",$M556+IF($K556="",Dashboard!$M$9,INDEX(Dashboard!$M$5:$M$9,$K556)))</f>
        <v/>
      </c>
      <c r="O556" s="65">
        <f>IF(OR($J556="Attempted",$J556="Revisit"),"DUE",IF($N556="","",IF($N556&lt;=TODAY(),"DUE","")))</f>
        <v/>
      </c>
      <c r="P556" s="65" t="n"/>
    </row>
    <row r="557" ht="15" customHeight="1" s="32">
      <c r="A557" s="65" t="n">
        <v>556</v>
      </c>
      <c r="B557" s="65" t="inlineStr">
        <is>
          <t>4. Greedy &amp; Backtracking - Stretch</t>
        </is>
      </c>
      <c r="C557" s="65" t="inlineStr">
        <is>
          <t>15. Intervals</t>
        </is>
      </c>
      <c r="D557" s="65" t="inlineStr">
        <is>
          <t>Booking</t>
        </is>
      </c>
      <c r="E557" s="65" t="inlineStr">
        <is>
          <t>Meeting Rooms III</t>
        </is>
      </c>
      <c r="F557" s="65" t="inlineStr">
        <is>
          <t>Hard</t>
        </is>
      </c>
      <c r="G557" s="65" t="inlineStr">
        <is>
          <t>Stretch</t>
        </is>
      </c>
      <c r="H557" s="65" t="inlineStr">
        <is>
          <t>LeetCode</t>
        </is>
      </c>
      <c r="I557" s="65" t="inlineStr">
        <is>
          <t>https://leetcode.com/problems/meeting-rooms-iii/</t>
        </is>
      </c>
      <c r="J557" s="65" t="inlineStr">
        <is>
          <t>Not Started</t>
        </is>
      </c>
      <c r="K557" s="65" t="n"/>
      <c r="L557" s="65" t="n"/>
      <c r="M557" s="71" t="n"/>
      <c r="N557" s="71">
        <f>IF($M557="","",$M557+IF($K557="",Dashboard!$M$9,INDEX(Dashboard!$M$5:$M$9,$K557)))</f>
        <v/>
      </c>
      <c r="O557" s="65">
        <f>IF(OR($J557="Attempted",$J557="Revisit"),"DUE",IF($N557="","",IF($N557&lt;=TODAY(),"DUE","")))</f>
        <v/>
      </c>
      <c r="P557" s="65" t="n"/>
    </row>
    <row r="558" ht="15" customHeight="1" s="32">
      <c r="A558" s="65" t="n">
        <v>557</v>
      </c>
      <c r="B558" s="65" t="inlineStr">
        <is>
          <t>4. Greedy &amp; Backtracking - Stretch</t>
        </is>
      </c>
      <c r="C558" s="65" t="inlineStr">
        <is>
          <t>15. Intervals</t>
        </is>
      </c>
      <c r="D558" s="65" t="inlineStr">
        <is>
          <t>Streaming</t>
        </is>
      </c>
      <c r="E558" s="65" t="inlineStr">
        <is>
          <t>Data Stream as Disjoint Intervals</t>
        </is>
      </c>
      <c r="F558" s="65" t="inlineStr">
        <is>
          <t>Hard</t>
        </is>
      </c>
      <c r="G558" s="65" t="inlineStr">
        <is>
          <t>Stretch</t>
        </is>
      </c>
      <c r="H558" s="65" t="inlineStr">
        <is>
          <t>LeetCode</t>
        </is>
      </c>
      <c r="I558" s="65" t="inlineStr">
        <is>
          <t>https://leetcode.com/problems/data-stream-as-disjoint-intervals/</t>
        </is>
      </c>
      <c r="J558" s="65" t="inlineStr">
        <is>
          <t>Not Started</t>
        </is>
      </c>
      <c r="K558" s="65" t="n"/>
      <c r="L558" s="65" t="n"/>
      <c r="M558" s="71" t="n"/>
      <c r="N558" s="71">
        <f>IF($M558="","",$M558+IF($K558="",Dashboard!$M$9,INDEX(Dashboard!$M$5:$M$9,$K558)))</f>
        <v/>
      </c>
      <c r="O558" s="65">
        <f>IF(OR($J558="Attempted",$J558="Revisit"),"DUE",IF($N558="","",IF($N558&lt;=TODAY(),"DUE","")))</f>
        <v/>
      </c>
      <c r="P558" s="65" t="n"/>
    </row>
    <row r="559" ht="15" customHeight="1" s="32">
      <c r="A559" s="65" t="n">
        <v>558</v>
      </c>
      <c r="B559" s="65" t="inlineStr">
        <is>
          <t>4. Greedy &amp; Backtracking - Stretch</t>
        </is>
      </c>
      <c r="C559" s="65" t="inlineStr">
        <is>
          <t>15. Intervals</t>
        </is>
      </c>
      <c r="D559" s="65" t="inlineStr">
        <is>
          <t>Streaming</t>
        </is>
      </c>
      <c r="E559" s="65" t="inlineStr">
        <is>
          <t>Range Module</t>
        </is>
      </c>
      <c r="F559" s="65" t="inlineStr">
        <is>
          <t>Hard</t>
        </is>
      </c>
      <c r="G559" s="65" t="inlineStr">
        <is>
          <t>Stretch</t>
        </is>
      </c>
      <c r="H559" s="65" t="inlineStr">
        <is>
          <t>LeetCode</t>
        </is>
      </c>
      <c r="I559" s="65" t="inlineStr">
        <is>
          <t>https://leetcode.com/problems/range-module/</t>
        </is>
      </c>
      <c r="J559" s="65" t="inlineStr">
        <is>
          <t>Not Started</t>
        </is>
      </c>
      <c r="K559" s="65" t="n"/>
      <c r="L559" s="65" t="n"/>
      <c r="M559" s="71" t="n"/>
      <c r="N559" s="71">
        <f>IF($M559="","",$M559+IF($K559="",Dashboard!$M$9,INDEX(Dashboard!$M$5:$M$9,$K559)))</f>
        <v/>
      </c>
      <c r="O559" s="65">
        <f>IF(OR($J559="Attempted",$J559="Revisit"),"DUE",IF($N559="","",IF($N559&lt;=TODAY(),"DUE","")))</f>
        <v/>
      </c>
      <c r="P559" s="65" t="n"/>
    </row>
    <row r="560" ht="15" customHeight="1" s="32">
      <c r="A560" s="65" t="n">
        <v>559</v>
      </c>
      <c r="B560" s="65" t="inlineStr">
        <is>
          <t>4. Greedy &amp; Backtracking - Stretch</t>
        </is>
      </c>
      <c r="C560" s="65" t="inlineStr">
        <is>
          <t>15. Intervals</t>
        </is>
      </c>
      <c r="D560" s="65" t="inlineStr">
        <is>
          <t>Streaming</t>
        </is>
      </c>
      <c r="E560" s="65" t="inlineStr">
        <is>
          <t>Count Integers in Intervals</t>
        </is>
      </c>
      <c r="F560" s="65" t="inlineStr">
        <is>
          <t>Hard</t>
        </is>
      </c>
      <c r="G560" s="65" t="inlineStr">
        <is>
          <t>Stretch</t>
        </is>
      </c>
      <c r="H560" s="65" t="inlineStr">
        <is>
          <t>LeetCode</t>
        </is>
      </c>
      <c r="I560" s="65" t="inlineStr">
        <is>
          <t>https://leetcode.com/problems/count-integers-in-intervals/</t>
        </is>
      </c>
      <c r="J560" s="65" t="inlineStr">
        <is>
          <t>Not Started</t>
        </is>
      </c>
      <c r="K560" s="65" t="n"/>
      <c r="L560" s="65" t="n"/>
      <c r="M560" s="71" t="n"/>
      <c r="N560" s="71">
        <f>IF($M560="","",$M560+IF($K560="",Dashboard!$M$9,INDEX(Dashboard!$M$5:$M$9,$K560)))</f>
        <v/>
      </c>
      <c r="O560" s="65">
        <f>IF(OR($J560="Attempted",$J560="Revisit"),"DUE",IF($N560="","",IF($N560&lt;=TODAY(),"DUE","")))</f>
        <v/>
      </c>
      <c r="P560" s="65" t="n"/>
    </row>
    <row r="561" ht="15" customHeight="1" s="32">
      <c r="A561" s="65" t="n">
        <v>560</v>
      </c>
      <c r="B561" s="65" t="inlineStr">
        <is>
          <t>4. Greedy &amp; Backtracking - Stretch</t>
        </is>
      </c>
      <c r="C561" s="65" t="inlineStr">
        <is>
          <t>15. Intervals</t>
        </is>
      </c>
      <c r="D561" s="65" t="inlineStr">
        <is>
          <t>Streaming</t>
        </is>
      </c>
      <c r="E561" s="65" t="inlineStr">
        <is>
          <t>Falling Squares</t>
        </is>
      </c>
      <c r="F561" s="65" t="inlineStr">
        <is>
          <t>Hard</t>
        </is>
      </c>
      <c r="G561" s="65" t="inlineStr">
        <is>
          <t>Stretch</t>
        </is>
      </c>
      <c r="H561" s="65" t="inlineStr">
        <is>
          <t>LeetCode</t>
        </is>
      </c>
      <c r="I561" s="65" t="inlineStr">
        <is>
          <t>https://leetcode.com/problems/falling-squares/</t>
        </is>
      </c>
      <c r="J561" s="65" t="inlineStr">
        <is>
          <t>Not Started</t>
        </is>
      </c>
      <c r="K561" s="65" t="n"/>
      <c r="L561" s="65" t="n"/>
      <c r="M561" s="71" t="n"/>
      <c r="N561" s="71">
        <f>IF($M561="","",$M561+IF($K561="",Dashboard!$M$9,INDEX(Dashboard!$M$5:$M$9,$K561)))</f>
        <v/>
      </c>
      <c r="O561" s="65">
        <f>IF(OR($J561="Attempted",$J561="Revisit"),"DUE",IF($N561="","",IF($N561&lt;=TODAY(),"DUE","")))</f>
        <v/>
      </c>
      <c r="P561" s="65" t="n"/>
    </row>
    <row r="562" ht="15" customHeight="1" s="32">
      <c r="A562" s="65" t="n">
        <v>561</v>
      </c>
      <c r="B562" s="65" t="inlineStr">
        <is>
          <t>4. Greedy &amp; Backtracking - Stretch</t>
        </is>
      </c>
      <c r="C562" s="65" t="inlineStr">
        <is>
          <t>15. Intervals</t>
        </is>
      </c>
      <c r="D562" s="65" t="inlineStr">
        <is>
          <t>Streaming</t>
        </is>
      </c>
      <c r="E562" s="65" t="inlineStr">
        <is>
          <t>Amount of New Area Painted Each Day</t>
        </is>
      </c>
      <c r="F562" s="65" t="inlineStr">
        <is>
          <t>Hard</t>
        </is>
      </c>
      <c r="G562" s="65" t="inlineStr">
        <is>
          <t>Stretch</t>
        </is>
      </c>
      <c r="H562" s="65" t="inlineStr">
        <is>
          <t>LeetCode</t>
        </is>
      </c>
      <c r="I562" s="65" t="inlineStr">
        <is>
          <t>https://leetcode.com/problems/amount-of-new-area-painted-each-day/</t>
        </is>
      </c>
      <c r="J562" s="65" t="inlineStr">
        <is>
          <t>Not Started</t>
        </is>
      </c>
      <c r="K562" s="65" t="n"/>
      <c r="L562" s="65" t="n"/>
      <c r="M562" s="71" t="n"/>
      <c r="N562" s="71">
        <f>IF($M562="","",$M562+IF($K562="",Dashboard!$M$9,INDEX(Dashboard!$M$5:$M$9,$K562)))</f>
        <v/>
      </c>
      <c r="O562" s="65">
        <f>IF(OR($J562="Attempted",$J562="Revisit"),"DUE",IF($N562="","",IF($N562&lt;=TODAY(),"DUE","")))</f>
        <v/>
      </c>
      <c r="P562" s="65" t="n"/>
    </row>
    <row r="563" ht="15" customHeight="1" s="32">
      <c r="A563" s="65" t="n">
        <v>562</v>
      </c>
      <c r="B563" s="65" t="inlineStr">
        <is>
          <t>4. Greedy &amp; Backtracking - Stretch</t>
        </is>
      </c>
      <c r="C563" s="65" t="inlineStr">
        <is>
          <t>16. Greedy</t>
        </is>
      </c>
      <c r="D563" s="65" t="inlineStr">
        <is>
          <t>Prefix scan</t>
        </is>
      </c>
      <c r="E563" s="65" t="inlineStr">
        <is>
          <t>Minimum Number of Operations to Make Array Continuous</t>
        </is>
      </c>
      <c r="F563" s="65" t="inlineStr">
        <is>
          <t>Hard</t>
        </is>
      </c>
      <c r="G563" s="65" t="inlineStr">
        <is>
          <t>Stretch</t>
        </is>
      </c>
      <c r="H563" s="65" t="inlineStr">
        <is>
          <t>LeetCode</t>
        </is>
      </c>
      <c r="I563" s="65" t="inlineStr">
        <is>
          <t>https://leetcode.com/problems/minimum-number-of-operations-to-make-array-continuous/</t>
        </is>
      </c>
      <c r="J563" s="65" t="inlineStr">
        <is>
          <t>Not Started</t>
        </is>
      </c>
      <c r="K563" s="65" t="n"/>
      <c r="L563" s="65" t="n"/>
      <c r="M563" s="71" t="n"/>
      <c r="N563" s="71">
        <f>IF($M563="","",$M563+IF($K563="",Dashboard!$M$9,INDEX(Dashboard!$M$5:$M$9,$K563)))</f>
        <v/>
      </c>
      <c r="O563" s="65">
        <f>IF(OR($J563="Attempted",$J563="Revisit"),"DUE",IF($N563="","",IF($N563&lt;=TODAY(),"DUE","")))</f>
        <v/>
      </c>
      <c r="P563" s="65" t="n"/>
    </row>
    <row r="564" ht="15" customHeight="1" s="32">
      <c r="A564" s="65" t="n">
        <v>563</v>
      </c>
      <c r="B564" s="65" t="inlineStr">
        <is>
          <t>4. Greedy &amp; Backtracking - Stretch</t>
        </is>
      </c>
      <c r="C564" s="65" t="inlineStr">
        <is>
          <t>16. Greedy</t>
        </is>
      </c>
      <c r="D564" s="65" t="inlineStr">
        <is>
          <t>Partitioning</t>
        </is>
      </c>
      <c r="E564" s="65" t="inlineStr">
        <is>
          <t>Maximum Number of Non-overlapping Substrings</t>
        </is>
      </c>
      <c r="F564" s="65" t="inlineStr">
        <is>
          <t>Hard</t>
        </is>
      </c>
      <c r="G564" s="65" t="inlineStr">
        <is>
          <t>Stretch</t>
        </is>
      </c>
      <c r="H564" s="65" t="inlineStr">
        <is>
          <t>LeetCode</t>
        </is>
      </c>
      <c r="I564" s="65" t="inlineStr">
        <is>
          <t>https://leetcode.com/problems/maximum-number-of-non-overlapping-substrings/</t>
        </is>
      </c>
      <c r="J564" s="65" t="inlineStr">
        <is>
          <t>Not Started</t>
        </is>
      </c>
      <c r="K564" s="65" t="n"/>
      <c r="L564" s="65" t="n"/>
      <c r="M564" s="71" t="n"/>
      <c r="N564" s="71">
        <f>IF($M564="","",$M564+IF($K564="",Dashboard!$M$9,INDEX(Dashboard!$M$5:$M$9,$K564)))</f>
        <v/>
      </c>
      <c r="O564" s="65">
        <f>IF(OR($J564="Attempted",$J564="Revisit"),"DUE",IF($N564="","",IF($N564&lt;=TODAY(),"DUE","")))</f>
        <v/>
      </c>
      <c r="P564" s="65" t="n"/>
    </row>
    <row r="565" ht="15" customHeight="1" s="32">
      <c r="A565" s="65" t="n">
        <v>564</v>
      </c>
      <c r="B565" s="65" t="inlineStr">
        <is>
          <t>4. Greedy &amp; Backtracking - Stretch</t>
        </is>
      </c>
      <c r="C565" s="65" t="inlineStr">
        <is>
          <t>16. Greedy</t>
        </is>
      </c>
      <c r="D565" s="65" t="inlineStr">
        <is>
          <t>Reconstruction</t>
        </is>
      </c>
      <c r="E565" s="65" t="inlineStr">
        <is>
          <t>Minimum Number of Increments on Subarrays to Form a Target Array</t>
        </is>
      </c>
      <c r="F565" s="65" t="inlineStr">
        <is>
          <t>Hard</t>
        </is>
      </c>
      <c r="G565" s="65" t="inlineStr">
        <is>
          <t>Stretch</t>
        </is>
      </c>
      <c r="H565" s="65" t="inlineStr">
        <is>
          <t>LeetCode</t>
        </is>
      </c>
      <c r="I565" s="65" t="inlineStr">
        <is>
          <t>https://leetcode.com/problems/minimum-number-of-increments-on-subarrays-to-form-a-target-array/</t>
        </is>
      </c>
      <c r="J565" s="65" t="inlineStr">
        <is>
          <t>Not Started</t>
        </is>
      </c>
      <c r="K565" s="65" t="n"/>
      <c r="L565" s="65" t="n"/>
      <c r="M565" s="71" t="n"/>
      <c r="N565" s="71">
        <f>IF($M565="","",$M565+IF($K565="",Dashboard!$M$9,INDEX(Dashboard!$M$5:$M$9,$K565)))</f>
        <v/>
      </c>
      <c r="O565" s="65">
        <f>IF(OR($J565="Attempted",$J565="Revisit"),"DUE",IF($N565="","",IF($N565&lt;=TODAY(),"DUE","")))</f>
        <v/>
      </c>
      <c r="P565" s="65" t="n"/>
    </row>
    <row r="566" ht="15" customHeight="1" s="32">
      <c r="A566" s="65" t="n">
        <v>565</v>
      </c>
      <c r="B566" s="65" t="inlineStr">
        <is>
          <t>4. Greedy &amp; Backtracking - Stretch</t>
        </is>
      </c>
      <c r="C566" s="65" t="inlineStr">
        <is>
          <t>16. Greedy</t>
        </is>
      </c>
      <c r="D566" s="65" t="inlineStr">
        <is>
          <t>Reconstruction</t>
        </is>
      </c>
      <c r="E566" s="65" t="inlineStr">
        <is>
          <t>Create Maximum Number</t>
        </is>
      </c>
      <c r="F566" s="65" t="inlineStr">
        <is>
          <t>Hard</t>
        </is>
      </c>
      <c r="G566" s="65" t="inlineStr">
        <is>
          <t>Stretch</t>
        </is>
      </c>
      <c r="H566" s="65" t="inlineStr">
        <is>
          <t>LeetCode</t>
        </is>
      </c>
      <c r="I566" s="65" t="inlineStr">
        <is>
          <t>https://leetcode.com/problems/create-maximum-number/</t>
        </is>
      </c>
      <c r="J566" s="65" t="inlineStr">
        <is>
          <t>Not Started</t>
        </is>
      </c>
      <c r="K566" s="65" t="n"/>
      <c r="L566" s="65" t="n"/>
      <c r="M566" s="71" t="n"/>
      <c r="N566" s="71">
        <f>IF($M566="","",$M566+IF($K566="",Dashboard!$M$9,INDEX(Dashboard!$M$5:$M$9,$K566)))</f>
        <v/>
      </c>
      <c r="O566" s="65">
        <f>IF(OR($J566="Attempted",$J566="Revisit"),"DUE",IF($N566="","",IF($N566&lt;=TODAY(),"DUE","")))</f>
        <v/>
      </c>
      <c r="P566" s="65" t="n"/>
    </row>
    <row r="567" ht="15" customHeight="1" s="32">
      <c r="A567" s="65" t="n">
        <v>566</v>
      </c>
      <c r="B567" s="65" t="inlineStr">
        <is>
          <t>4. Greedy &amp; Backtracking - Stretch</t>
        </is>
      </c>
      <c r="C567" s="65" t="inlineStr">
        <is>
          <t>17. Backtracking</t>
        </is>
      </c>
      <c r="D567" s="65" t="inlineStr">
        <is>
          <t>Permutations</t>
        </is>
      </c>
      <c r="E567" s="65" t="inlineStr">
        <is>
          <t>Permutation Sequence</t>
        </is>
      </c>
      <c r="F567" s="65" t="inlineStr">
        <is>
          <t>Hard</t>
        </is>
      </c>
      <c r="G567" s="65" t="inlineStr">
        <is>
          <t>Stretch</t>
        </is>
      </c>
      <c r="H567" s="65" t="inlineStr">
        <is>
          <t>LeetCode</t>
        </is>
      </c>
      <c r="I567" s="65" t="inlineStr">
        <is>
          <t>https://leetcode.com/problems/permutation-sequence/</t>
        </is>
      </c>
      <c r="J567" s="65" t="inlineStr">
        <is>
          <t>Not Started</t>
        </is>
      </c>
      <c r="K567" s="65" t="n"/>
      <c r="L567" s="65" t="n"/>
      <c r="M567" s="71" t="n"/>
      <c r="N567" s="71">
        <f>IF($M567="","",$M567+IF($K567="",Dashboard!$M$9,INDEX(Dashboard!$M$5:$M$9,$K567)))</f>
        <v/>
      </c>
      <c r="O567" s="65">
        <f>IF(OR($J567="Attempted",$J567="Revisit"),"DUE",IF($N567="","",IF($N567&lt;=TODAY(),"DUE","")))</f>
        <v/>
      </c>
      <c r="P567" s="65" t="n"/>
    </row>
    <row r="568" ht="15" customHeight="1" s="32">
      <c r="A568" s="65" t="n">
        <v>567</v>
      </c>
      <c r="B568" s="65" t="inlineStr">
        <is>
          <t>4. Greedy &amp; Backtracking - Stretch</t>
        </is>
      </c>
      <c r="C568" s="65" t="inlineStr">
        <is>
          <t>17. Backtracking</t>
        </is>
      </c>
      <c r="D568" s="65" t="inlineStr">
        <is>
          <t>Permutations</t>
        </is>
      </c>
      <c r="E568" s="65" t="inlineStr">
        <is>
          <t>Verbal Arithmetic Puzzle</t>
        </is>
      </c>
      <c r="F568" s="65" t="inlineStr">
        <is>
          <t>Hard</t>
        </is>
      </c>
      <c r="G568" s="65" t="inlineStr">
        <is>
          <t>Stretch</t>
        </is>
      </c>
      <c r="H568" s="65" t="inlineStr">
        <is>
          <t>LeetCode</t>
        </is>
      </c>
      <c r="I568" s="65" t="inlineStr">
        <is>
          <t>https://leetcode.com/problems/verbal-arithmetic-puzzle/</t>
        </is>
      </c>
      <c r="J568" s="65" t="inlineStr">
        <is>
          <t>Not Started</t>
        </is>
      </c>
      <c r="K568" s="65" t="n"/>
      <c r="L568" s="65" t="n"/>
      <c r="M568" s="71" t="n"/>
      <c r="N568" s="71">
        <f>IF($M568="","",$M568+IF($K568="",Dashboard!$M$9,INDEX(Dashboard!$M$5:$M$9,$K568)))</f>
        <v/>
      </c>
      <c r="O568" s="65">
        <f>IF(OR($J568="Attempted",$J568="Revisit"),"DUE",IF($N568="","",IF($N568&lt;=TODAY(),"DUE","")))</f>
        <v/>
      </c>
      <c r="P568" s="65" t="n"/>
    </row>
    <row r="569" ht="15" customHeight="1" s="32">
      <c r="A569" s="65" t="n">
        <v>568</v>
      </c>
      <c r="B569" s="65" t="inlineStr">
        <is>
          <t>4. Greedy &amp; Backtracking - Stretch</t>
        </is>
      </c>
      <c r="C569" s="65" t="inlineStr">
        <is>
          <t>17. Backtracking</t>
        </is>
      </c>
      <c r="D569" s="65" t="inlineStr">
        <is>
          <t>Grid backtracking</t>
        </is>
      </c>
      <c r="E569" s="65" t="inlineStr">
        <is>
          <t>N-Queens</t>
        </is>
      </c>
      <c r="F569" s="65" t="inlineStr">
        <is>
          <t>Hard</t>
        </is>
      </c>
      <c r="G569" s="65" t="inlineStr">
        <is>
          <t>Stretch</t>
        </is>
      </c>
      <c r="H569" s="65" t="inlineStr">
        <is>
          <t>LeetCode</t>
        </is>
      </c>
      <c r="I569" s="65" t="inlineStr">
        <is>
          <t>https://leetcode.com/problems/n-queens/</t>
        </is>
      </c>
      <c r="J569" s="65" t="inlineStr">
        <is>
          <t>Not Started</t>
        </is>
      </c>
      <c r="K569" s="65" t="n"/>
      <c r="L569" s="65" t="n"/>
      <c r="M569" s="71" t="n"/>
      <c r="N569" s="71">
        <f>IF($M569="","",$M569+IF($K569="",Dashboard!$M$9,INDEX(Dashboard!$M$5:$M$9,$K569)))</f>
        <v/>
      </c>
      <c r="O569" s="65">
        <f>IF(OR($J569="Attempted",$J569="Revisit"),"DUE",IF($N569="","",IF($N569&lt;=TODAY(),"DUE","")))</f>
        <v/>
      </c>
      <c r="P569" s="65" t="n"/>
    </row>
    <row r="570" ht="15" customHeight="1" s="32">
      <c r="A570" s="65" t="n">
        <v>569</v>
      </c>
      <c r="B570" s="65" t="inlineStr">
        <is>
          <t>4. Greedy &amp; Backtracking - Stretch</t>
        </is>
      </c>
      <c r="C570" s="65" t="inlineStr">
        <is>
          <t>17. Backtracking</t>
        </is>
      </c>
      <c r="D570" s="65" t="inlineStr">
        <is>
          <t>Grid backtracking</t>
        </is>
      </c>
      <c r="E570" s="65" t="inlineStr">
        <is>
          <t>N-Queens II</t>
        </is>
      </c>
      <c r="F570" s="65" t="inlineStr">
        <is>
          <t>Hard</t>
        </is>
      </c>
      <c r="G570" s="65" t="inlineStr">
        <is>
          <t>Stretch</t>
        </is>
      </c>
      <c r="H570" s="65" t="inlineStr">
        <is>
          <t>LeetCode</t>
        </is>
      </c>
      <c r="I570" s="65" t="inlineStr">
        <is>
          <t>https://leetcode.com/problems/n-queens-ii/</t>
        </is>
      </c>
      <c r="J570" s="65" t="inlineStr">
        <is>
          <t>Not Started</t>
        </is>
      </c>
      <c r="K570" s="65" t="n"/>
      <c r="L570" s="65" t="n"/>
      <c r="M570" s="71" t="n"/>
      <c r="N570" s="71">
        <f>IF($M570="","",$M570+IF($K570="",Dashboard!$M$9,INDEX(Dashboard!$M$5:$M$9,$K570)))</f>
        <v/>
      </c>
      <c r="O570" s="65">
        <f>IF(OR($J570="Attempted",$J570="Revisit"),"DUE",IF($N570="","",IF($N570&lt;=TODAY(),"DUE","")))</f>
        <v/>
      </c>
      <c r="P570" s="65" t="n"/>
    </row>
    <row r="571" ht="15" customHeight="1" s="32">
      <c r="A571" s="65" t="n">
        <v>570</v>
      </c>
      <c r="B571" s="65" t="inlineStr">
        <is>
          <t>4. Greedy &amp; Backtracking - Stretch</t>
        </is>
      </c>
      <c r="C571" s="65" t="inlineStr">
        <is>
          <t>17. Backtracking</t>
        </is>
      </c>
      <c r="D571" s="65" t="inlineStr">
        <is>
          <t>Grid backtracking</t>
        </is>
      </c>
      <c r="E571" s="65" t="inlineStr">
        <is>
          <t>Sudoku Solver</t>
        </is>
      </c>
      <c r="F571" s="65" t="inlineStr">
        <is>
          <t>Hard</t>
        </is>
      </c>
      <c r="G571" s="65" t="inlineStr">
        <is>
          <t>Stretch</t>
        </is>
      </c>
      <c r="H571" s="65" t="inlineStr">
        <is>
          <t>LeetCode</t>
        </is>
      </c>
      <c r="I571" s="65" t="inlineStr">
        <is>
          <t>https://leetcode.com/problems/sudoku-solver/</t>
        </is>
      </c>
      <c r="J571" s="65" t="inlineStr">
        <is>
          <t>Not Started</t>
        </is>
      </c>
      <c r="K571" s="65" t="n"/>
      <c r="L571" s="65" t="n"/>
      <c r="M571" s="71" t="n"/>
      <c r="N571" s="71">
        <f>IF($M571="","",$M571+IF($K571="",Dashboard!$M$9,INDEX(Dashboard!$M$5:$M$9,$K571)))</f>
        <v/>
      </c>
      <c r="O571" s="65">
        <f>IF(OR($J571="Attempted",$J571="Revisit"),"DUE",IF($N571="","",IF($N571&lt;=TODAY(),"DUE","")))</f>
        <v/>
      </c>
      <c r="P571" s="65" t="n"/>
    </row>
    <row r="572">
      <c r="A572" s="65" t="n">
        <v>571</v>
      </c>
      <c r="B572" s="65" t="inlineStr">
        <is>
          <t>4. Greedy &amp; Backtracking - Stretch</t>
        </is>
      </c>
      <c r="C572" s="65" t="inlineStr">
        <is>
          <t>17. Backtracking</t>
        </is>
      </c>
      <c r="D572" s="65" t="inlineStr">
        <is>
          <t>Partition into K</t>
        </is>
      </c>
      <c r="E572" s="65" t="inlineStr">
        <is>
          <t>Distribute Repeating Integers</t>
        </is>
      </c>
      <c r="F572" s="65" t="inlineStr">
        <is>
          <t>Hard</t>
        </is>
      </c>
      <c r="G572" s="65" t="inlineStr">
        <is>
          <t>Stretch</t>
        </is>
      </c>
      <c r="H572" s="65" t="inlineStr">
        <is>
          <t>LeetCode</t>
        </is>
      </c>
      <c r="I572" s="65" t="inlineStr">
        <is>
          <t>https://leetcode.com/problems/distribute-repeating-integers/</t>
        </is>
      </c>
      <c r="J572" s="65" t="inlineStr">
        <is>
          <t>Not Started</t>
        </is>
      </c>
      <c r="K572" s="65" t="n"/>
      <c r="L572" s="65" t="n"/>
      <c r="M572" s="71" t="n"/>
      <c r="N572" s="71">
        <f>IF($M572="","",$M572+IF($K572="",Dashboard!$M$9,INDEX(Dashboard!$M$5:$M$9,$K572)))</f>
        <v/>
      </c>
      <c r="O572" s="65">
        <f>IF(OR($J572="Attempted",$J572="Revisit"),"DUE",IF($N572="","",IF($N572&lt;=TODAY(),"DUE","")))</f>
        <v/>
      </c>
      <c r="P572" s="65" t="n"/>
    </row>
    <row r="573">
      <c r="A573" s="65" t="n">
        <v>572</v>
      </c>
      <c r="B573" s="65" t="inlineStr">
        <is>
          <t>4. Greedy &amp; Backtracking - Stretch</t>
        </is>
      </c>
      <c r="C573" s="65" t="inlineStr">
        <is>
          <t>17. Backtracking</t>
        </is>
      </c>
      <c r="D573" s="65" t="inlineStr">
        <is>
          <t>Partition into K</t>
        </is>
      </c>
      <c r="E573" s="65" t="inlineStr">
        <is>
          <t>Partition of a Set into K Subsets with Equal Sum</t>
        </is>
      </c>
      <c r="F573" s="65" t="inlineStr">
        <is>
          <t>Hard</t>
        </is>
      </c>
      <c r="G573" s="65" t="inlineStr">
        <is>
          <t>Stretch</t>
        </is>
      </c>
      <c r="H573" s="65" t="inlineStr">
        <is>
          <t>GeeksforGeeks</t>
        </is>
      </c>
      <c r="I573" s="65" t="inlineStr">
        <is>
          <t>https://www.geeksforgeeks.org/search/?q=Partition+of+a+Set+into+K+Subsets+with+Equal+Sum</t>
        </is>
      </c>
      <c r="J573" s="65" t="inlineStr">
        <is>
          <t>Not Started</t>
        </is>
      </c>
      <c r="K573" s="65" t="n"/>
      <c r="L573" s="65" t="n"/>
      <c r="M573" s="71" t="n"/>
      <c r="N573" s="71">
        <f>IF($M573="","",$M573+IF($K573="",Dashboard!$M$9,INDEX(Dashboard!$M$5:$M$9,$K573)))</f>
        <v/>
      </c>
      <c r="O573" s="65">
        <f>IF(OR($J573="Attempted",$J573="Revisit"),"DUE",IF($N573="","",IF($N573&lt;=TODAY(),"DUE","")))</f>
        <v/>
      </c>
      <c r="P573" s="65" t="n"/>
    </row>
    <row r="574">
      <c r="A574" s="65" t="n">
        <v>573</v>
      </c>
      <c r="B574" s="65" t="inlineStr">
        <is>
          <t>4. Greedy &amp; Backtracking - Stretch</t>
        </is>
      </c>
      <c r="C574" s="65" t="inlineStr">
        <is>
          <t>17. Backtracking</t>
        </is>
      </c>
      <c r="D574" s="65" t="inlineStr">
        <is>
          <t>Counting</t>
        </is>
      </c>
      <c r="E574" s="65" t="inlineStr">
        <is>
          <t>Number of Squareful Arrays</t>
        </is>
      </c>
      <c r="F574" s="65" t="inlineStr">
        <is>
          <t>Hard</t>
        </is>
      </c>
      <c r="G574" s="65" t="inlineStr">
        <is>
          <t>Stretch</t>
        </is>
      </c>
      <c r="H574" s="65" t="inlineStr">
        <is>
          <t>LeetCode</t>
        </is>
      </c>
      <c r="I574" s="65" t="inlineStr">
        <is>
          <t>https://leetcode.com/problems/number-of-squareful-arrays/</t>
        </is>
      </c>
      <c r="J574" s="65" t="inlineStr">
        <is>
          <t>Not Started</t>
        </is>
      </c>
      <c r="K574" s="65" t="n"/>
      <c r="L574" s="65" t="n"/>
      <c r="M574" s="71" t="n"/>
      <c r="N574" s="71">
        <f>IF($M574="","",$M574+IF($K574="",Dashboard!$M$9,INDEX(Dashboard!$M$5:$M$9,$K574)))</f>
        <v/>
      </c>
      <c r="O574" s="65">
        <f>IF(OR($J574="Attempted",$J574="Revisit"),"DUE",IF($N574="","",IF($N574&lt;=TODAY(),"DUE","")))</f>
        <v/>
      </c>
      <c r="P574" s="65" t="n"/>
    </row>
    <row r="575">
      <c r="A575" s="65" t="n">
        <v>574</v>
      </c>
      <c r="B575" s="65" t="inlineStr">
        <is>
          <t>4. Greedy &amp; Backtracking - Stretch</t>
        </is>
      </c>
      <c r="C575" s="65" t="inlineStr">
        <is>
          <t>17. Backtracking</t>
        </is>
      </c>
      <c r="D575" s="65" t="inlineStr">
        <is>
          <t>Counting</t>
        </is>
      </c>
      <c r="E575" s="65" t="inlineStr">
        <is>
          <t>Unique Paths III</t>
        </is>
      </c>
      <c r="F575" s="65" t="inlineStr">
        <is>
          <t>Hard</t>
        </is>
      </c>
      <c r="G575" s="65" t="inlineStr">
        <is>
          <t>Stretch</t>
        </is>
      </c>
      <c r="H575" s="65" t="inlineStr">
        <is>
          <t>LeetCode</t>
        </is>
      </c>
      <c r="I575" s="65" t="inlineStr">
        <is>
          <t>https://leetcode.com/problems/unique-paths-iii/</t>
        </is>
      </c>
      <c r="J575" s="65" t="inlineStr">
        <is>
          <t>Not Started</t>
        </is>
      </c>
      <c r="K575" s="65" t="n"/>
      <c r="L575" s="65" t="n"/>
      <c r="M575" s="71" t="n"/>
      <c r="N575" s="71">
        <f>IF($M575="","",$M575+IF($K575="",Dashboard!$M$9,INDEX(Dashboard!$M$5:$M$9,$K575)))</f>
        <v/>
      </c>
      <c r="O575" s="65">
        <f>IF(OR($J575="Attempted",$J575="Revisit"),"DUE",IF($N575="","",IF($N575&lt;=TODAY(),"DUE","")))</f>
        <v/>
      </c>
      <c r="P575" s="65" t="n"/>
    </row>
    <row r="576">
      <c r="A576" s="65" t="n">
        <v>575</v>
      </c>
      <c r="B576" s="65" t="inlineStr">
        <is>
          <t>4. Greedy &amp; Backtracking - Stretch</t>
        </is>
      </c>
      <c r="C576" s="65" t="inlineStr">
        <is>
          <t>17. Backtracking</t>
        </is>
      </c>
      <c r="D576" s="65" t="inlineStr">
        <is>
          <t>Expression</t>
        </is>
      </c>
      <c r="E576" s="65" t="inlineStr">
        <is>
          <t>Expression Add Operators</t>
        </is>
      </c>
      <c r="F576" s="65" t="inlineStr">
        <is>
          <t>Hard</t>
        </is>
      </c>
      <c r="G576" s="65" t="inlineStr">
        <is>
          <t>Stretch</t>
        </is>
      </c>
      <c r="H576" s="65" t="inlineStr">
        <is>
          <t>LeetCode</t>
        </is>
      </c>
      <c r="I576" s="65" t="inlineStr">
        <is>
          <t>https://leetcode.com/problems/expression-add-operators/</t>
        </is>
      </c>
      <c r="J576" s="65" t="inlineStr">
        <is>
          <t>Not Started</t>
        </is>
      </c>
      <c r="K576" s="65" t="n"/>
      <c r="L576" s="65" t="n"/>
      <c r="M576" s="71" t="n"/>
      <c r="N576" s="71">
        <f>IF($M576="","",$M576+IF($K576="",Dashboard!$M$9,INDEX(Dashboard!$M$5:$M$9,$K576)))</f>
        <v/>
      </c>
      <c r="O576" s="65">
        <f>IF(OR($J576="Attempted",$J576="Revisit"),"DUE",IF($N576="","",IF($N576&lt;=TODAY(),"DUE","")))</f>
        <v/>
      </c>
      <c r="P576" s="65" t="n"/>
    </row>
    <row r="577">
      <c r="A577" s="65" t="n">
        <v>576</v>
      </c>
      <c r="B577" s="65" t="inlineStr">
        <is>
          <t>4. Greedy &amp; Backtracking - Stretch</t>
        </is>
      </c>
      <c r="C577" s="65" t="inlineStr">
        <is>
          <t>17. Backtracking</t>
        </is>
      </c>
      <c r="D577" s="65" t="inlineStr">
        <is>
          <t>Expression</t>
        </is>
      </c>
      <c r="E577" s="65" t="inlineStr">
        <is>
          <t>24 Game</t>
        </is>
      </c>
      <c r="F577" s="65" t="inlineStr">
        <is>
          <t>Hard</t>
        </is>
      </c>
      <c r="G577" s="65" t="inlineStr">
        <is>
          <t>Stretch</t>
        </is>
      </c>
      <c r="H577" s="65" t="inlineStr">
        <is>
          <t>LeetCode</t>
        </is>
      </c>
      <c r="I577" s="65" t="inlineStr">
        <is>
          <t>https://leetcode.com/problems/24-game/</t>
        </is>
      </c>
      <c r="J577" s="65" t="inlineStr">
        <is>
          <t>Not Started</t>
        </is>
      </c>
      <c r="K577" s="65" t="n"/>
      <c r="L577" s="65" t="n"/>
      <c r="M577" s="71" t="n"/>
      <c r="N577" s="71">
        <f>IF($M577="","",$M577+IF($K577="",Dashboard!$M$9,INDEX(Dashboard!$M$5:$M$9,$K577)))</f>
        <v/>
      </c>
      <c r="O577" s="65">
        <f>IF(OR($J577="Attempted",$J577="Revisit"),"DUE",IF($N577="","",IF($N577&lt;=TODAY(),"DUE","")))</f>
        <v/>
      </c>
      <c r="P577" s="65" t="n"/>
    </row>
    <row r="578">
      <c r="A578" s="65" t="n">
        <v>577</v>
      </c>
      <c r="B578" s="65" t="inlineStr">
        <is>
          <t>4. Greedy &amp; Backtracking - Stretch</t>
        </is>
      </c>
      <c r="C578" s="65" t="inlineStr">
        <is>
          <t>17. Backtracking</t>
        </is>
      </c>
      <c r="D578" s="65" t="inlineStr">
        <is>
          <t>Greedy + backtracking</t>
        </is>
      </c>
      <c r="E578" s="65" t="inlineStr">
        <is>
          <t>Optimal Account Balancing</t>
        </is>
      </c>
      <c r="F578" s="65" t="inlineStr">
        <is>
          <t>Hard</t>
        </is>
      </c>
      <c r="G578" s="65" t="inlineStr">
        <is>
          <t>Stretch</t>
        </is>
      </c>
      <c r="H578" s="65" t="inlineStr">
        <is>
          <t>LeetCode</t>
        </is>
      </c>
      <c r="I578" s="65" t="inlineStr">
        <is>
          <t>https://leetcode.com/problems/optimal-account-balancing/</t>
        </is>
      </c>
      <c r="J578" s="65" t="inlineStr">
        <is>
          <t>Not Started</t>
        </is>
      </c>
      <c r="K578" s="65" t="n"/>
      <c r="L578" s="65" t="n"/>
      <c r="M578" s="71" t="n"/>
      <c r="N578" s="71">
        <f>IF($M578="","",$M578+IF($K578="",Dashboard!$M$9,INDEX(Dashboard!$M$5:$M$9,$K578)))</f>
        <v/>
      </c>
      <c r="O578" s="65">
        <f>IF(OR($J578="Attempted",$J578="Revisit"),"DUE",IF($N578="","",IF($N578&lt;=TODAY(),"DUE","")))</f>
        <v/>
      </c>
      <c r="P578" s="65" t="n"/>
    </row>
    <row r="579">
      <c r="A579" s="65" t="n">
        <v>578</v>
      </c>
      <c r="B579" s="65" t="inlineStr">
        <is>
          <t>5. Trees &amp; Graphs - Core</t>
        </is>
      </c>
      <c r="C579" s="65" t="inlineStr">
        <is>
          <t>18. Trees &amp; BST</t>
        </is>
      </c>
      <c r="D579" s="65" t="inlineStr">
        <is>
          <t>Traversal</t>
        </is>
      </c>
      <c r="E579" s="65" t="inlineStr">
        <is>
          <t>Binary Tree Inorder Traversal</t>
        </is>
      </c>
      <c r="F579" s="65" t="inlineStr">
        <is>
          <t>Easy</t>
        </is>
      </c>
      <c r="G579" s="65" t="inlineStr">
        <is>
          <t>Core</t>
        </is>
      </c>
      <c r="H579" s="65" t="inlineStr">
        <is>
          <t>LeetCode</t>
        </is>
      </c>
      <c r="I579" s="65" t="inlineStr">
        <is>
          <t>https://leetcode.com/problems/binary-tree-inorder-traversal/</t>
        </is>
      </c>
      <c r="J579" s="65" t="inlineStr">
        <is>
          <t>Not Started</t>
        </is>
      </c>
      <c r="K579" s="65" t="n"/>
      <c r="L579" s="65" t="n"/>
      <c r="M579" s="71" t="n"/>
      <c r="N579" s="71">
        <f>IF($M579="","",$M579+IF($K579="",Dashboard!$M$9,INDEX(Dashboard!$M$5:$M$9,$K579)))</f>
        <v/>
      </c>
      <c r="O579" s="65">
        <f>IF(OR($J579="Attempted",$J579="Revisit"),"DUE",IF($N579="","",IF($N579&lt;=TODAY(),"DUE","")))</f>
        <v/>
      </c>
      <c r="P579" s="65" t="n"/>
    </row>
    <row r="580">
      <c r="A580" s="65" t="n">
        <v>579</v>
      </c>
      <c r="B580" s="65" t="inlineStr">
        <is>
          <t>5. Trees &amp; Graphs - Core</t>
        </is>
      </c>
      <c r="C580" s="65" t="inlineStr">
        <is>
          <t>18. Trees &amp; BST</t>
        </is>
      </c>
      <c r="D580" s="65" t="inlineStr">
        <is>
          <t>Traversal</t>
        </is>
      </c>
      <c r="E580" s="65" t="inlineStr">
        <is>
          <t>Binary Tree Preorder Traversal</t>
        </is>
      </c>
      <c r="F580" s="65" t="inlineStr">
        <is>
          <t>Easy</t>
        </is>
      </c>
      <c r="G580" s="65" t="inlineStr">
        <is>
          <t>Core</t>
        </is>
      </c>
      <c r="H580" s="65" t="inlineStr">
        <is>
          <t>LeetCode</t>
        </is>
      </c>
      <c r="I580" s="65" t="inlineStr">
        <is>
          <t>https://leetcode.com/problems/binary-tree-preorder-traversal/</t>
        </is>
      </c>
      <c r="J580" s="65" t="inlineStr">
        <is>
          <t>Not Started</t>
        </is>
      </c>
      <c r="K580" s="65" t="n"/>
      <c r="L580" s="65" t="n"/>
      <c r="M580" s="71" t="n"/>
      <c r="N580" s="71">
        <f>IF($M580="","",$M580+IF($K580="",Dashboard!$M$9,INDEX(Dashboard!$M$5:$M$9,$K580)))</f>
        <v/>
      </c>
      <c r="O580" s="65">
        <f>IF(OR($J580="Attempted",$J580="Revisit"),"DUE",IF($N580="","",IF($N580&lt;=TODAY(),"DUE","")))</f>
        <v/>
      </c>
      <c r="P580" s="65" t="n"/>
    </row>
    <row r="581">
      <c r="A581" s="65" t="n">
        <v>580</v>
      </c>
      <c r="B581" s="65" t="inlineStr">
        <is>
          <t>5. Trees &amp; Graphs - Core</t>
        </is>
      </c>
      <c r="C581" s="65" t="inlineStr">
        <is>
          <t>18. Trees &amp; BST</t>
        </is>
      </c>
      <c r="D581" s="65" t="inlineStr">
        <is>
          <t>Traversal</t>
        </is>
      </c>
      <c r="E581" s="65" t="inlineStr">
        <is>
          <t>N-ary Tree Preorder Traversal</t>
        </is>
      </c>
      <c r="F581" s="65" t="inlineStr">
        <is>
          <t>Easy</t>
        </is>
      </c>
      <c r="G581" s="65" t="inlineStr">
        <is>
          <t>Core</t>
        </is>
      </c>
      <c r="H581" s="65" t="inlineStr">
        <is>
          <t>LeetCode</t>
        </is>
      </c>
      <c r="I581" s="65" t="inlineStr">
        <is>
          <t>https://leetcode.com/problems/n-ary-tree-preorder-traversal/</t>
        </is>
      </c>
      <c r="J581" s="65" t="inlineStr">
        <is>
          <t>Not Started</t>
        </is>
      </c>
      <c r="K581" s="65" t="n"/>
      <c r="L581" s="65" t="n"/>
      <c r="M581" s="71" t="n"/>
      <c r="N581" s="71">
        <f>IF($M581="","",$M581+IF($K581="",Dashboard!$M$9,INDEX(Dashboard!$M$5:$M$9,$K581)))</f>
        <v/>
      </c>
      <c r="O581" s="65">
        <f>IF(OR($J581="Attempted",$J581="Revisit"),"DUE",IF($N581="","",IF($N581&lt;=TODAY(),"DUE","")))</f>
        <v/>
      </c>
      <c r="P581" s="65" t="n"/>
    </row>
    <row r="582">
      <c r="A582" s="65" t="n">
        <v>581</v>
      </c>
      <c r="B582" s="65" t="inlineStr">
        <is>
          <t>5. Trees &amp; Graphs - Core</t>
        </is>
      </c>
      <c r="C582" s="65" t="inlineStr">
        <is>
          <t>18. Trees &amp; BST</t>
        </is>
      </c>
      <c r="D582" s="65" t="inlineStr">
        <is>
          <t>Depth &amp; balance</t>
        </is>
      </c>
      <c r="E582" s="65" t="inlineStr">
        <is>
          <t>Maximum Depth of Binary Tree</t>
        </is>
      </c>
      <c r="F582" s="65" t="inlineStr">
        <is>
          <t>Easy</t>
        </is>
      </c>
      <c r="G582" s="65" t="inlineStr">
        <is>
          <t>Core</t>
        </is>
      </c>
      <c r="H582" s="65" t="inlineStr">
        <is>
          <t>LeetCode</t>
        </is>
      </c>
      <c r="I582" s="65" t="inlineStr">
        <is>
          <t>https://leetcode.com/problems/maximum-depth-of-binary-tree/</t>
        </is>
      </c>
      <c r="J582" s="65" t="inlineStr">
        <is>
          <t>Not Started</t>
        </is>
      </c>
      <c r="K582" s="65" t="n"/>
      <c r="L582" s="65" t="n"/>
      <c r="M582" s="71" t="n"/>
      <c r="N582" s="71">
        <f>IF($M582="","",$M582+IF($K582="",Dashboard!$M$9,INDEX(Dashboard!$M$5:$M$9,$K582)))</f>
        <v/>
      </c>
      <c r="O582" s="65">
        <f>IF(OR($J582="Attempted",$J582="Revisit"),"DUE",IF($N582="","",IF($N582&lt;=TODAY(),"DUE","")))</f>
        <v/>
      </c>
      <c r="P582" s="65" t="n"/>
    </row>
    <row r="583">
      <c r="A583" s="65" t="n">
        <v>582</v>
      </c>
      <c r="B583" s="65" t="inlineStr">
        <is>
          <t>5. Trees &amp; Graphs - Core</t>
        </is>
      </c>
      <c r="C583" s="65" t="inlineStr">
        <is>
          <t>18. Trees &amp; BST</t>
        </is>
      </c>
      <c r="D583" s="65" t="inlineStr">
        <is>
          <t>Depth &amp; balance</t>
        </is>
      </c>
      <c r="E583" s="65" t="inlineStr">
        <is>
          <t>Minimum Depth of Binary Tree</t>
        </is>
      </c>
      <c r="F583" s="65" t="inlineStr">
        <is>
          <t>Easy</t>
        </is>
      </c>
      <c r="G583" s="65" t="inlineStr">
        <is>
          <t>Core</t>
        </is>
      </c>
      <c r="H583" s="65" t="inlineStr">
        <is>
          <t>LeetCode</t>
        </is>
      </c>
      <c r="I583" s="65" t="inlineStr">
        <is>
          <t>https://leetcode.com/problems/minimum-depth-of-binary-tree/</t>
        </is>
      </c>
      <c r="J583" s="65" t="inlineStr">
        <is>
          <t>Not Started</t>
        </is>
      </c>
      <c r="K583" s="65" t="n"/>
      <c r="L583" s="65" t="n"/>
      <c r="M583" s="71" t="n"/>
      <c r="N583" s="71">
        <f>IF($M583="","",$M583+IF($K583="",Dashboard!$M$9,INDEX(Dashboard!$M$5:$M$9,$K583)))</f>
        <v/>
      </c>
      <c r="O583" s="65">
        <f>IF(OR($J583="Attempted",$J583="Revisit"),"DUE",IF($N583="","",IF($N583&lt;=TODAY(),"DUE","")))</f>
        <v/>
      </c>
      <c r="P583" s="65" t="n"/>
    </row>
    <row r="584">
      <c r="A584" s="65" t="n">
        <v>583</v>
      </c>
      <c r="B584" s="65" t="inlineStr">
        <is>
          <t>5. Trees &amp; Graphs - Core</t>
        </is>
      </c>
      <c r="C584" s="65" t="inlineStr">
        <is>
          <t>18. Trees &amp; BST</t>
        </is>
      </c>
      <c r="D584" s="65" t="inlineStr">
        <is>
          <t>Depth &amp; balance</t>
        </is>
      </c>
      <c r="E584" s="65" t="inlineStr">
        <is>
          <t>Maximum Depth of N-ary Tree</t>
        </is>
      </c>
      <c r="F584" s="65" t="inlineStr">
        <is>
          <t>Easy</t>
        </is>
      </c>
      <c r="G584" s="65" t="inlineStr">
        <is>
          <t>Core</t>
        </is>
      </c>
      <c r="H584" s="65" t="inlineStr">
        <is>
          <t>LeetCode</t>
        </is>
      </c>
      <c r="I584" s="65" t="inlineStr">
        <is>
          <t>https://leetcode.com/problems/maximum-depth-of-n-ary-tree/</t>
        </is>
      </c>
      <c r="J584" s="65" t="inlineStr">
        <is>
          <t>Not Started</t>
        </is>
      </c>
      <c r="K584" s="65" t="n"/>
      <c r="L584" s="65" t="n"/>
      <c r="M584" s="71" t="n"/>
      <c r="N584" s="71">
        <f>IF($M584="","",$M584+IF($K584="",Dashboard!$M$9,INDEX(Dashboard!$M$5:$M$9,$K584)))</f>
        <v/>
      </c>
      <c r="O584" s="65">
        <f>IF(OR($J584="Attempted",$J584="Revisit"),"DUE",IF($N584="","",IF($N584&lt;=TODAY(),"DUE","")))</f>
        <v/>
      </c>
      <c r="P584" s="65" t="n"/>
    </row>
    <row r="585">
      <c r="A585" s="65" t="n">
        <v>584</v>
      </c>
      <c r="B585" s="65" t="inlineStr">
        <is>
          <t>5. Trees &amp; Graphs - Core</t>
        </is>
      </c>
      <c r="C585" s="65" t="inlineStr">
        <is>
          <t>18. Trees &amp; BST</t>
        </is>
      </c>
      <c r="D585" s="65" t="inlineStr">
        <is>
          <t>Depth &amp; balance</t>
        </is>
      </c>
      <c r="E585" s="65" t="inlineStr">
        <is>
          <t>Balanced Binary Tree</t>
        </is>
      </c>
      <c r="F585" s="65" t="inlineStr">
        <is>
          <t>Easy</t>
        </is>
      </c>
      <c r="G585" s="65" t="inlineStr">
        <is>
          <t>Core</t>
        </is>
      </c>
      <c r="H585" s="65" t="inlineStr">
        <is>
          <t>LeetCode</t>
        </is>
      </c>
      <c r="I585" s="65" t="inlineStr">
        <is>
          <t>https://leetcode.com/problems/balanced-binary-tree/</t>
        </is>
      </c>
      <c r="J585" s="65" t="inlineStr">
        <is>
          <t>Not Started</t>
        </is>
      </c>
      <c r="K585" s="65" t="n"/>
      <c r="L585" s="65" t="n"/>
      <c r="M585" s="71" t="n"/>
      <c r="N585" s="71">
        <f>IF($M585="","",$M585+IF($K585="",Dashboard!$M$9,INDEX(Dashboard!$M$5:$M$9,$K585)))</f>
        <v/>
      </c>
      <c r="O585" s="65">
        <f>IF(OR($J585="Attempted",$J585="Revisit"),"DUE",IF($N585="","",IF($N585&lt;=TODAY(),"DUE","")))</f>
        <v/>
      </c>
      <c r="P585" s="65" t="n"/>
    </row>
    <row r="586">
      <c r="A586" s="65" t="n">
        <v>585</v>
      </c>
      <c r="B586" s="65" t="inlineStr">
        <is>
          <t>5. Trees &amp; Graphs - Core</t>
        </is>
      </c>
      <c r="C586" s="65" t="inlineStr">
        <is>
          <t>18. Trees &amp; BST</t>
        </is>
      </c>
      <c r="D586" s="65" t="inlineStr">
        <is>
          <t>Depth &amp; balance</t>
        </is>
      </c>
      <c r="E586" s="65" t="inlineStr">
        <is>
          <t>Diameter of Binary Tree</t>
        </is>
      </c>
      <c r="F586" s="65" t="inlineStr">
        <is>
          <t>Easy</t>
        </is>
      </c>
      <c r="G586" s="65" t="inlineStr">
        <is>
          <t>Core</t>
        </is>
      </c>
      <c r="H586" s="65" t="inlineStr">
        <is>
          <t>LeetCode</t>
        </is>
      </c>
      <c r="I586" s="65" t="inlineStr">
        <is>
          <t>https://leetcode.com/problems/diameter-of-binary-tree/</t>
        </is>
      </c>
      <c r="J586" s="65" t="inlineStr">
        <is>
          <t>Not Started</t>
        </is>
      </c>
      <c r="K586" s="65" t="n"/>
      <c r="L586" s="65" t="n"/>
      <c r="M586" s="71" t="n"/>
      <c r="N586" s="71">
        <f>IF($M586="","",$M586+IF($K586="",Dashboard!$M$9,INDEX(Dashboard!$M$5:$M$9,$K586)))</f>
        <v/>
      </c>
      <c r="O586" s="65">
        <f>IF(OR($J586="Attempted",$J586="Revisit"),"DUE",IF($N586="","",IF($N586&lt;=TODAY(),"DUE","")))</f>
        <v/>
      </c>
      <c r="P586" s="65" t="n"/>
    </row>
    <row r="587">
      <c r="A587" s="65" t="n">
        <v>586</v>
      </c>
      <c r="B587" s="65" t="inlineStr">
        <is>
          <t>5. Trees &amp; Graphs - Core</t>
        </is>
      </c>
      <c r="C587" s="65" t="inlineStr">
        <is>
          <t>18. Trees &amp; BST</t>
        </is>
      </c>
      <c r="D587" s="65" t="inlineStr">
        <is>
          <t>Structure</t>
        </is>
      </c>
      <c r="E587" s="65" t="inlineStr">
        <is>
          <t>Same Tree</t>
        </is>
      </c>
      <c r="F587" s="65" t="inlineStr">
        <is>
          <t>Easy</t>
        </is>
      </c>
      <c r="G587" s="65" t="inlineStr">
        <is>
          <t>Core</t>
        </is>
      </c>
      <c r="H587" s="65" t="inlineStr">
        <is>
          <t>LeetCode</t>
        </is>
      </c>
      <c r="I587" s="65" t="inlineStr">
        <is>
          <t>https://leetcode.com/problems/same-tree/</t>
        </is>
      </c>
      <c r="J587" s="65" t="inlineStr">
        <is>
          <t>Not Started</t>
        </is>
      </c>
      <c r="K587" s="65" t="n"/>
      <c r="L587" s="65" t="n"/>
      <c r="M587" s="71" t="n"/>
      <c r="N587" s="71">
        <f>IF($M587="","",$M587+IF($K587="",Dashboard!$M$9,INDEX(Dashboard!$M$5:$M$9,$K587)))</f>
        <v/>
      </c>
      <c r="O587" s="65">
        <f>IF(OR($J587="Attempted",$J587="Revisit"),"DUE",IF($N587="","",IF($N587&lt;=TODAY(),"DUE","")))</f>
        <v/>
      </c>
      <c r="P587" s="65" t="n"/>
    </row>
    <row r="588">
      <c r="A588" s="65" t="n">
        <v>587</v>
      </c>
      <c r="B588" s="65" t="inlineStr">
        <is>
          <t>5. Trees &amp; Graphs - Core</t>
        </is>
      </c>
      <c r="C588" s="65" t="inlineStr">
        <is>
          <t>18. Trees &amp; BST</t>
        </is>
      </c>
      <c r="D588" s="65" t="inlineStr">
        <is>
          <t>Structure</t>
        </is>
      </c>
      <c r="E588" s="65" t="inlineStr">
        <is>
          <t>Symmetric Tree</t>
        </is>
      </c>
      <c r="F588" s="65" t="inlineStr">
        <is>
          <t>Easy</t>
        </is>
      </c>
      <c r="G588" s="65" t="inlineStr">
        <is>
          <t>Core</t>
        </is>
      </c>
      <c r="H588" s="65" t="inlineStr">
        <is>
          <t>LeetCode</t>
        </is>
      </c>
      <c r="I588" s="65" t="inlineStr">
        <is>
          <t>https://leetcode.com/problems/symmetric-tree/</t>
        </is>
      </c>
      <c r="J588" s="65" t="inlineStr">
        <is>
          <t>Not Started</t>
        </is>
      </c>
      <c r="K588" s="65" t="n"/>
      <c r="L588" s="65" t="n"/>
      <c r="M588" s="71" t="n"/>
      <c r="N588" s="71">
        <f>IF($M588="","",$M588+IF($K588="",Dashboard!$M$9,INDEX(Dashboard!$M$5:$M$9,$K588)))</f>
        <v/>
      </c>
      <c r="O588" s="65">
        <f>IF(OR($J588="Attempted",$J588="Revisit"),"DUE",IF($N588="","",IF($N588&lt;=TODAY(),"DUE","")))</f>
        <v/>
      </c>
      <c r="P588" s="65" t="n"/>
    </row>
    <row r="589">
      <c r="A589" s="65" t="n">
        <v>588</v>
      </c>
      <c r="B589" s="65" t="inlineStr">
        <is>
          <t>5. Trees &amp; Graphs - Core</t>
        </is>
      </c>
      <c r="C589" s="65" t="inlineStr">
        <is>
          <t>18. Trees &amp; BST</t>
        </is>
      </c>
      <c r="D589" s="65" t="inlineStr">
        <is>
          <t>Structure</t>
        </is>
      </c>
      <c r="E589" s="65" t="inlineStr">
        <is>
          <t>Invert Binary Tree</t>
        </is>
      </c>
      <c r="F589" s="65" t="inlineStr">
        <is>
          <t>Easy</t>
        </is>
      </c>
      <c r="G589" s="65" t="inlineStr">
        <is>
          <t>Core</t>
        </is>
      </c>
      <c r="H589" s="65" t="inlineStr">
        <is>
          <t>LeetCode</t>
        </is>
      </c>
      <c r="I589" s="65" t="inlineStr">
        <is>
          <t>https://leetcode.com/problems/invert-binary-tree/</t>
        </is>
      </c>
      <c r="J589" s="65" t="inlineStr">
        <is>
          <t>Not Started</t>
        </is>
      </c>
      <c r="K589" s="65" t="n"/>
      <c r="L589" s="65" t="n"/>
      <c r="M589" s="71" t="n"/>
      <c r="N589" s="71">
        <f>IF($M589="","",$M589+IF($K589="",Dashboard!$M$9,INDEX(Dashboard!$M$5:$M$9,$K589)))</f>
        <v/>
      </c>
      <c r="O589" s="65">
        <f>IF(OR($J589="Attempted",$J589="Revisit"),"DUE",IF($N589="","",IF($N589&lt;=TODAY(),"DUE","")))</f>
        <v/>
      </c>
      <c r="P589" s="65" t="n"/>
    </row>
    <row r="590">
      <c r="A590" s="65" t="n">
        <v>589</v>
      </c>
      <c r="B590" s="65" t="inlineStr">
        <is>
          <t>5. Trees &amp; Graphs - Core</t>
        </is>
      </c>
      <c r="C590" s="65" t="inlineStr">
        <is>
          <t>18. Trees &amp; BST</t>
        </is>
      </c>
      <c r="D590" s="65" t="inlineStr">
        <is>
          <t>Structure</t>
        </is>
      </c>
      <c r="E590" s="65" t="inlineStr">
        <is>
          <t>Subtree of Another Tree</t>
        </is>
      </c>
      <c r="F590" s="65" t="inlineStr">
        <is>
          <t>Easy</t>
        </is>
      </c>
      <c r="G590" s="65" t="inlineStr">
        <is>
          <t>Core</t>
        </is>
      </c>
      <c r="H590" s="65" t="inlineStr">
        <is>
          <t>LeetCode</t>
        </is>
      </c>
      <c r="I590" s="65" t="inlineStr">
        <is>
          <t>https://leetcode.com/problems/subtree-of-another-tree/</t>
        </is>
      </c>
      <c r="J590" s="65" t="inlineStr">
        <is>
          <t>Not Started</t>
        </is>
      </c>
      <c r="K590" s="65" t="n"/>
      <c r="L590" s="65" t="n"/>
      <c r="M590" s="71" t="n"/>
      <c r="N590" s="71">
        <f>IF($M590="","",$M590+IF($K590="",Dashboard!$M$9,INDEX(Dashboard!$M$5:$M$9,$K590)))</f>
        <v/>
      </c>
      <c r="O590" s="65">
        <f>IF(OR($J590="Attempted",$J590="Revisit"),"DUE",IF($N590="","",IF($N590&lt;=TODAY(),"DUE","")))</f>
        <v/>
      </c>
      <c r="P590" s="65" t="n"/>
    </row>
    <row r="591">
      <c r="A591" s="65" t="n">
        <v>590</v>
      </c>
      <c r="B591" s="65" t="inlineStr">
        <is>
          <t>5. Trees &amp; Graphs - Core</t>
        </is>
      </c>
      <c r="C591" s="65" t="inlineStr">
        <is>
          <t>18. Trees &amp; BST</t>
        </is>
      </c>
      <c r="D591" s="65" t="inlineStr">
        <is>
          <t>BFS</t>
        </is>
      </c>
      <c r="E591" s="65" t="inlineStr">
        <is>
          <t>Average of Levels in Binary Tree</t>
        </is>
      </c>
      <c r="F591" s="65" t="inlineStr">
        <is>
          <t>Easy</t>
        </is>
      </c>
      <c r="G591" s="65" t="inlineStr">
        <is>
          <t>Core</t>
        </is>
      </c>
      <c r="H591" s="65" t="inlineStr">
        <is>
          <t>LeetCode</t>
        </is>
      </c>
      <c r="I591" s="65" t="inlineStr">
        <is>
          <t>https://leetcode.com/problems/average-of-levels-in-binary-tree/</t>
        </is>
      </c>
      <c r="J591" s="65" t="inlineStr">
        <is>
          <t>Not Started</t>
        </is>
      </c>
      <c r="K591" s="65" t="n"/>
      <c r="L591" s="65" t="n"/>
      <c r="M591" s="71" t="n"/>
      <c r="N591" s="71">
        <f>IF($M591="","",$M591+IF($K591="",Dashboard!$M$9,INDEX(Dashboard!$M$5:$M$9,$K591)))</f>
        <v/>
      </c>
      <c r="O591" s="65">
        <f>IF(OR($J591="Attempted",$J591="Revisit"),"DUE",IF($N591="","",IF($N591&lt;=TODAY(),"DUE","")))</f>
        <v/>
      </c>
      <c r="P591" s="65" t="n"/>
    </row>
    <row r="592">
      <c r="A592" s="65" t="n">
        <v>591</v>
      </c>
      <c r="B592" s="65" t="inlineStr">
        <is>
          <t>5. Trees &amp; Graphs - Core</t>
        </is>
      </c>
      <c r="C592" s="65" t="inlineStr">
        <is>
          <t>18. Trees &amp; BST</t>
        </is>
      </c>
      <c r="D592" s="65" t="inlineStr">
        <is>
          <t>BFS</t>
        </is>
      </c>
      <c r="E592" s="65" t="inlineStr">
        <is>
          <t>Binary Tree Level Order Traversal</t>
        </is>
      </c>
      <c r="F592" s="65" t="inlineStr">
        <is>
          <t>Medium</t>
        </is>
      </c>
      <c r="G592" s="65" t="inlineStr">
        <is>
          <t>Core</t>
        </is>
      </c>
      <c r="H592" s="65" t="inlineStr">
        <is>
          <t>LeetCode</t>
        </is>
      </c>
      <c r="I592" s="65" t="inlineStr">
        <is>
          <t>https://leetcode.com/problems/binary-tree-level-order-traversal/</t>
        </is>
      </c>
      <c r="J592" s="65" t="inlineStr">
        <is>
          <t>Not Started</t>
        </is>
      </c>
      <c r="K592" s="65" t="n"/>
      <c r="L592" s="65" t="n"/>
      <c r="M592" s="71" t="n"/>
      <c r="N592" s="71">
        <f>IF($M592="","",$M592+IF($K592="",Dashboard!$M$9,INDEX(Dashboard!$M$5:$M$9,$K592)))</f>
        <v/>
      </c>
      <c r="O592" s="65">
        <f>IF(OR($J592="Attempted",$J592="Revisit"),"DUE",IF($N592="","",IF($N592&lt;=TODAY(),"DUE","")))</f>
        <v/>
      </c>
      <c r="P592" s="65" t="n"/>
    </row>
    <row r="593">
      <c r="A593" s="65" t="n">
        <v>592</v>
      </c>
      <c r="B593" s="65" t="inlineStr">
        <is>
          <t>5. Trees &amp; Graphs - Core</t>
        </is>
      </c>
      <c r="C593" s="65" t="inlineStr">
        <is>
          <t>18. Trees &amp; BST</t>
        </is>
      </c>
      <c r="D593" s="65" t="inlineStr">
        <is>
          <t>Views</t>
        </is>
      </c>
      <c r="E593" s="65" t="inlineStr">
        <is>
          <t>Binary Tree Right Side View</t>
        </is>
      </c>
      <c r="F593" s="65" t="inlineStr">
        <is>
          <t>Medium</t>
        </is>
      </c>
      <c r="G593" s="65" t="inlineStr">
        <is>
          <t>Core</t>
        </is>
      </c>
      <c r="H593" s="65" t="inlineStr">
        <is>
          <t>LeetCode</t>
        </is>
      </c>
      <c r="I593" s="65" t="inlineStr">
        <is>
          <t>https://leetcode.com/problems/binary-tree-right-side-view/</t>
        </is>
      </c>
      <c r="J593" s="65" t="inlineStr">
        <is>
          <t>Not Started</t>
        </is>
      </c>
      <c r="K593" s="65" t="n"/>
      <c r="L593" s="65" t="n"/>
      <c r="M593" s="71" t="n"/>
      <c r="N593" s="71">
        <f>IF($M593="","",$M593+IF($K593="",Dashboard!$M$9,INDEX(Dashboard!$M$5:$M$9,$K593)))</f>
        <v/>
      </c>
      <c r="O593" s="65">
        <f>IF(OR($J593="Attempted",$J593="Revisit"),"DUE",IF($N593="","",IF($N593&lt;=TODAY(),"DUE","")))</f>
        <v/>
      </c>
      <c r="P593" s="65" t="inlineStr">
        <is>
          <t>v3 addition</t>
        </is>
      </c>
    </row>
    <row r="594">
      <c r="A594" s="65" t="n">
        <v>593</v>
      </c>
      <c r="B594" s="65" t="inlineStr">
        <is>
          <t>5. Trees &amp; Graphs - Core</t>
        </is>
      </c>
      <c r="C594" s="65" t="inlineStr">
        <is>
          <t>18. Trees &amp; BST</t>
        </is>
      </c>
      <c r="D594" s="65" t="inlineStr">
        <is>
          <t>Views</t>
        </is>
      </c>
      <c r="E594" s="65" t="inlineStr">
        <is>
          <t>Top View of Binary Tree</t>
        </is>
      </c>
      <c r="F594" s="65" t="inlineStr">
        <is>
          <t>Medium</t>
        </is>
      </c>
      <c r="G594" s="65" t="inlineStr">
        <is>
          <t>Core</t>
        </is>
      </c>
      <c r="H594" s="65" t="inlineStr">
        <is>
          <t>GeeksforGeeks</t>
        </is>
      </c>
      <c r="I594" s="65" t="inlineStr">
        <is>
          <t>https://www.geeksforgeeks.org/problems/top-view-of-binary-tree/1</t>
        </is>
      </c>
      <c r="J594" s="65" t="inlineStr">
        <is>
          <t>Not Started</t>
        </is>
      </c>
      <c r="K594" s="65" t="n"/>
      <c r="L594" s="65" t="n"/>
      <c r="M594" s="71" t="n"/>
      <c r="N594" s="71">
        <f>IF($M594="","",$M594+IF($K594="",Dashboard!$M$9,INDEX(Dashboard!$M$5:$M$9,$K594)))</f>
        <v/>
      </c>
      <c r="O594" s="65">
        <f>IF(OR($J594="Attempted",$J594="Revisit"),"DUE",IF($N594="","",IF($N594&lt;=TODAY(),"DUE","")))</f>
        <v/>
      </c>
      <c r="P594" s="65" t="n"/>
    </row>
    <row r="595">
      <c r="A595" s="65" t="n">
        <v>594</v>
      </c>
      <c r="B595" s="65" t="inlineStr">
        <is>
          <t>5. Trees &amp; Graphs - Core</t>
        </is>
      </c>
      <c r="C595" s="65" t="inlineStr">
        <is>
          <t>18. Trees &amp; BST</t>
        </is>
      </c>
      <c r="D595" s="65" t="inlineStr">
        <is>
          <t>Path sum</t>
        </is>
      </c>
      <c r="E595" s="65" t="inlineStr">
        <is>
          <t>Path Sum</t>
        </is>
      </c>
      <c r="F595" s="65" t="inlineStr">
        <is>
          <t>Easy</t>
        </is>
      </c>
      <c r="G595" s="65" t="inlineStr">
        <is>
          <t>Core</t>
        </is>
      </c>
      <c r="H595" s="65" t="inlineStr">
        <is>
          <t>LeetCode</t>
        </is>
      </c>
      <c r="I595" s="65" t="inlineStr">
        <is>
          <t>https://leetcode.com/problems/path-sum/</t>
        </is>
      </c>
      <c r="J595" s="65" t="inlineStr">
        <is>
          <t>Not Started</t>
        </is>
      </c>
      <c r="K595" s="65" t="n"/>
      <c r="L595" s="65" t="n"/>
      <c r="M595" s="71" t="n"/>
      <c r="N595" s="71">
        <f>IF($M595="","",$M595+IF($K595="",Dashboard!$M$9,INDEX(Dashboard!$M$5:$M$9,$K595)))</f>
        <v/>
      </c>
      <c r="O595" s="65">
        <f>IF(OR($J595="Attempted",$J595="Revisit"),"DUE",IF($N595="","",IF($N595&lt;=TODAY(),"DUE","")))</f>
        <v/>
      </c>
      <c r="P595" s="65" t="inlineStr">
        <is>
          <t>v3 addition</t>
        </is>
      </c>
    </row>
    <row r="596">
      <c r="A596" s="65" t="n">
        <v>595</v>
      </c>
      <c r="B596" s="65" t="inlineStr">
        <is>
          <t>5. Trees &amp; Graphs - Core</t>
        </is>
      </c>
      <c r="C596" s="65" t="inlineStr">
        <is>
          <t>18. Trees &amp; BST</t>
        </is>
      </c>
      <c r="D596" s="65" t="inlineStr">
        <is>
          <t>Path sum</t>
        </is>
      </c>
      <c r="E596" s="65" t="inlineStr">
        <is>
          <t>Binary Tree Paths</t>
        </is>
      </c>
      <c r="F596" s="65" t="inlineStr">
        <is>
          <t>Easy</t>
        </is>
      </c>
      <c r="G596" s="65" t="inlineStr">
        <is>
          <t>Core</t>
        </is>
      </c>
      <c r="H596" s="65" t="inlineStr">
        <is>
          <t>LeetCode</t>
        </is>
      </c>
      <c r="I596" s="65" t="inlineStr">
        <is>
          <t>https://leetcode.com/problems/binary-tree-paths/</t>
        </is>
      </c>
      <c r="J596" s="65" t="inlineStr">
        <is>
          <t>Not Started</t>
        </is>
      </c>
      <c r="K596" s="65" t="n"/>
      <c r="L596" s="65" t="n"/>
      <c r="M596" s="71" t="n"/>
      <c r="N596" s="71">
        <f>IF($M596="","",$M596+IF($K596="",Dashboard!$M$9,INDEX(Dashboard!$M$5:$M$9,$K596)))</f>
        <v/>
      </c>
      <c r="O596" s="65">
        <f>IF(OR($J596="Attempted",$J596="Revisit"),"DUE",IF($N596="","",IF($N596&lt;=TODAY(),"DUE","")))</f>
        <v/>
      </c>
      <c r="P596" s="65" t="inlineStr">
        <is>
          <t>v3 addition</t>
        </is>
      </c>
    </row>
    <row r="597">
      <c r="A597" s="65" t="n">
        <v>596</v>
      </c>
      <c r="B597" s="65" t="inlineStr">
        <is>
          <t>5. Trees &amp; Graphs - Core</t>
        </is>
      </c>
      <c r="C597" s="65" t="inlineStr">
        <is>
          <t>18. Trees &amp; BST</t>
        </is>
      </c>
      <c r="D597" s="65" t="inlineStr">
        <is>
          <t>Path sum</t>
        </is>
      </c>
      <c r="E597" s="65" t="inlineStr">
        <is>
          <t>Path Sum II</t>
        </is>
      </c>
      <c r="F597" s="65" t="inlineStr">
        <is>
          <t>Medium</t>
        </is>
      </c>
      <c r="G597" s="65" t="inlineStr">
        <is>
          <t>Core</t>
        </is>
      </c>
      <c r="H597" s="65" t="inlineStr">
        <is>
          <t>LeetCode</t>
        </is>
      </c>
      <c r="I597" s="65" t="inlineStr">
        <is>
          <t>https://leetcode.com/problems/path-sum-ii/</t>
        </is>
      </c>
      <c r="J597" s="65" t="inlineStr">
        <is>
          <t>Not Started</t>
        </is>
      </c>
      <c r="K597" s="65" t="n"/>
      <c r="L597" s="65" t="n"/>
      <c r="M597" s="71" t="n"/>
      <c r="N597" s="71">
        <f>IF($M597="","",$M597+IF($K597="",Dashboard!$M$9,INDEX(Dashboard!$M$5:$M$9,$K597)))</f>
        <v/>
      </c>
      <c r="O597" s="65">
        <f>IF(OR($J597="Attempted",$J597="Revisit"),"DUE",IF($N597="","",IF($N597&lt;=TODAY(),"DUE","")))</f>
        <v/>
      </c>
      <c r="P597" s="65" t="inlineStr">
        <is>
          <t>v3 addition</t>
        </is>
      </c>
    </row>
    <row r="598">
      <c r="A598" s="65" t="n">
        <v>597</v>
      </c>
      <c r="B598" s="65" t="inlineStr">
        <is>
          <t>5. Trees &amp; Graphs - Core</t>
        </is>
      </c>
      <c r="C598" s="65" t="inlineStr">
        <is>
          <t>18. Trees &amp; BST</t>
        </is>
      </c>
      <c r="D598" s="65" t="inlineStr">
        <is>
          <t>Construction</t>
        </is>
      </c>
      <c r="E598" s="65" t="inlineStr">
        <is>
          <t>Convert Sorted Array to BST</t>
        </is>
      </c>
      <c r="F598" s="65" t="inlineStr">
        <is>
          <t>Easy</t>
        </is>
      </c>
      <c r="G598" s="65" t="inlineStr">
        <is>
          <t>Core</t>
        </is>
      </c>
      <c r="H598" s="65" t="inlineStr">
        <is>
          <t>LeetCode</t>
        </is>
      </c>
      <c r="I598" s="65" t="inlineStr">
        <is>
          <t>https://leetcode.com/problems/convert-sorted-array-to-binary-search-tree/</t>
        </is>
      </c>
      <c r="J598" s="65" t="inlineStr">
        <is>
          <t>Not Started</t>
        </is>
      </c>
      <c r="K598" s="65" t="n"/>
      <c r="L598" s="65" t="n"/>
      <c r="M598" s="71" t="n"/>
      <c r="N598" s="71">
        <f>IF($M598="","",$M598+IF($K598="",Dashboard!$M$9,INDEX(Dashboard!$M$5:$M$9,$K598)))</f>
        <v/>
      </c>
      <c r="O598" s="65">
        <f>IF(OR($J598="Attempted",$J598="Revisit"),"DUE",IF($N598="","",IF($N598&lt;=TODAY(),"DUE","")))</f>
        <v/>
      </c>
      <c r="P598" s="65" t="inlineStr">
        <is>
          <t>v3 addition</t>
        </is>
      </c>
    </row>
    <row r="599">
      <c r="A599" s="65" t="n">
        <v>598</v>
      </c>
      <c r="B599" s="65" t="inlineStr">
        <is>
          <t>5. Trees &amp; Graphs - Core</t>
        </is>
      </c>
      <c r="C599" s="65" t="inlineStr">
        <is>
          <t>18. Trees &amp; BST</t>
        </is>
      </c>
      <c r="D599" s="65" t="inlineStr">
        <is>
          <t>Construction</t>
        </is>
      </c>
      <c r="E599" s="65" t="inlineStr">
        <is>
          <t>Construct Binary Tree from Preorder and Inorder</t>
        </is>
      </c>
      <c r="F599" s="65" t="inlineStr">
        <is>
          <t>Medium</t>
        </is>
      </c>
      <c r="G599" s="65" t="inlineStr">
        <is>
          <t>Core</t>
        </is>
      </c>
      <c r="H599" s="65" t="inlineStr">
        <is>
          <t>LeetCode</t>
        </is>
      </c>
      <c r="I599" s="65" t="inlineStr">
        <is>
          <t>https://leetcode.com/problems/construct-binary-tree-from-preorder-and-inorder-traversal/</t>
        </is>
      </c>
      <c r="J599" s="65" t="inlineStr">
        <is>
          <t>Not Started</t>
        </is>
      </c>
      <c r="K599" s="65" t="n"/>
      <c r="L599" s="65" t="n"/>
      <c r="M599" s="71" t="n"/>
      <c r="N599" s="71">
        <f>IF($M599="","",$M599+IF($K599="",Dashboard!$M$9,INDEX(Dashboard!$M$5:$M$9,$K599)))</f>
        <v/>
      </c>
      <c r="O599" s="65">
        <f>IF(OR($J599="Attempted",$J599="Revisit"),"DUE",IF($N599="","",IF($N599&lt;=TODAY(),"DUE","")))</f>
        <v/>
      </c>
      <c r="P599" s="65" t="inlineStr">
        <is>
          <t>v3 addition</t>
        </is>
      </c>
    </row>
    <row r="600">
      <c r="A600" s="65" t="n">
        <v>599</v>
      </c>
      <c r="B600" s="65" t="inlineStr">
        <is>
          <t>5. Trees &amp; Graphs - Core</t>
        </is>
      </c>
      <c r="C600" s="65" t="inlineStr">
        <is>
          <t>18. Trees &amp; BST</t>
        </is>
      </c>
      <c r="D600" s="65" t="inlineStr">
        <is>
          <t>LCA</t>
        </is>
      </c>
      <c r="E600" s="65" t="inlineStr">
        <is>
          <t>Lowest Common Ancestor of a Binary Tree</t>
        </is>
      </c>
      <c r="F600" s="65" t="inlineStr">
        <is>
          <t>Medium</t>
        </is>
      </c>
      <c r="G600" s="65" t="inlineStr">
        <is>
          <t>Core</t>
        </is>
      </c>
      <c r="H600" s="65" t="inlineStr">
        <is>
          <t>LeetCode</t>
        </is>
      </c>
      <c r="I600" s="65" t="inlineStr">
        <is>
          <t>https://leetcode.com/problems/lowest-common-ancestor-of-a-binary-tree/</t>
        </is>
      </c>
      <c r="J600" s="65" t="inlineStr">
        <is>
          <t>Not Started</t>
        </is>
      </c>
      <c r="K600" s="65" t="n"/>
      <c r="L600" s="65" t="n"/>
      <c r="M600" s="71" t="n"/>
      <c r="N600" s="71">
        <f>IF($M600="","",$M600+IF($K600="",Dashboard!$M$9,INDEX(Dashboard!$M$5:$M$9,$K600)))</f>
        <v/>
      </c>
      <c r="O600" s="65">
        <f>IF(OR($J600="Attempted",$J600="Revisit"),"DUE",IF($N600="","",IF($N600&lt;=TODAY(),"DUE","")))</f>
        <v/>
      </c>
      <c r="P600" s="65" t="inlineStr">
        <is>
          <t>v3 addition</t>
        </is>
      </c>
    </row>
    <row r="601">
      <c r="A601" s="65" t="n">
        <v>600</v>
      </c>
      <c r="B601" s="65" t="inlineStr">
        <is>
          <t>5. Trees &amp; Graphs - Core</t>
        </is>
      </c>
      <c r="C601" s="65" t="inlineStr">
        <is>
          <t>18. Trees &amp; BST</t>
        </is>
      </c>
      <c r="D601" s="65" t="inlineStr">
        <is>
          <t>LCA</t>
        </is>
      </c>
      <c r="E601" s="65" t="inlineStr">
        <is>
          <t>Lowest Common Ancestor of a BST</t>
        </is>
      </c>
      <c r="F601" s="65" t="inlineStr">
        <is>
          <t>Medium</t>
        </is>
      </c>
      <c r="G601" s="65" t="inlineStr">
        <is>
          <t>Core</t>
        </is>
      </c>
      <c r="H601" s="65" t="inlineStr">
        <is>
          <t>LeetCode</t>
        </is>
      </c>
      <c r="I601" s="65" t="inlineStr">
        <is>
          <t>https://leetcode.com/problems/lowest-common-ancestor-of-a-binary-search-tree/</t>
        </is>
      </c>
      <c r="J601" s="65" t="inlineStr">
        <is>
          <t>Not Started</t>
        </is>
      </c>
      <c r="K601" s="65" t="n"/>
      <c r="L601" s="65" t="n"/>
      <c r="M601" s="71" t="n"/>
      <c r="N601" s="71">
        <f>IF($M601="","",$M601+IF($K601="",Dashboard!$M$9,INDEX(Dashboard!$M$5:$M$9,$K601)))</f>
        <v/>
      </c>
      <c r="O601" s="65">
        <f>IF(OR($J601="Attempted",$J601="Revisit"),"DUE",IF($N601="","",IF($N601&lt;=TODAY(),"DUE","")))</f>
        <v/>
      </c>
      <c r="P601" s="65" t="inlineStr">
        <is>
          <t>v3 addition</t>
        </is>
      </c>
    </row>
    <row r="602">
      <c r="A602" s="65" t="n">
        <v>601</v>
      </c>
      <c r="B602" s="65" t="inlineStr">
        <is>
          <t>5. Trees &amp; Graphs - Core</t>
        </is>
      </c>
      <c r="C602" s="65" t="inlineStr">
        <is>
          <t>18. Trees &amp; BST</t>
        </is>
      </c>
      <c r="D602" s="65" t="inlineStr">
        <is>
          <t>Distance</t>
        </is>
      </c>
      <c r="E602" s="65" t="inlineStr">
        <is>
          <t>Minimum Distance Between BST Nodes</t>
        </is>
      </c>
      <c r="F602" s="65" t="inlineStr">
        <is>
          <t>Easy</t>
        </is>
      </c>
      <c r="G602" s="65" t="inlineStr">
        <is>
          <t>Core</t>
        </is>
      </c>
      <c r="H602" s="65" t="inlineStr">
        <is>
          <t>LeetCode</t>
        </is>
      </c>
      <c r="I602" s="65" t="inlineStr">
        <is>
          <t>https://leetcode.com/problems/minimum-distance-between-bst-nodes/</t>
        </is>
      </c>
      <c r="J602" s="65" t="inlineStr">
        <is>
          <t>Not Started</t>
        </is>
      </c>
      <c r="K602" s="65" t="n"/>
      <c r="L602" s="65" t="n"/>
      <c r="M602" s="71" t="n"/>
      <c r="N602" s="71">
        <f>IF($M602="","",$M602+IF($K602="",Dashboard!$M$9,INDEX(Dashboard!$M$5:$M$9,$K602)))</f>
        <v/>
      </c>
      <c r="O602" s="65">
        <f>IF(OR($J602="Attempted",$J602="Revisit"),"DUE",IF($N602="","",IF($N602&lt;=TODAY(),"DUE","")))</f>
        <v/>
      </c>
      <c r="P602" s="65" t="inlineStr">
        <is>
          <t>v3 addition</t>
        </is>
      </c>
    </row>
    <row r="603">
      <c r="A603" s="65" t="n">
        <v>602</v>
      </c>
      <c r="B603" s="65" t="inlineStr">
        <is>
          <t>5. Trees &amp; Graphs - Core</t>
        </is>
      </c>
      <c r="C603" s="65" t="inlineStr">
        <is>
          <t>18. Trees &amp; BST</t>
        </is>
      </c>
      <c r="D603" s="65" t="inlineStr">
        <is>
          <t>Distance</t>
        </is>
      </c>
      <c r="E603" s="65" t="inlineStr">
        <is>
          <t>All Nodes Distance K in Binary Tree</t>
        </is>
      </c>
      <c r="F603" s="65" t="inlineStr">
        <is>
          <t>Medium</t>
        </is>
      </c>
      <c r="G603" s="65" t="inlineStr">
        <is>
          <t>Core</t>
        </is>
      </c>
      <c r="H603" s="65" t="inlineStr">
        <is>
          <t>LeetCode</t>
        </is>
      </c>
      <c r="I603" s="65" t="inlineStr">
        <is>
          <t>https://leetcode.com/problems/all-nodes-distance-k-in-binary-tree/</t>
        </is>
      </c>
      <c r="J603" s="65" t="inlineStr">
        <is>
          <t>Not Started</t>
        </is>
      </c>
      <c r="K603" s="65" t="n"/>
      <c r="L603" s="65" t="n"/>
      <c r="M603" s="71" t="n"/>
      <c r="N603" s="71">
        <f>IF($M603="","",$M603+IF($K603="",Dashboard!$M$9,INDEX(Dashboard!$M$5:$M$9,$K603)))</f>
        <v/>
      </c>
      <c r="O603" s="65">
        <f>IF(OR($J603="Attempted",$J603="Revisit"),"DUE",IF($N603="","",IF($N603&lt;=TODAY(),"DUE","")))</f>
        <v/>
      </c>
      <c r="P603" s="65" t="n"/>
    </row>
    <row r="604">
      <c r="A604" s="65" t="n">
        <v>603</v>
      </c>
      <c r="B604" s="65" t="inlineStr">
        <is>
          <t>5. Trees &amp; Graphs - Core</t>
        </is>
      </c>
      <c r="C604" s="65" t="inlineStr">
        <is>
          <t>18. Trees &amp; BST</t>
        </is>
      </c>
      <c r="D604" s="65" t="inlineStr">
        <is>
          <t>Distance</t>
        </is>
      </c>
      <c r="E604" s="65" t="inlineStr">
        <is>
          <t>Amount of Time for Binary Tree to Be Infected</t>
        </is>
      </c>
      <c r="F604" s="65" t="inlineStr">
        <is>
          <t>Medium</t>
        </is>
      </c>
      <c r="G604" s="65" t="inlineStr">
        <is>
          <t>Core</t>
        </is>
      </c>
      <c r="H604" s="65" t="inlineStr">
        <is>
          <t>LeetCode</t>
        </is>
      </c>
      <c r="I604" s="65" t="inlineStr">
        <is>
          <t>https://leetcode.com/problems/amount-of-time-for-binary-tree-to-be-infected/</t>
        </is>
      </c>
      <c r="J604" s="65" t="inlineStr">
        <is>
          <t>Not Started</t>
        </is>
      </c>
      <c r="K604" s="65" t="n"/>
      <c r="L604" s="65" t="n"/>
      <c r="M604" s="71" t="n"/>
      <c r="N604" s="71">
        <f>IF($M604="","",$M604+IF($K604="",Dashboard!$M$9,INDEX(Dashboard!$M$5:$M$9,$K604)))</f>
        <v/>
      </c>
      <c r="O604" s="65">
        <f>IF(OR($J604="Attempted",$J604="Revisit"),"DUE",IF($N604="","",IF($N604&lt;=TODAY(),"DUE","")))</f>
        <v/>
      </c>
      <c r="P604" s="65" t="n"/>
    </row>
    <row r="605">
      <c r="A605" s="65" t="n">
        <v>604</v>
      </c>
      <c r="B605" s="65" t="inlineStr">
        <is>
          <t>5. Trees &amp; Graphs - Core</t>
        </is>
      </c>
      <c r="C605" s="65" t="inlineStr">
        <is>
          <t>18. Trees &amp; BST</t>
        </is>
      </c>
      <c r="D605" s="65" t="inlineStr">
        <is>
          <t>BST basics</t>
        </is>
      </c>
      <c r="E605" s="65" t="inlineStr">
        <is>
          <t>Search in a Binary Search Tree</t>
        </is>
      </c>
      <c r="F605" s="65" t="inlineStr">
        <is>
          <t>Easy</t>
        </is>
      </c>
      <c r="G605" s="65" t="inlineStr">
        <is>
          <t>Core</t>
        </is>
      </c>
      <c r="H605" s="65" t="inlineStr">
        <is>
          <t>LeetCode</t>
        </is>
      </c>
      <c r="I605" s="65" t="inlineStr">
        <is>
          <t>https://leetcode.com/problems/search-in-a-binary-search-tree/</t>
        </is>
      </c>
      <c r="J605" s="65" t="inlineStr">
        <is>
          <t>Not Started</t>
        </is>
      </c>
      <c r="K605" s="65" t="n"/>
      <c r="L605" s="65" t="n"/>
      <c r="M605" s="71" t="n"/>
      <c r="N605" s="71">
        <f>IF($M605="","",$M605+IF($K605="",Dashboard!$M$9,INDEX(Dashboard!$M$5:$M$9,$K605)))</f>
        <v/>
      </c>
      <c r="O605" s="65">
        <f>IF(OR($J605="Attempted",$J605="Revisit"),"DUE",IF($N605="","",IF($N605&lt;=TODAY(),"DUE","")))</f>
        <v/>
      </c>
      <c r="P605" s="65" t="inlineStr">
        <is>
          <t>v3 addition</t>
        </is>
      </c>
    </row>
    <row r="606">
      <c r="A606" s="65" t="n">
        <v>605</v>
      </c>
      <c r="B606" s="65" t="inlineStr">
        <is>
          <t>5. Trees &amp; Graphs - Core</t>
        </is>
      </c>
      <c r="C606" s="65" t="inlineStr">
        <is>
          <t>18. Trees &amp; BST</t>
        </is>
      </c>
      <c r="D606" s="65" t="inlineStr">
        <is>
          <t>BST basics</t>
        </is>
      </c>
      <c r="E606" s="65" t="inlineStr">
        <is>
          <t>Range Sum of BST</t>
        </is>
      </c>
      <c r="F606" s="65" t="inlineStr">
        <is>
          <t>Easy</t>
        </is>
      </c>
      <c r="G606" s="65" t="inlineStr">
        <is>
          <t>Core</t>
        </is>
      </c>
      <c r="H606" s="65" t="inlineStr">
        <is>
          <t>LeetCode</t>
        </is>
      </c>
      <c r="I606" s="65" t="inlineStr">
        <is>
          <t>https://leetcode.com/problems/range-sum-of-bst/</t>
        </is>
      </c>
      <c r="J606" s="65" t="inlineStr">
        <is>
          <t>Not Started</t>
        </is>
      </c>
      <c r="K606" s="65" t="n"/>
      <c r="L606" s="65" t="n"/>
      <c r="M606" s="71" t="n"/>
      <c r="N606" s="71">
        <f>IF($M606="","",$M606+IF($K606="",Dashboard!$M$9,INDEX(Dashboard!$M$5:$M$9,$K606)))</f>
        <v/>
      </c>
      <c r="O606" s="65">
        <f>IF(OR($J606="Attempted",$J606="Revisit"),"DUE",IF($N606="","",IF($N606&lt;=TODAY(),"DUE","")))</f>
        <v/>
      </c>
      <c r="P606" s="65" t="n"/>
    </row>
    <row r="607">
      <c r="A607" s="65" t="n">
        <v>606</v>
      </c>
      <c r="B607" s="65" t="inlineStr">
        <is>
          <t>5. Trees &amp; Graphs - Core</t>
        </is>
      </c>
      <c r="C607" s="65" t="inlineStr">
        <is>
          <t>18. Trees &amp; BST</t>
        </is>
      </c>
      <c r="D607" s="65" t="inlineStr">
        <is>
          <t>BST properties</t>
        </is>
      </c>
      <c r="E607" s="65" t="inlineStr">
        <is>
          <t>Two Sum IV - Input is a BST</t>
        </is>
      </c>
      <c r="F607" s="65" t="inlineStr">
        <is>
          <t>Easy</t>
        </is>
      </c>
      <c r="G607" s="65" t="inlineStr">
        <is>
          <t>Core</t>
        </is>
      </c>
      <c r="H607" s="65" t="inlineStr">
        <is>
          <t>LeetCode</t>
        </is>
      </c>
      <c r="I607" s="65" t="inlineStr">
        <is>
          <t>https://leetcode.com/problems/two-sum-iv-input-is-a-bst/</t>
        </is>
      </c>
      <c r="J607" s="65" t="inlineStr">
        <is>
          <t>Not Started</t>
        </is>
      </c>
      <c r="K607" s="65" t="n"/>
      <c r="L607" s="65" t="n"/>
      <c r="M607" s="71" t="n"/>
      <c r="N607" s="71">
        <f>IF($M607="","",$M607+IF($K607="",Dashboard!$M$9,INDEX(Dashboard!$M$5:$M$9,$K607)))</f>
        <v/>
      </c>
      <c r="O607" s="65">
        <f>IF(OR($J607="Attempted",$J607="Revisit"),"DUE",IF($N607="","",IF($N607&lt;=TODAY(),"DUE","")))</f>
        <v/>
      </c>
      <c r="P607" s="65" t="n"/>
    </row>
    <row r="608">
      <c r="A608" s="65" t="n">
        <v>607</v>
      </c>
      <c r="B608" s="65" t="inlineStr">
        <is>
          <t>5. Trees &amp; Graphs - Core</t>
        </is>
      </c>
      <c r="C608" s="65" t="inlineStr">
        <is>
          <t>18. Trees &amp; BST</t>
        </is>
      </c>
      <c r="D608" s="65" t="inlineStr">
        <is>
          <t>BST properties</t>
        </is>
      </c>
      <c r="E608" s="65" t="inlineStr">
        <is>
          <t>Validate Binary Search Tree</t>
        </is>
      </c>
      <c r="F608" s="65" t="inlineStr">
        <is>
          <t>Medium</t>
        </is>
      </c>
      <c r="G608" s="65" t="inlineStr">
        <is>
          <t>Core</t>
        </is>
      </c>
      <c r="H608" s="65" t="inlineStr">
        <is>
          <t>LeetCode</t>
        </is>
      </c>
      <c r="I608" s="65" t="inlineStr">
        <is>
          <t>https://leetcode.com/problems/validate-binary-search-tree/</t>
        </is>
      </c>
      <c r="J608" s="65" t="inlineStr">
        <is>
          <t>Not Started</t>
        </is>
      </c>
      <c r="K608" s="65" t="n"/>
      <c r="L608" s="65" t="n"/>
      <c r="M608" s="71" t="n"/>
      <c r="N608" s="71">
        <f>IF($M608="","",$M608+IF($K608="",Dashboard!$M$9,INDEX(Dashboard!$M$5:$M$9,$K608)))</f>
        <v/>
      </c>
      <c r="O608" s="65">
        <f>IF(OR($J608="Attempted",$J608="Revisit"),"DUE",IF($N608="","",IF($N608&lt;=TODAY(),"DUE","")))</f>
        <v/>
      </c>
      <c r="P608" s="65" t="n"/>
    </row>
    <row r="609">
      <c r="A609" s="65" t="n">
        <v>608</v>
      </c>
      <c r="B609" s="65" t="inlineStr">
        <is>
          <t>5. Trees &amp; Graphs - Core</t>
        </is>
      </c>
      <c r="C609" s="65" t="inlineStr">
        <is>
          <t>18. Trees &amp; BST</t>
        </is>
      </c>
      <c r="D609" s="65" t="inlineStr">
        <is>
          <t>BST properties</t>
        </is>
      </c>
      <c r="E609" s="65" t="inlineStr">
        <is>
          <t>Kth Smallest Element in a BST</t>
        </is>
      </c>
      <c r="F609" s="65" t="inlineStr">
        <is>
          <t>Medium</t>
        </is>
      </c>
      <c r="G609" s="65" t="inlineStr">
        <is>
          <t>Core</t>
        </is>
      </c>
      <c r="H609" s="65" t="inlineStr">
        <is>
          <t>LeetCode</t>
        </is>
      </c>
      <c r="I609" s="65" t="inlineStr">
        <is>
          <t>https://leetcode.com/problems/kth-smallest-element-in-a-bst/</t>
        </is>
      </c>
      <c r="J609" s="65" t="inlineStr">
        <is>
          <t>Not Started</t>
        </is>
      </c>
      <c r="K609" s="65" t="n"/>
      <c r="L609" s="65" t="n"/>
      <c r="M609" s="71" t="n"/>
      <c r="N609" s="71">
        <f>IF($M609="","",$M609+IF($K609="",Dashboard!$M$9,INDEX(Dashboard!$M$5:$M$9,$K609)))</f>
        <v/>
      </c>
      <c r="O609" s="65">
        <f>IF(OR($J609="Attempted",$J609="Revisit"),"DUE",IF($N609="","",IF($N609&lt;=TODAY(),"DUE","")))</f>
        <v/>
      </c>
      <c r="P609" s="65" t="n"/>
    </row>
    <row r="610">
      <c r="A610" s="65" t="n">
        <v>609</v>
      </c>
      <c r="B610" s="65" t="inlineStr">
        <is>
          <t>5. Trees &amp; Graphs - Core</t>
        </is>
      </c>
      <c r="C610" s="65" t="inlineStr">
        <is>
          <t>19. Tries</t>
        </is>
      </c>
      <c r="D610" s="65" t="inlineStr">
        <is>
          <t>Design</t>
        </is>
      </c>
      <c r="E610" s="65" t="inlineStr">
        <is>
          <t>Implement Trie (Prefix Tree)</t>
        </is>
      </c>
      <c r="F610" s="65" t="inlineStr">
        <is>
          <t>Medium</t>
        </is>
      </c>
      <c r="G610" s="65" t="inlineStr">
        <is>
          <t>Core</t>
        </is>
      </c>
      <c r="H610" s="65" t="inlineStr">
        <is>
          <t>LeetCode</t>
        </is>
      </c>
      <c r="I610" s="65" t="inlineStr">
        <is>
          <t>https://leetcode.com/problems/implement-trie-prefix-tree/</t>
        </is>
      </c>
      <c r="J610" s="65" t="inlineStr">
        <is>
          <t>Not Started</t>
        </is>
      </c>
      <c r="K610" s="65" t="n"/>
      <c r="L610" s="65" t="n"/>
      <c r="M610" s="71" t="n"/>
      <c r="N610" s="71">
        <f>IF($M610="","",$M610+IF($K610="",Dashboard!$M$9,INDEX(Dashboard!$M$5:$M$9,$K610)))</f>
        <v/>
      </c>
      <c r="O610" s="65">
        <f>IF(OR($J610="Attempted",$J610="Revisit"),"DUE",IF($N610="","",IF($N610&lt;=TODAY(),"DUE","")))</f>
        <v/>
      </c>
      <c r="P610" s="65" t="n"/>
    </row>
    <row r="611">
      <c r="A611" s="65" t="n">
        <v>610</v>
      </c>
      <c r="B611" s="65" t="inlineStr">
        <is>
          <t>5. Trees &amp; Graphs - Core</t>
        </is>
      </c>
      <c r="C611" s="65" t="inlineStr">
        <is>
          <t>19. Tries</t>
        </is>
      </c>
      <c r="D611" s="65" t="inlineStr">
        <is>
          <t>Design</t>
        </is>
      </c>
      <c r="E611" s="65" t="inlineStr">
        <is>
          <t>Design Add and Search Words Data Structure</t>
        </is>
      </c>
      <c r="F611" s="65" t="inlineStr">
        <is>
          <t>Medium</t>
        </is>
      </c>
      <c r="G611" s="65" t="inlineStr">
        <is>
          <t>Core</t>
        </is>
      </c>
      <c r="H611" s="65" t="inlineStr">
        <is>
          <t>LeetCode</t>
        </is>
      </c>
      <c r="I611" s="65" t="inlineStr">
        <is>
          <t>https://leetcode.com/problems/design-add-and-search-words-data-structure/</t>
        </is>
      </c>
      <c r="J611" s="65" t="inlineStr">
        <is>
          <t>Not Started</t>
        </is>
      </c>
      <c r="K611" s="65" t="n"/>
      <c r="L611" s="65" t="n"/>
      <c r="M611" s="71" t="n"/>
      <c r="N611" s="71">
        <f>IF($M611="","",$M611+IF($K611="",Dashboard!$M$9,INDEX(Dashboard!$M$5:$M$9,$K611)))</f>
        <v/>
      </c>
      <c r="O611" s="65">
        <f>IF(OR($J611="Attempted",$J611="Revisit"),"DUE",IF($N611="","",IF($N611&lt;=TODAY(),"DUE","")))</f>
        <v/>
      </c>
      <c r="P611" s="65" t="n"/>
    </row>
    <row r="612">
      <c r="A612" s="65" t="n">
        <v>611</v>
      </c>
      <c r="B612" s="65" t="inlineStr">
        <is>
          <t>5. Trees &amp; Graphs - Core</t>
        </is>
      </c>
      <c r="C612" s="65" t="inlineStr">
        <is>
          <t>19. Tries</t>
        </is>
      </c>
      <c r="D612" s="65" t="inlineStr">
        <is>
          <t>Prefix search</t>
        </is>
      </c>
      <c r="E612" s="65" t="inlineStr">
        <is>
          <t>Replace Words</t>
        </is>
      </c>
      <c r="F612" s="65" t="inlineStr">
        <is>
          <t>Medium</t>
        </is>
      </c>
      <c r="G612" s="65" t="inlineStr">
        <is>
          <t>Core</t>
        </is>
      </c>
      <c r="H612" s="65" t="inlineStr">
        <is>
          <t>LeetCode</t>
        </is>
      </c>
      <c r="I612" s="65" t="inlineStr">
        <is>
          <t>https://leetcode.com/problems/replace-words/</t>
        </is>
      </c>
      <c r="J612" s="65" t="inlineStr">
        <is>
          <t>Not Started</t>
        </is>
      </c>
      <c r="K612" s="65" t="n"/>
      <c r="L612" s="65" t="n"/>
      <c r="M612" s="71" t="n"/>
      <c r="N612" s="71">
        <f>IF($M612="","",$M612+IF($K612="",Dashboard!$M$9,INDEX(Dashboard!$M$5:$M$9,$K612)))</f>
        <v/>
      </c>
      <c r="O612" s="65">
        <f>IF(OR($J612="Attempted",$J612="Revisit"),"DUE",IF($N612="","",IF($N612&lt;=TODAY(),"DUE","")))</f>
        <v/>
      </c>
      <c r="P612" s="65" t="n"/>
    </row>
    <row r="613">
      <c r="A613" s="65" t="n">
        <v>612</v>
      </c>
      <c r="B613" s="65" t="inlineStr">
        <is>
          <t>5. Trees &amp; Graphs - Core</t>
        </is>
      </c>
      <c r="C613" s="65" t="inlineStr">
        <is>
          <t>19. Tries</t>
        </is>
      </c>
      <c r="D613" s="65" t="inlineStr">
        <is>
          <t>Prefix search</t>
        </is>
      </c>
      <c r="E613" s="65" t="inlineStr">
        <is>
          <t>Longest Word in Dictionary</t>
        </is>
      </c>
      <c r="F613" s="65" t="inlineStr">
        <is>
          <t>Medium</t>
        </is>
      </c>
      <c r="G613" s="65" t="inlineStr">
        <is>
          <t>Core</t>
        </is>
      </c>
      <c r="H613" s="65" t="inlineStr">
        <is>
          <t>LeetCode</t>
        </is>
      </c>
      <c r="I613" s="65" t="inlineStr">
        <is>
          <t>https://leetcode.com/problems/longest-word-in-dictionary/</t>
        </is>
      </c>
      <c r="J613" s="65" t="inlineStr">
        <is>
          <t>Not Started</t>
        </is>
      </c>
      <c r="K613" s="65" t="n"/>
      <c r="L613" s="65" t="n"/>
      <c r="M613" s="71" t="n"/>
      <c r="N613" s="71">
        <f>IF($M613="","",$M613+IF($K613="",Dashboard!$M$9,INDEX(Dashboard!$M$5:$M$9,$K613)))</f>
        <v/>
      </c>
      <c r="O613" s="65">
        <f>IF(OR($J613="Attempted",$J613="Revisit"),"DUE",IF($N613="","",IF($N613&lt;=TODAY(),"DUE","")))</f>
        <v/>
      </c>
      <c r="P613" s="65" t="inlineStr">
        <is>
          <t>v3 addition</t>
        </is>
      </c>
    </row>
    <row r="614">
      <c r="A614" s="65" t="n">
        <v>613</v>
      </c>
      <c r="B614" s="65" t="inlineStr">
        <is>
          <t>5. Trees &amp; Graphs - Core</t>
        </is>
      </c>
      <c r="C614" s="65" t="inlineStr">
        <is>
          <t>19. Tries</t>
        </is>
      </c>
      <c r="D614" s="65" t="inlineStr">
        <is>
          <t>Counting</t>
        </is>
      </c>
      <c r="E614" s="65" t="inlineStr">
        <is>
          <t>Count Prefix and Suffix Pairs I</t>
        </is>
      </c>
      <c r="F614" s="65" t="inlineStr">
        <is>
          <t>Easy</t>
        </is>
      </c>
      <c r="G614" s="65" t="inlineStr">
        <is>
          <t>Core</t>
        </is>
      </c>
      <c r="H614" s="65" t="inlineStr">
        <is>
          <t>LeetCode</t>
        </is>
      </c>
      <c r="I614" s="65" t="inlineStr">
        <is>
          <t>https://leetcode.com/problems/count-prefix-and-suffix-pairs-i/</t>
        </is>
      </c>
      <c r="J614" s="65" t="inlineStr">
        <is>
          <t>Not Started</t>
        </is>
      </c>
      <c r="K614" s="65" t="n"/>
      <c r="L614" s="65" t="n"/>
      <c r="M614" s="71" t="n"/>
      <c r="N614" s="71">
        <f>IF($M614="","",$M614+IF($K614="",Dashboard!$M$9,INDEX(Dashboard!$M$5:$M$9,$K614)))</f>
        <v/>
      </c>
      <c r="O614" s="65">
        <f>IF(OR($J614="Attempted",$J614="Revisit"),"DUE",IF($N614="","",IF($N614&lt;=TODAY(),"DUE","")))</f>
        <v/>
      </c>
      <c r="P614" s="65" t="inlineStr">
        <is>
          <t>v3 addition</t>
        </is>
      </c>
    </row>
    <row r="615">
      <c r="A615" s="65" t="n">
        <v>614</v>
      </c>
      <c r="B615" s="65" t="inlineStr">
        <is>
          <t>5. Trees &amp; Graphs - Core</t>
        </is>
      </c>
      <c r="C615" s="65" t="inlineStr">
        <is>
          <t>19. Tries</t>
        </is>
      </c>
      <c r="D615" s="65" t="inlineStr">
        <is>
          <t>Trie + grid</t>
        </is>
      </c>
      <c r="E615" s="65" t="inlineStr">
        <is>
          <t>Word Search II</t>
        </is>
      </c>
      <c r="F615" s="65" t="inlineStr">
        <is>
          <t>Hard</t>
        </is>
      </c>
      <c r="G615" s="65" t="inlineStr">
        <is>
          <t>Core</t>
        </is>
      </c>
      <c r="H615" s="65" t="inlineStr">
        <is>
          <t>LeetCode</t>
        </is>
      </c>
      <c r="I615" s="65" t="inlineStr">
        <is>
          <t>https://leetcode.com/problems/word-search-ii/</t>
        </is>
      </c>
      <c r="J615" s="65" t="inlineStr">
        <is>
          <t>Not Started</t>
        </is>
      </c>
      <c r="K615" s="65" t="n"/>
      <c r="L615" s="65" t="n"/>
      <c r="M615" s="71" t="n"/>
      <c r="N615" s="71">
        <f>IF($M615="","",$M615+IF($K615="",Dashboard!$M$9,INDEX(Dashboard!$M$5:$M$9,$K615)))</f>
        <v/>
      </c>
      <c r="O615" s="65">
        <f>IF(OR($J615="Attempted",$J615="Revisit"),"DUE",IF($N615="","",IF($N615&lt;=TODAY(),"DUE","")))</f>
        <v/>
      </c>
      <c r="P615" s="65" t="inlineStr">
        <is>
          <t>v3 addition</t>
        </is>
      </c>
    </row>
    <row r="616">
      <c r="A616" s="65" t="n">
        <v>615</v>
      </c>
      <c r="B616" s="65" t="inlineStr">
        <is>
          <t>5. Trees &amp; Graphs - Core</t>
        </is>
      </c>
      <c r="C616" s="65" t="inlineStr">
        <is>
          <t>19. Tries</t>
        </is>
      </c>
      <c r="D616" s="65" t="inlineStr">
        <is>
          <t>Bit trie</t>
        </is>
      </c>
      <c r="E616" s="65" t="inlineStr">
        <is>
          <t>Maximum XOR of Two Numbers in an Array</t>
        </is>
      </c>
      <c r="F616" s="65" t="inlineStr">
        <is>
          <t>Medium</t>
        </is>
      </c>
      <c r="G616" s="65" t="inlineStr">
        <is>
          <t>Core</t>
        </is>
      </c>
      <c r="H616" s="65" t="inlineStr">
        <is>
          <t>LeetCode</t>
        </is>
      </c>
      <c r="I616" s="65" t="inlineStr">
        <is>
          <t>https://leetcode.com/problems/maximum-xor-of-two-numbers-in-an-array/</t>
        </is>
      </c>
      <c r="J616" s="65" t="inlineStr">
        <is>
          <t>Not Started</t>
        </is>
      </c>
      <c r="K616" s="65" t="n"/>
      <c r="L616" s="65" t="n"/>
      <c r="M616" s="71" t="n"/>
      <c r="N616" s="71">
        <f>IF($M616="","",$M616+IF($K616="",Dashboard!$M$9,INDEX(Dashboard!$M$5:$M$9,$K616)))</f>
        <v/>
      </c>
      <c r="O616" s="65">
        <f>IF(OR($J616="Attempted",$J616="Revisit"),"DUE",IF($N616="","",IF($N616&lt;=TODAY(),"DUE","")))</f>
        <v/>
      </c>
      <c r="P616" s="65" t="inlineStr">
        <is>
          <t>v3 addition</t>
        </is>
      </c>
    </row>
    <row r="617">
      <c r="A617" s="65" t="n">
        <v>616</v>
      </c>
      <c r="B617" s="65" t="inlineStr">
        <is>
          <t>5. Trees &amp; Graphs - Core</t>
        </is>
      </c>
      <c r="C617" s="65" t="inlineStr">
        <is>
          <t>20. Graphs</t>
        </is>
      </c>
      <c r="D617" s="65" t="inlineStr">
        <is>
          <t>Representation</t>
        </is>
      </c>
      <c r="E617" s="65" t="inlineStr">
        <is>
          <t>Print Adjacency List</t>
        </is>
      </c>
      <c r="F617" s="65" t="inlineStr">
        <is>
          <t>Easy</t>
        </is>
      </c>
      <c r="G617" s="65" t="inlineStr">
        <is>
          <t>Core</t>
        </is>
      </c>
      <c r="H617" s="65" t="inlineStr">
        <is>
          <t>GeeksforGeeks</t>
        </is>
      </c>
      <c r="I617" s="65" t="inlineStr">
        <is>
          <t>https://www.geeksforgeeks.org/problems/print-adjacency-list-1587115620/1</t>
        </is>
      </c>
      <c r="J617" s="65" t="inlineStr">
        <is>
          <t>Not Started</t>
        </is>
      </c>
      <c r="K617" s="65" t="n"/>
      <c r="L617" s="65" t="n"/>
      <c r="M617" s="71" t="n"/>
      <c r="N617" s="71">
        <f>IF($M617="","",$M617+IF($K617="",Dashboard!$M$9,INDEX(Dashboard!$M$5:$M$9,$K617)))</f>
        <v/>
      </c>
      <c r="O617" s="65">
        <f>IF(OR($J617="Attempted",$J617="Revisit"),"DUE",IF($N617="","",IF($N617&lt;=TODAY(),"DUE","")))</f>
        <v/>
      </c>
      <c r="P617" s="65" t="inlineStr">
        <is>
          <t>v3 addition</t>
        </is>
      </c>
    </row>
    <row r="618">
      <c r="A618" s="65" t="n">
        <v>617</v>
      </c>
      <c r="B618" s="65" t="inlineStr">
        <is>
          <t>5. Trees &amp; Graphs - Core</t>
        </is>
      </c>
      <c r="C618" s="65" t="inlineStr">
        <is>
          <t>20. Graphs</t>
        </is>
      </c>
      <c r="D618" s="65" t="inlineStr">
        <is>
          <t>Representation</t>
        </is>
      </c>
      <c r="E618" s="65" t="inlineStr">
        <is>
          <t>Convert Adjacency Matrix to Adjacency List</t>
        </is>
      </c>
      <c r="F618" s="65" t="inlineStr">
        <is>
          <t>Easy</t>
        </is>
      </c>
      <c r="G618" s="65" t="inlineStr">
        <is>
          <t>Core</t>
        </is>
      </c>
      <c r="H618" s="65" t="inlineStr">
        <is>
          <t>GeeksforGeeks</t>
        </is>
      </c>
      <c r="I618" s="65" t="inlineStr">
        <is>
          <t>https://www.geeksforgeeks.org/search/?q=Convert+Adjacency+Matrix+to+Adjacency+List</t>
        </is>
      </c>
      <c r="J618" s="65" t="inlineStr">
        <is>
          <t>Not Started</t>
        </is>
      </c>
      <c r="K618" s="65" t="n"/>
      <c r="L618" s="65" t="n"/>
      <c r="M618" s="71" t="n"/>
      <c r="N618" s="71">
        <f>IF($M618="","",$M618+IF($K618="",Dashboard!$M$9,INDEX(Dashboard!$M$5:$M$9,$K618)))</f>
        <v/>
      </c>
      <c r="O618" s="65">
        <f>IF(OR($J618="Attempted",$J618="Revisit"),"DUE",IF($N618="","",IF($N618&lt;=TODAY(),"DUE","")))</f>
        <v/>
      </c>
      <c r="P618" s="65" t="inlineStr">
        <is>
          <t>v3 addition</t>
        </is>
      </c>
    </row>
    <row r="619">
      <c r="A619" s="65" t="n">
        <v>618</v>
      </c>
      <c r="B619" s="65" t="inlineStr">
        <is>
          <t>5. Trees &amp; Graphs - Core</t>
        </is>
      </c>
      <c r="C619" s="65" t="inlineStr">
        <is>
          <t>20. Graphs</t>
        </is>
      </c>
      <c r="D619" s="65" t="inlineStr">
        <is>
          <t>Representation</t>
        </is>
      </c>
      <c r="E619" s="65" t="inlineStr">
        <is>
          <t>Transpose of a Directed Graph</t>
        </is>
      </c>
      <c r="F619" s="65" t="inlineStr">
        <is>
          <t>Easy</t>
        </is>
      </c>
      <c r="G619" s="65" t="inlineStr">
        <is>
          <t>Core</t>
        </is>
      </c>
      <c r="H619" s="65" t="inlineStr">
        <is>
          <t>GeeksforGeeks</t>
        </is>
      </c>
      <c r="I619" s="65" t="inlineStr">
        <is>
          <t>https://www.geeksforgeeks.org/search/?q=Transpose+of+a+Directed+Graph</t>
        </is>
      </c>
      <c r="J619" s="65" t="inlineStr">
        <is>
          <t>Not Started</t>
        </is>
      </c>
      <c r="K619" s="65" t="n"/>
      <c r="L619" s="65" t="n"/>
      <c r="M619" s="71" t="n"/>
      <c r="N619" s="71">
        <f>IF($M619="","",$M619+IF($K619="",Dashboard!$M$9,INDEX(Dashboard!$M$5:$M$9,$K619)))</f>
        <v/>
      </c>
      <c r="O619" s="65">
        <f>IF(OR($J619="Attempted",$J619="Revisit"),"DUE",IF($N619="","",IF($N619&lt;=TODAY(),"DUE","")))</f>
        <v/>
      </c>
      <c r="P619" s="65" t="n"/>
    </row>
    <row r="620">
      <c r="A620" s="65" t="n">
        <v>619</v>
      </c>
      <c r="B620" s="65" t="inlineStr">
        <is>
          <t>5. Trees &amp; Graphs - Core</t>
        </is>
      </c>
      <c r="C620" s="65" t="inlineStr">
        <is>
          <t>20. Graphs</t>
        </is>
      </c>
      <c r="D620" s="65" t="inlineStr">
        <is>
          <t>Representation</t>
        </is>
      </c>
      <c r="E620" s="65" t="inlineStr">
        <is>
          <t>Find the Town Judge</t>
        </is>
      </c>
      <c r="F620" s="65" t="inlineStr">
        <is>
          <t>Easy</t>
        </is>
      </c>
      <c r="G620" s="65" t="inlineStr">
        <is>
          <t>Core</t>
        </is>
      </c>
      <c r="H620" s="65" t="inlineStr">
        <is>
          <t>LeetCode</t>
        </is>
      </c>
      <c r="I620" s="65" t="inlineStr">
        <is>
          <t>https://leetcode.com/problems/find-the-town-judge/</t>
        </is>
      </c>
      <c r="J620" s="65" t="inlineStr">
        <is>
          <t>Not Started</t>
        </is>
      </c>
      <c r="K620" s="65" t="n"/>
      <c r="L620" s="65" t="n"/>
      <c r="M620" s="71" t="n"/>
      <c r="N620" s="71">
        <f>IF($M620="","",$M620+IF($K620="",Dashboard!$M$9,INDEX(Dashboard!$M$5:$M$9,$K620)))</f>
        <v/>
      </c>
      <c r="O620" s="65">
        <f>IF(OR($J620="Attempted",$J620="Revisit"),"DUE",IF($N620="","",IF($N620&lt;=TODAY(),"DUE","")))</f>
        <v/>
      </c>
      <c r="P620" s="65" t="inlineStr">
        <is>
          <t>v3 addition</t>
        </is>
      </c>
    </row>
    <row r="621">
      <c r="A621" s="65" t="n">
        <v>620</v>
      </c>
      <c r="B621" s="65" t="inlineStr">
        <is>
          <t>5. Trees &amp; Graphs - Core</t>
        </is>
      </c>
      <c r="C621" s="65" t="inlineStr">
        <is>
          <t>20. Graphs</t>
        </is>
      </c>
      <c r="D621" s="65" t="inlineStr">
        <is>
          <t>Representation</t>
        </is>
      </c>
      <c r="E621" s="65" t="inlineStr">
        <is>
          <t>Find Center of Star Graph</t>
        </is>
      </c>
      <c r="F621" s="65" t="inlineStr">
        <is>
          <t>Easy</t>
        </is>
      </c>
      <c r="G621" s="65" t="inlineStr">
        <is>
          <t>Core</t>
        </is>
      </c>
      <c r="H621" s="65" t="inlineStr">
        <is>
          <t>LeetCode</t>
        </is>
      </c>
      <c r="I621" s="65" t="inlineStr">
        <is>
          <t>https://leetcode.com/problems/find-center-of-star-graph/</t>
        </is>
      </c>
      <c r="J621" s="65" t="inlineStr">
        <is>
          <t>Not Started</t>
        </is>
      </c>
      <c r="K621" s="65" t="n"/>
      <c r="L621" s="65" t="n"/>
      <c r="M621" s="71" t="n"/>
      <c r="N621" s="71">
        <f>IF($M621="","",$M621+IF($K621="",Dashboard!$M$9,INDEX(Dashboard!$M$5:$M$9,$K621)))</f>
        <v/>
      </c>
      <c r="O621" s="65">
        <f>IF(OR($J621="Attempted",$J621="Revisit"),"DUE",IF($N621="","",IF($N621&lt;=TODAY(),"DUE","")))</f>
        <v/>
      </c>
      <c r="P621" s="65" t="n"/>
    </row>
    <row r="622">
      <c r="A622" s="65" t="n">
        <v>621</v>
      </c>
      <c r="B622" s="65" t="inlineStr">
        <is>
          <t>5. Trees &amp; Graphs - Core</t>
        </is>
      </c>
      <c r="C622" s="65" t="inlineStr">
        <is>
          <t>20. Graphs</t>
        </is>
      </c>
      <c r="D622" s="65" t="inlineStr">
        <is>
          <t>Traversal</t>
        </is>
      </c>
      <c r="E622" s="65" t="inlineStr">
        <is>
          <t>DFS of Graph</t>
        </is>
      </c>
      <c r="F622" s="65" t="inlineStr">
        <is>
          <t>Easy</t>
        </is>
      </c>
      <c r="G622" s="65" t="inlineStr">
        <is>
          <t>Core</t>
        </is>
      </c>
      <c r="H622" s="65" t="inlineStr">
        <is>
          <t>GeeksforGeeks</t>
        </is>
      </c>
      <c r="I622" s="65" t="inlineStr">
        <is>
          <t>https://www.geeksforgeeks.org/problems/depth-first-traversal-for-a-graph/1</t>
        </is>
      </c>
      <c r="J622" s="65" t="inlineStr">
        <is>
          <t>Not Started</t>
        </is>
      </c>
      <c r="K622" s="65" t="n"/>
      <c r="L622" s="65" t="n"/>
      <c r="M622" s="71" t="n"/>
      <c r="N622" s="71">
        <f>IF($M622="","",$M622+IF($K622="",Dashboard!$M$9,INDEX(Dashboard!$M$5:$M$9,$K622)))</f>
        <v/>
      </c>
      <c r="O622" s="65">
        <f>IF(OR($J622="Attempted",$J622="Revisit"),"DUE",IF($N622="","",IF($N622&lt;=TODAY(),"DUE","")))</f>
        <v/>
      </c>
      <c r="P622" s="65" t="n"/>
    </row>
    <row r="623">
      <c r="A623" s="65" t="n">
        <v>622</v>
      </c>
      <c r="B623" s="65" t="inlineStr">
        <is>
          <t>5. Trees &amp; Graphs - Core</t>
        </is>
      </c>
      <c r="C623" s="65" t="inlineStr">
        <is>
          <t>20. Graphs</t>
        </is>
      </c>
      <c r="D623" s="65" t="inlineStr">
        <is>
          <t>Traversal</t>
        </is>
      </c>
      <c r="E623" s="65" t="inlineStr">
        <is>
          <t>BFS of Graph</t>
        </is>
      </c>
      <c r="F623" s="65" t="inlineStr">
        <is>
          <t>Easy</t>
        </is>
      </c>
      <c r="G623" s="65" t="inlineStr">
        <is>
          <t>Core</t>
        </is>
      </c>
      <c r="H623" s="65" t="inlineStr">
        <is>
          <t>GeeksforGeeks</t>
        </is>
      </c>
      <c r="I623" s="65" t="inlineStr">
        <is>
          <t>https://www.geeksforgeeks.org/problems/bfs-traversal-of-graph/1</t>
        </is>
      </c>
      <c r="J623" s="65" t="inlineStr">
        <is>
          <t>Not Started</t>
        </is>
      </c>
      <c r="K623" s="65" t="n"/>
      <c r="L623" s="65" t="n"/>
      <c r="M623" s="71" t="n"/>
      <c r="N623" s="71">
        <f>IF($M623="","",$M623+IF($K623="",Dashboard!$M$9,INDEX(Dashboard!$M$5:$M$9,$K623)))</f>
        <v/>
      </c>
      <c r="O623" s="65">
        <f>IF(OR($J623="Attempted",$J623="Revisit"),"DUE",IF($N623="","",IF($N623&lt;=TODAY(),"DUE","")))</f>
        <v/>
      </c>
      <c r="P623" s="65" t="n"/>
    </row>
    <row r="624">
      <c r="A624" s="65" t="n">
        <v>623</v>
      </c>
      <c r="B624" s="65" t="inlineStr">
        <is>
          <t>5. Trees &amp; Graphs - Core</t>
        </is>
      </c>
      <c r="C624" s="65" t="inlineStr">
        <is>
          <t>20. Graphs</t>
        </is>
      </c>
      <c r="D624" s="65" t="inlineStr">
        <is>
          <t>Traversal</t>
        </is>
      </c>
      <c r="E624" s="65" t="inlineStr">
        <is>
          <t>Find if Path Exists in Graph</t>
        </is>
      </c>
      <c r="F624" s="65" t="inlineStr">
        <is>
          <t>Easy</t>
        </is>
      </c>
      <c r="G624" s="65" t="inlineStr">
        <is>
          <t>Core</t>
        </is>
      </c>
      <c r="H624" s="65" t="inlineStr">
        <is>
          <t>LeetCode</t>
        </is>
      </c>
      <c r="I624" s="65" t="inlineStr">
        <is>
          <t>https://leetcode.com/problems/find-if-path-exists-in-graph/</t>
        </is>
      </c>
      <c r="J624" s="65" t="inlineStr">
        <is>
          <t>Not Started</t>
        </is>
      </c>
      <c r="K624" s="65" t="n"/>
      <c r="L624" s="65" t="n"/>
      <c r="M624" s="71" t="n"/>
      <c r="N624" s="71">
        <f>IF($M624="","",$M624+IF($K624="",Dashboard!$M$9,INDEX(Dashboard!$M$5:$M$9,$K624)))</f>
        <v/>
      </c>
      <c r="O624" s="65">
        <f>IF(OR($J624="Attempted",$J624="Revisit"),"DUE",IF($N624="","",IF($N624&lt;=TODAY(),"DUE","")))</f>
        <v/>
      </c>
      <c r="P624" s="65" t="n"/>
    </row>
    <row r="625">
      <c r="A625" s="65" t="n">
        <v>624</v>
      </c>
      <c r="B625" s="65" t="inlineStr">
        <is>
          <t>5. Trees &amp; Graphs - Core</t>
        </is>
      </c>
      <c r="C625" s="65" t="inlineStr">
        <is>
          <t>20. Graphs</t>
        </is>
      </c>
      <c r="D625" s="65" t="inlineStr">
        <is>
          <t>Traversal</t>
        </is>
      </c>
      <c r="E625" s="65" t="inlineStr">
        <is>
          <t>Clone Graph</t>
        </is>
      </c>
      <c r="F625" s="65" t="inlineStr">
        <is>
          <t>Medium</t>
        </is>
      </c>
      <c r="G625" s="65" t="inlineStr">
        <is>
          <t>Core</t>
        </is>
      </c>
      <c r="H625" s="65" t="inlineStr">
        <is>
          <t>LeetCode</t>
        </is>
      </c>
      <c r="I625" s="65" t="inlineStr">
        <is>
          <t>https://leetcode.com/problems/clone-graph/</t>
        </is>
      </c>
      <c r="J625" s="65" t="inlineStr">
        <is>
          <t>Not Started</t>
        </is>
      </c>
      <c r="K625" s="65" t="n"/>
      <c r="L625" s="65" t="n"/>
      <c r="M625" s="71" t="n"/>
      <c r="N625" s="71">
        <f>IF($M625="","",$M625+IF($K625="",Dashboard!$M$9,INDEX(Dashboard!$M$5:$M$9,$K625)))</f>
        <v/>
      </c>
      <c r="O625" s="65">
        <f>IF(OR($J625="Attempted",$J625="Revisit"),"DUE",IF($N625="","",IF($N625&lt;=TODAY(),"DUE","")))</f>
        <v/>
      </c>
      <c r="P625" s="65" t="n"/>
    </row>
    <row r="626">
      <c r="A626" s="65" t="n">
        <v>625</v>
      </c>
      <c r="B626" s="65" t="inlineStr">
        <is>
          <t>5. Trees &amp; Graphs - Core</t>
        </is>
      </c>
      <c r="C626" s="65" t="inlineStr">
        <is>
          <t>20. Graphs</t>
        </is>
      </c>
      <c r="D626" s="65" t="inlineStr">
        <is>
          <t>Grid DFS/BFS</t>
        </is>
      </c>
      <c r="E626" s="65" t="inlineStr">
        <is>
          <t>Flood Fill</t>
        </is>
      </c>
      <c r="F626" s="65" t="inlineStr">
        <is>
          <t>Easy</t>
        </is>
      </c>
      <c r="G626" s="65" t="inlineStr">
        <is>
          <t>Core</t>
        </is>
      </c>
      <c r="H626" s="65" t="inlineStr">
        <is>
          <t>LeetCode</t>
        </is>
      </c>
      <c r="I626" s="65" t="inlineStr">
        <is>
          <t>https://leetcode.com/problems/flood-fill/</t>
        </is>
      </c>
      <c r="J626" s="65" t="inlineStr">
        <is>
          <t>Not Started</t>
        </is>
      </c>
      <c r="K626" s="65" t="n"/>
      <c r="L626" s="65" t="n"/>
      <c r="M626" s="71" t="n"/>
      <c r="N626" s="71">
        <f>IF($M626="","",$M626+IF($K626="",Dashboard!$M$9,INDEX(Dashboard!$M$5:$M$9,$K626)))</f>
        <v/>
      </c>
      <c r="O626" s="65">
        <f>IF(OR($J626="Attempted",$J626="Revisit"),"DUE",IF($N626="","",IF($N626&lt;=TODAY(),"DUE","")))</f>
        <v/>
      </c>
      <c r="P626" s="65" t="inlineStr">
        <is>
          <t>v3 addition</t>
        </is>
      </c>
    </row>
    <row r="627">
      <c r="A627" s="65" t="n">
        <v>626</v>
      </c>
      <c r="B627" s="65" t="inlineStr">
        <is>
          <t>5. Trees &amp; Graphs - Core</t>
        </is>
      </c>
      <c r="C627" s="65" t="inlineStr">
        <is>
          <t>20. Graphs</t>
        </is>
      </c>
      <c r="D627" s="65" t="inlineStr">
        <is>
          <t>Grid DFS/BFS</t>
        </is>
      </c>
      <c r="E627" s="65" t="inlineStr">
        <is>
          <t>Number of Islands</t>
        </is>
      </c>
      <c r="F627" s="65" t="inlineStr">
        <is>
          <t>Medium</t>
        </is>
      </c>
      <c r="G627" s="65" t="inlineStr">
        <is>
          <t>Core</t>
        </is>
      </c>
      <c r="H627" s="65" t="inlineStr">
        <is>
          <t>LeetCode</t>
        </is>
      </c>
      <c r="I627" s="65" t="inlineStr">
        <is>
          <t>https://leetcode.com/problems/number-of-islands/</t>
        </is>
      </c>
      <c r="J627" s="65" t="inlineStr">
        <is>
          <t>Not Started</t>
        </is>
      </c>
      <c r="K627" s="65" t="n"/>
      <c r="L627" s="65" t="n"/>
      <c r="M627" s="71" t="n"/>
      <c r="N627" s="71">
        <f>IF($M627="","",$M627+IF($K627="",Dashboard!$M$9,INDEX(Dashboard!$M$5:$M$9,$K627)))</f>
        <v/>
      </c>
      <c r="O627" s="65">
        <f>IF(OR($J627="Attempted",$J627="Revisit"),"DUE",IF($N627="","",IF($N627&lt;=TODAY(),"DUE","")))</f>
        <v/>
      </c>
      <c r="P627" s="65" t="inlineStr">
        <is>
          <t>v3 addition</t>
        </is>
      </c>
    </row>
    <row r="628">
      <c r="A628" s="65" t="n">
        <v>627</v>
      </c>
      <c r="B628" s="65" t="inlineStr">
        <is>
          <t>5. Trees &amp; Graphs - Core</t>
        </is>
      </c>
      <c r="C628" s="65" t="inlineStr">
        <is>
          <t>20. Graphs</t>
        </is>
      </c>
      <c r="D628" s="65" t="inlineStr">
        <is>
          <t>Grid DFS/BFS</t>
        </is>
      </c>
      <c r="E628" s="65" t="inlineStr">
        <is>
          <t>Max Area of Island</t>
        </is>
      </c>
      <c r="F628" s="65" t="inlineStr">
        <is>
          <t>Medium</t>
        </is>
      </c>
      <c r="G628" s="65" t="inlineStr">
        <is>
          <t>Core</t>
        </is>
      </c>
      <c r="H628" s="65" t="inlineStr">
        <is>
          <t>LeetCode</t>
        </is>
      </c>
      <c r="I628" s="65" t="inlineStr">
        <is>
          <t>https://leetcode.com/problems/max-area-of-island/</t>
        </is>
      </c>
      <c r="J628" s="65" t="inlineStr">
        <is>
          <t>Not Started</t>
        </is>
      </c>
      <c r="K628" s="65" t="n"/>
      <c r="L628" s="65" t="n"/>
      <c r="M628" s="71" t="n"/>
      <c r="N628" s="71">
        <f>IF($M628="","",$M628+IF($K628="",Dashboard!$M$9,INDEX(Dashboard!$M$5:$M$9,$K628)))</f>
        <v/>
      </c>
      <c r="O628" s="65">
        <f>IF(OR($J628="Attempted",$J628="Revisit"),"DUE",IF($N628="","",IF($N628&lt;=TODAY(),"DUE","")))</f>
        <v/>
      </c>
      <c r="P628" s="65" t="inlineStr">
        <is>
          <t>v3 addition</t>
        </is>
      </c>
    </row>
    <row r="629">
      <c r="A629" s="65" t="n">
        <v>628</v>
      </c>
      <c r="B629" s="65" t="inlineStr">
        <is>
          <t>5. Trees &amp; Graphs - Core</t>
        </is>
      </c>
      <c r="C629" s="65" t="inlineStr">
        <is>
          <t>20. Graphs</t>
        </is>
      </c>
      <c r="D629" s="65" t="inlineStr">
        <is>
          <t>Grid DFS/BFS</t>
        </is>
      </c>
      <c r="E629" s="65" t="inlineStr">
        <is>
          <t>Surrounded Regions</t>
        </is>
      </c>
      <c r="F629" s="65" t="inlineStr">
        <is>
          <t>Medium</t>
        </is>
      </c>
      <c r="G629" s="65" t="inlineStr">
        <is>
          <t>Core</t>
        </is>
      </c>
      <c r="H629" s="65" t="inlineStr">
        <is>
          <t>LeetCode</t>
        </is>
      </c>
      <c r="I629" s="65" t="inlineStr">
        <is>
          <t>https://leetcode.com/problems/surrounded-regions/</t>
        </is>
      </c>
      <c r="J629" s="65" t="inlineStr">
        <is>
          <t>Not Started</t>
        </is>
      </c>
      <c r="K629" s="65" t="n"/>
      <c r="L629" s="65" t="n"/>
      <c r="M629" s="71" t="n"/>
      <c r="N629" s="71">
        <f>IF($M629="","",$M629+IF($K629="",Dashboard!$M$9,INDEX(Dashboard!$M$5:$M$9,$K629)))</f>
        <v/>
      </c>
      <c r="O629" s="65">
        <f>IF(OR($J629="Attempted",$J629="Revisit"),"DUE",IF($N629="","",IF($N629&lt;=TODAY(),"DUE","")))</f>
        <v/>
      </c>
      <c r="P629" s="65" t="inlineStr">
        <is>
          <t>v3 addition</t>
        </is>
      </c>
    </row>
    <row r="630">
      <c r="A630" s="65" t="n">
        <v>629</v>
      </c>
      <c r="B630" s="65" t="inlineStr">
        <is>
          <t>5. Trees &amp; Graphs - Core</t>
        </is>
      </c>
      <c r="C630" s="65" t="inlineStr">
        <is>
          <t>20. Graphs</t>
        </is>
      </c>
      <c r="D630" s="65" t="inlineStr">
        <is>
          <t>Multi-source BFS</t>
        </is>
      </c>
      <c r="E630" s="65" t="inlineStr">
        <is>
          <t>Rotting Oranges</t>
        </is>
      </c>
      <c r="F630" s="65" t="inlineStr">
        <is>
          <t>Medium</t>
        </is>
      </c>
      <c r="G630" s="65" t="inlineStr">
        <is>
          <t>Core</t>
        </is>
      </c>
      <c r="H630" s="65" t="inlineStr">
        <is>
          <t>LeetCode</t>
        </is>
      </c>
      <c r="I630" s="65" t="inlineStr">
        <is>
          <t>https://leetcode.com/problems/rotting-oranges/</t>
        </is>
      </c>
      <c r="J630" s="65" t="inlineStr">
        <is>
          <t>Not Started</t>
        </is>
      </c>
      <c r="K630" s="65" t="n"/>
      <c r="L630" s="65" t="n"/>
      <c r="M630" s="71" t="n"/>
      <c r="N630" s="71">
        <f>IF($M630="","",$M630+IF($K630="",Dashboard!$M$9,INDEX(Dashboard!$M$5:$M$9,$K630)))</f>
        <v/>
      </c>
      <c r="O630" s="65">
        <f>IF(OR($J630="Attempted",$J630="Revisit"),"DUE",IF($N630="","",IF($N630&lt;=TODAY(),"DUE","")))</f>
        <v/>
      </c>
      <c r="P630" s="65" t="inlineStr">
        <is>
          <t>v3 addition</t>
        </is>
      </c>
    </row>
    <row r="631">
      <c r="A631" s="65" t="n">
        <v>630</v>
      </c>
      <c r="B631" s="65" t="inlineStr">
        <is>
          <t>5. Trees &amp; Graphs - Core</t>
        </is>
      </c>
      <c r="C631" s="65" t="inlineStr">
        <is>
          <t>20. Graphs</t>
        </is>
      </c>
      <c r="D631" s="65" t="inlineStr">
        <is>
          <t>Multi-source BFS</t>
        </is>
      </c>
      <c r="E631" s="65" t="inlineStr">
        <is>
          <t>01 Matrix</t>
        </is>
      </c>
      <c r="F631" s="65" t="inlineStr">
        <is>
          <t>Medium</t>
        </is>
      </c>
      <c r="G631" s="65" t="inlineStr">
        <is>
          <t>Core</t>
        </is>
      </c>
      <c r="H631" s="65" t="inlineStr">
        <is>
          <t>LeetCode</t>
        </is>
      </c>
      <c r="I631" s="65" t="inlineStr">
        <is>
          <t>https://leetcode.com/problems/01-matrix/</t>
        </is>
      </c>
      <c r="J631" s="65" t="inlineStr">
        <is>
          <t>Not Started</t>
        </is>
      </c>
      <c r="K631" s="65" t="n"/>
      <c r="L631" s="65" t="n"/>
      <c r="M631" s="71" t="n"/>
      <c r="N631" s="71">
        <f>IF($M631="","",$M631+IF($K631="",Dashboard!$M$9,INDEX(Dashboard!$M$5:$M$9,$K631)))</f>
        <v/>
      </c>
      <c r="O631" s="65">
        <f>IF(OR($J631="Attempted",$J631="Revisit"),"DUE",IF($N631="","",IF($N631&lt;=TODAY(),"DUE","")))</f>
        <v/>
      </c>
      <c r="P631" s="65" t="inlineStr">
        <is>
          <t>v3 addition</t>
        </is>
      </c>
    </row>
    <row r="632">
      <c r="A632" s="65" t="n">
        <v>631</v>
      </c>
      <c r="B632" s="65" t="inlineStr">
        <is>
          <t>5. Trees &amp; Graphs - Core</t>
        </is>
      </c>
      <c r="C632" s="65" t="inlineStr">
        <is>
          <t>20. Graphs</t>
        </is>
      </c>
      <c r="D632" s="65" t="inlineStr">
        <is>
          <t>Connected components</t>
        </is>
      </c>
      <c r="E632" s="65" t="inlineStr">
        <is>
          <t>Number of Provinces</t>
        </is>
      </c>
      <c r="F632" s="65" t="inlineStr">
        <is>
          <t>Medium</t>
        </is>
      </c>
      <c r="G632" s="65" t="inlineStr">
        <is>
          <t>Core</t>
        </is>
      </c>
      <c r="H632" s="65" t="inlineStr">
        <is>
          <t>LeetCode</t>
        </is>
      </c>
      <c r="I632" s="65" t="inlineStr">
        <is>
          <t>https://leetcode.com/problems/number-of-provinces/</t>
        </is>
      </c>
      <c r="J632" s="65" t="inlineStr">
        <is>
          <t>Not Started</t>
        </is>
      </c>
      <c r="K632" s="65" t="n"/>
      <c r="L632" s="65" t="n"/>
      <c r="M632" s="71" t="n"/>
      <c r="N632" s="71">
        <f>IF($M632="","",$M632+IF($K632="",Dashboard!$M$9,INDEX(Dashboard!$M$5:$M$9,$K632)))</f>
        <v/>
      </c>
      <c r="O632" s="65">
        <f>IF(OR($J632="Attempted",$J632="Revisit"),"DUE",IF($N632="","",IF($N632&lt;=TODAY(),"DUE","")))</f>
        <v/>
      </c>
      <c r="P632" s="65" t="inlineStr">
        <is>
          <t>v3 addition</t>
        </is>
      </c>
    </row>
    <row r="633">
      <c r="A633" s="65" t="n">
        <v>632</v>
      </c>
      <c r="B633" s="65" t="inlineStr">
        <is>
          <t>5. Trees &amp; Graphs - Core</t>
        </is>
      </c>
      <c r="C633" s="65" t="inlineStr">
        <is>
          <t>20. Graphs</t>
        </is>
      </c>
      <c r="D633" s="65" t="inlineStr">
        <is>
          <t>Coloring</t>
        </is>
      </c>
      <c r="E633" s="65" t="inlineStr">
        <is>
          <t>M-Coloring Problem</t>
        </is>
      </c>
      <c r="F633" s="65" t="inlineStr">
        <is>
          <t>Medium</t>
        </is>
      </c>
      <c r="G633" s="65" t="inlineStr">
        <is>
          <t>Core</t>
        </is>
      </c>
      <c r="H633" s="65" t="inlineStr">
        <is>
          <t>GeeksforGeeks</t>
        </is>
      </c>
      <c r="I633" s="65" t="inlineStr">
        <is>
          <t>https://www.geeksforgeeks.org/problems/m-coloring-problem-1587115620/1</t>
        </is>
      </c>
      <c r="J633" s="65" t="inlineStr">
        <is>
          <t>Not Started</t>
        </is>
      </c>
      <c r="K633" s="65" t="n"/>
      <c r="L633" s="65" t="n"/>
      <c r="M633" s="71" t="n"/>
      <c r="N633" s="71">
        <f>IF($M633="","",$M633+IF($K633="",Dashboard!$M$9,INDEX(Dashboard!$M$5:$M$9,$K633)))</f>
        <v/>
      </c>
      <c r="O633" s="65">
        <f>IF(OR($J633="Attempted",$J633="Revisit"),"DUE",IF($N633="","",IF($N633&lt;=TODAY(),"DUE","")))</f>
        <v/>
      </c>
      <c r="P633" s="65" t="inlineStr">
        <is>
          <t>v3 addition</t>
        </is>
      </c>
    </row>
    <row r="634">
      <c r="A634" s="65" t="n">
        <v>633</v>
      </c>
      <c r="B634" s="65" t="inlineStr">
        <is>
          <t>5. Trees &amp; Graphs - Core</t>
        </is>
      </c>
      <c r="C634" s="65" t="inlineStr">
        <is>
          <t>20. Graphs</t>
        </is>
      </c>
      <c r="D634" s="65" t="inlineStr">
        <is>
          <t>Coloring</t>
        </is>
      </c>
      <c r="E634" s="65" t="inlineStr">
        <is>
          <t>Is Graph Bipartite?</t>
        </is>
      </c>
      <c r="F634" s="65" t="inlineStr">
        <is>
          <t>Medium</t>
        </is>
      </c>
      <c r="G634" s="65" t="inlineStr">
        <is>
          <t>Core</t>
        </is>
      </c>
      <c r="H634" s="65" t="inlineStr">
        <is>
          <t>LeetCode</t>
        </is>
      </c>
      <c r="I634" s="65" t="inlineStr">
        <is>
          <t>https://leetcode.com/problems/is-graph-bipartite/</t>
        </is>
      </c>
      <c r="J634" s="65" t="inlineStr">
        <is>
          <t>Not Started</t>
        </is>
      </c>
      <c r="K634" s="65" t="n"/>
      <c r="L634" s="65" t="n"/>
      <c r="M634" s="71" t="n"/>
      <c r="N634" s="71">
        <f>IF($M634="","",$M634+IF($K634="",Dashboard!$M$9,INDEX(Dashboard!$M$5:$M$9,$K634)))</f>
        <v/>
      </c>
      <c r="O634" s="65">
        <f>IF(OR($J634="Attempted",$J634="Revisit"),"DUE",IF($N634="","",IF($N634&lt;=TODAY(),"DUE","")))</f>
        <v/>
      </c>
      <c r="P634" s="65" t="inlineStr">
        <is>
          <t>v3 addition</t>
        </is>
      </c>
    </row>
    <row r="635">
      <c r="A635" s="65" t="n">
        <v>634</v>
      </c>
      <c r="B635" s="65" t="inlineStr">
        <is>
          <t>5. Trees &amp; Graphs - Core</t>
        </is>
      </c>
      <c r="C635" s="65" t="inlineStr">
        <is>
          <t>20. Graphs</t>
        </is>
      </c>
      <c r="D635" s="65" t="inlineStr">
        <is>
          <t>Cycle detection</t>
        </is>
      </c>
      <c r="E635" s="65" t="inlineStr">
        <is>
          <t>Detect Cycle in an Undirected Graph</t>
        </is>
      </c>
      <c r="F635" s="65" t="inlineStr">
        <is>
          <t>Medium</t>
        </is>
      </c>
      <c r="G635" s="65" t="inlineStr">
        <is>
          <t>Core</t>
        </is>
      </c>
      <c r="H635" s="65" t="inlineStr">
        <is>
          <t>GeeksforGeeks</t>
        </is>
      </c>
      <c r="I635" s="65" t="inlineStr">
        <is>
          <t>https://www.geeksforgeeks.org/problems/detect-cycle-in-an-undirected-graph/1</t>
        </is>
      </c>
      <c r="J635" s="65" t="inlineStr">
        <is>
          <t>Not Started</t>
        </is>
      </c>
      <c r="K635" s="65" t="n"/>
      <c r="L635" s="65" t="n"/>
      <c r="M635" s="71" t="n"/>
      <c r="N635" s="71">
        <f>IF($M635="","",$M635+IF($K635="",Dashboard!$M$9,INDEX(Dashboard!$M$5:$M$9,$K635)))</f>
        <v/>
      </c>
      <c r="O635" s="65">
        <f>IF(OR($J635="Attempted",$J635="Revisit"),"DUE",IF($N635="","",IF($N635&lt;=TODAY(),"DUE","")))</f>
        <v/>
      </c>
      <c r="P635" s="65" t="inlineStr">
        <is>
          <t>v3 addition</t>
        </is>
      </c>
    </row>
    <row r="636">
      <c r="A636" s="65" t="n">
        <v>635</v>
      </c>
      <c r="B636" s="65" t="inlineStr">
        <is>
          <t>5. Trees &amp; Graphs - Core</t>
        </is>
      </c>
      <c r="C636" s="65" t="inlineStr">
        <is>
          <t>20. Graphs</t>
        </is>
      </c>
      <c r="D636" s="65" t="inlineStr">
        <is>
          <t>Cycle detection</t>
        </is>
      </c>
      <c r="E636" s="65" t="inlineStr">
        <is>
          <t>Detect Cycle in a Directed Graph</t>
        </is>
      </c>
      <c r="F636" s="65" t="inlineStr">
        <is>
          <t>Medium</t>
        </is>
      </c>
      <c r="G636" s="65" t="inlineStr">
        <is>
          <t>Core</t>
        </is>
      </c>
      <c r="H636" s="65" t="inlineStr">
        <is>
          <t>GeeksforGeeks</t>
        </is>
      </c>
      <c r="I636" s="65" t="inlineStr">
        <is>
          <t>https://www.geeksforgeeks.org/problems/detect-cycle-in-a-directed-graph/1</t>
        </is>
      </c>
      <c r="J636" s="65" t="inlineStr">
        <is>
          <t>Not Started</t>
        </is>
      </c>
      <c r="K636" s="65" t="n"/>
      <c r="L636" s="65" t="n"/>
      <c r="M636" s="71" t="n"/>
      <c r="N636" s="71">
        <f>IF($M636="","",$M636+IF($K636="",Dashboard!$M$9,INDEX(Dashboard!$M$5:$M$9,$K636)))</f>
        <v/>
      </c>
      <c r="O636" s="65">
        <f>IF(OR($J636="Attempted",$J636="Revisit"),"DUE",IF($N636="","",IF($N636&lt;=TODAY(),"DUE","")))</f>
        <v/>
      </c>
      <c r="P636" s="65" t="n"/>
    </row>
    <row r="637">
      <c r="A637" s="65" t="n">
        <v>636</v>
      </c>
      <c r="B637" s="65" t="inlineStr">
        <is>
          <t>5. Trees &amp; Graphs - Core</t>
        </is>
      </c>
      <c r="C637" s="65" t="inlineStr">
        <is>
          <t>20. Graphs</t>
        </is>
      </c>
      <c r="D637" s="65" t="inlineStr">
        <is>
          <t>BFS shortest path</t>
        </is>
      </c>
      <c r="E637" s="65" t="inlineStr">
        <is>
          <t>Shortest Path in Binary Matrix</t>
        </is>
      </c>
      <c r="F637" s="65" t="inlineStr">
        <is>
          <t>Medium</t>
        </is>
      </c>
      <c r="G637" s="65" t="inlineStr">
        <is>
          <t>Core</t>
        </is>
      </c>
      <c r="H637" s="65" t="inlineStr">
        <is>
          <t>LeetCode</t>
        </is>
      </c>
      <c r="I637" s="65" t="inlineStr">
        <is>
          <t>https://leetcode.com/problems/shortest-path-in-binary-matrix/</t>
        </is>
      </c>
      <c r="J637" s="65" t="inlineStr">
        <is>
          <t>Not Started</t>
        </is>
      </c>
      <c r="K637" s="65" t="n"/>
      <c r="L637" s="65" t="n"/>
      <c r="M637" s="71" t="n"/>
      <c r="N637" s="71">
        <f>IF($M637="","",$M637+IF($K637="",Dashboard!$M$9,INDEX(Dashboard!$M$5:$M$9,$K637)))</f>
        <v/>
      </c>
      <c r="O637" s="65">
        <f>IF(OR($J637="Attempted",$J637="Revisit"),"DUE",IF($N637="","",IF($N637&lt;=TODAY(),"DUE","")))</f>
        <v/>
      </c>
      <c r="P637" s="65" t="n"/>
    </row>
    <row r="638">
      <c r="A638" s="65" t="n">
        <v>637</v>
      </c>
      <c r="B638" s="65" t="inlineStr">
        <is>
          <t>5. Trees &amp; Graphs - Core</t>
        </is>
      </c>
      <c r="C638" s="65" t="inlineStr">
        <is>
          <t>20. Graphs</t>
        </is>
      </c>
      <c r="D638" s="65" t="inlineStr">
        <is>
          <t>BFS shortest path</t>
        </is>
      </c>
      <c r="E638" s="65" t="inlineStr">
        <is>
          <t>Shortest Path in Undirected Graph (unit weights)</t>
        </is>
      </c>
      <c r="F638" s="65" t="inlineStr">
        <is>
          <t>Medium</t>
        </is>
      </c>
      <c r="G638" s="65" t="inlineStr">
        <is>
          <t>Core</t>
        </is>
      </c>
      <c r="H638" s="65" t="inlineStr">
        <is>
          <t>GeeksforGeeks</t>
        </is>
      </c>
      <c r="I638" s="65" t="inlineStr">
        <is>
          <t>https://www.geeksforgeeks.org/problems/shortest-path-in-undirected-graph-having-unit-distance/1</t>
        </is>
      </c>
      <c r="J638" s="65" t="inlineStr">
        <is>
          <t>Not Started</t>
        </is>
      </c>
      <c r="K638" s="65" t="n"/>
      <c r="L638" s="65" t="n"/>
      <c r="M638" s="71" t="n"/>
      <c r="N638" s="71">
        <f>IF($M638="","",$M638+IF($K638="",Dashboard!$M$9,INDEX(Dashboard!$M$5:$M$9,$K638)))</f>
        <v/>
      </c>
      <c r="O638" s="65">
        <f>IF(OR($J638="Attempted",$J638="Revisit"),"DUE",IF($N638="","",IF($N638&lt;=TODAY(),"DUE","")))</f>
        <v/>
      </c>
      <c r="P638" s="65" t="inlineStr">
        <is>
          <t>v3 addition</t>
        </is>
      </c>
    </row>
    <row r="639">
      <c r="A639" s="65" t="n">
        <v>638</v>
      </c>
      <c r="B639" s="65" t="inlineStr">
        <is>
          <t>5. Trees &amp; Graphs - Core</t>
        </is>
      </c>
      <c r="C639" s="65" t="inlineStr">
        <is>
          <t>20. Graphs</t>
        </is>
      </c>
      <c r="D639" s="65" t="inlineStr">
        <is>
          <t>Topological sort</t>
        </is>
      </c>
      <c r="E639" s="65" t="inlineStr">
        <is>
          <t>Topological Sort</t>
        </is>
      </c>
      <c r="F639" s="65" t="inlineStr">
        <is>
          <t>Medium</t>
        </is>
      </c>
      <c r="G639" s="65" t="inlineStr">
        <is>
          <t>Core</t>
        </is>
      </c>
      <c r="H639" s="65" t="inlineStr">
        <is>
          <t>GeeksforGeeks</t>
        </is>
      </c>
      <c r="I639" s="65" t="inlineStr">
        <is>
          <t>https://www.geeksforgeeks.org/problems/topological-sort/1</t>
        </is>
      </c>
      <c r="J639" s="65" t="inlineStr">
        <is>
          <t>Not Started</t>
        </is>
      </c>
      <c r="K639" s="65" t="n"/>
      <c r="L639" s="65" t="n"/>
      <c r="M639" s="71" t="n"/>
      <c r="N639" s="71">
        <f>IF($M639="","",$M639+IF($K639="",Dashboard!$M$9,INDEX(Dashboard!$M$5:$M$9,$K639)))</f>
        <v/>
      </c>
      <c r="O639" s="65">
        <f>IF(OR($J639="Attempted",$J639="Revisit"),"DUE",IF($N639="","",IF($N639&lt;=TODAY(),"DUE","")))</f>
        <v/>
      </c>
      <c r="P639" s="65" t="inlineStr">
        <is>
          <t>v3 addition</t>
        </is>
      </c>
    </row>
    <row r="640">
      <c r="A640" s="65" t="n">
        <v>639</v>
      </c>
      <c r="B640" s="65" t="inlineStr">
        <is>
          <t>5. Trees &amp; Graphs - Core</t>
        </is>
      </c>
      <c r="C640" s="65" t="inlineStr">
        <is>
          <t>20. Graphs</t>
        </is>
      </c>
      <c r="D640" s="65" t="inlineStr">
        <is>
          <t>Topological sort</t>
        </is>
      </c>
      <c r="E640" s="65" t="inlineStr">
        <is>
          <t>Course Schedule</t>
        </is>
      </c>
      <c r="F640" s="65" t="inlineStr">
        <is>
          <t>Medium</t>
        </is>
      </c>
      <c r="G640" s="65" t="inlineStr">
        <is>
          <t>Core</t>
        </is>
      </c>
      <c r="H640" s="65" t="inlineStr">
        <is>
          <t>LeetCode</t>
        </is>
      </c>
      <c r="I640" s="65" t="inlineStr">
        <is>
          <t>https://leetcode.com/problems/course-schedule/</t>
        </is>
      </c>
      <c r="J640" s="65" t="inlineStr">
        <is>
          <t>Not Started</t>
        </is>
      </c>
      <c r="K640" s="65" t="n"/>
      <c r="L640" s="65" t="n"/>
      <c r="M640" s="71" t="n"/>
      <c r="N640" s="71">
        <f>IF($M640="","",$M640+IF($K640="",Dashboard!$M$9,INDEX(Dashboard!$M$5:$M$9,$K640)))</f>
        <v/>
      </c>
      <c r="O640" s="65">
        <f>IF(OR($J640="Attempted",$J640="Revisit"),"DUE",IF($N640="","",IF($N640&lt;=TODAY(),"DUE","")))</f>
        <v/>
      </c>
      <c r="P640" s="65" t="n"/>
    </row>
    <row r="641">
      <c r="A641" s="65" t="n">
        <v>640</v>
      </c>
      <c r="B641" s="65" t="inlineStr">
        <is>
          <t>5. Trees &amp; Graphs - Core</t>
        </is>
      </c>
      <c r="C641" s="65" t="inlineStr">
        <is>
          <t>20. Graphs</t>
        </is>
      </c>
      <c r="D641" s="65" t="inlineStr">
        <is>
          <t>Topological sort</t>
        </is>
      </c>
      <c r="E641" s="65" t="inlineStr">
        <is>
          <t>Course Schedule II</t>
        </is>
      </c>
      <c r="F641" s="65" t="inlineStr">
        <is>
          <t>Medium</t>
        </is>
      </c>
      <c r="G641" s="65" t="inlineStr">
        <is>
          <t>Core</t>
        </is>
      </c>
      <c r="H641" s="65" t="inlineStr">
        <is>
          <t>LeetCode</t>
        </is>
      </c>
      <c r="I641" s="65" t="inlineStr">
        <is>
          <t>https://leetcode.com/problems/course-schedule-ii/</t>
        </is>
      </c>
      <c r="J641" s="65" t="inlineStr">
        <is>
          <t>Not Started</t>
        </is>
      </c>
      <c r="K641" s="65" t="n"/>
      <c r="L641" s="65" t="n"/>
      <c r="M641" s="71" t="n"/>
      <c r="N641" s="71">
        <f>IF($M641="","",$M641+IF($K641="",Dashboard!$M$9,INDEX(Dashboard!$M$5:$M$9,$K641)))</f>
        <v/>
      </c>
      <c r="O641" s="65">
        <f>IF(OR($J641="Attempted",$J641="Revisit"),"DUE",IF($N641="","",IF($N641&lt;=TODAY(),"DUE","")))</f>
        <v/>
      </c>
      <c r="P641" s="65" t="n"/>
    </row>
    <row r="642">
      <c r="A642" s="65" t="n">
        <v>641</v>
      </c>
      <c r="B642" s="65" t="inlineStr">
        <is>
          <t>5. Trees &amp; Graphs - Core</t>
        </is>
      </c>
      <c r="C642" s="65" t="inlineStr">
        <is>
          <t>20. Graphs</t>
        </is>
      </c>
      <c r="D642" s="65" t="inlineStr">
        <is>
          <t>DSU</t>
        </is>
      </c>
      <c r="E642" s="65" t="inlineStr">
        <is>
          <t>Disjoint Set (Union by Rank &amp; Path Compression)</t>
        </is>
      </c>
      <c r="F642" s="65" t="inlineStr">
        <is>
          <t>Medium</t>
        </is>
      </c>
      <c r="G642" s="65" t="inlineStr">
        <is>
          <t>Core</t>
        </is>
      </c>
      <c r="H642" s="65" t="inlineStr">
        <is>
          <t>GeeksforGeeks</t>
        </is>
      </c>
      <c r="I642" s="65" t="inlineStr">
        <is>
          <t>https://www.geeksforgeeks.org/problems/disjoint-set-union-find/1</t>
        </is>
      </c>
      <c r="J642" s="65" t="inlineStr">
        <is>
          <t>Not Started</t>
        </is>
      </c>
      <c r="K642" s="65" t="n"/>
      <c r="L642" s="65" t="n"/>
      <c r="M642" s="71" t="n"/>
      <c r="N642" s="71">
        <f>IF($M642="","",$M642+IF($K642="",Dashboard!$M$9,INDEX(Dashboard!$M$5:$M$9,$K642)))</f>
        <v/>
      </c>
      <c r="O642" s="65">
        <f>IF(OR($J642="Attempted",$J642="Revisit"),"DUE",IF($N642="","",IF($N642&lt;=TODAY(),"DUE","")))</f>
        <v/>
      </c>
      <c r="P642" s="65" t="n"/>
    </row>
    <row r="643">
      <c r="A643" s="65" t="n">
        <v>642</v>
      </c>
      <c r="B643" s="65" t="inlineStr">
        <is>
          <t>5. Trees &amp; Graphs - Core</t>
        </is>
      </c>
      <c r="C643" s="65" t="inlineStr">
        <is>
          <t>20. Graphs</t>
        </is>
      </c>
      <c r="D643" s="65" t="inlineStr">
        <is>
          <t>DSU</t>
        </is>
      </c>
      <c r="E643" s="65" t="inlineStr">
        <is>
          <t>Redundant Connection</t>
        </is>
      </c>
      <c r="F643" s="65" t="inlineStr">
        <is>
          <t>Medium</t>
        </is>
      </c>
      <c r="G643" s="65" t="inlineStr">
        <is>
          <t>Core</t>
        </is>
      </c>
      <c r="H643" s="65" t="inlineStr">
        <is>
          <t>LeetCode</t>
        </is>
      </c>
      <c r="I643" s="65" t="inlineStr">
        <is>
          <t>https://leetcode.com/problems/redundant-connection/</t>
        </is>
      </c>
      <c r="J643" s="65" t="inlineStr">
        <is>
          <t>Not Started</t>
        </is>
      </c>
      <c r="K643" s="65" t="n"/>
      <c r="L643" s="65" t="n"/>
      <c r="M643" s="71" t="n"/>
      <c r="N643" s="71">
        <f>IF($M643="","",$M643+IF($K643="",Dashboard!$M$9,INDEX(Dashboard!$M$5:$M$9,$K643)))</f>
        <v/>
      </c>
      <c r="O643" s="65">
        <f>IF(OR($J643="Attempted",$J643="Revisit"),"DUE",IF($N643="","",IF($N643&lt;=TODAY(),"DUE","")))</f>
        <v/>
      </c>
      <c r="P643" s="65" t="n"/>
    </row>
    <row r="644">
      <c r="A644" s="65" t="n">
        <v>643</v>
      </c>
      <c r="B644" s="65" t="inlineStr">
        <is>
          <t>5. Trees &amp; Graphs - Core</t>
        </is>
      </c>
      <c r="C644" s="65" t="inlineStr">
        <is>
          <t>20. Graphs</t>
        </is>
      </c>
      <c r="D644" s="65" t="inlineStr">
        <is>
          <t>DSU</t>
        </is>
      </c>
      <c r="E644" s="65" t="inlineStr">
        <is>
          <t>Accounts Merge</t>
        </is>
      </c>
      <c r="F644" s="65" t="inlineStr">
        <is>
          <t>Medium</t>
        </is>
      </c>
      <c r="G644" s="65" t="inlineStr">
        <is>
          <t>Core</t>
        </is>
      </c>
      <c r="H644" s="65" t="inlineStr">
        <is>
          <t>LeetCode</t>
        </is>
      </c>
      <c r="I644" s="65" t="inlineStr">
        <is>
          <t>https://leetcode.com/problems/accounts-merge/</t>
        </is>
      </c>
      <c r="J644" s="65" t="inlineStr">
        <is>
          <t>Not Started</t>
        </is>
      </c>
      <c r="K644" s="65" t="n"/>
      <c r="L644" s="65" t="n"/>
      <c r="M644" s="71" t="n"/>
      <c r="N644" s="71">
        <f>IF($M644="","",$M644+IF($K644="",Dashboard!$M$9,INDEX(Dashboard!$M$5:$M$9,$K644)))</f>
        <v/>
      </c>
      <c r="O644" s="65">
        <f>IF(OR($J644="Attempted",$J644="Revisit"),"DUE",IF($N644="","",IF($N644&lt;=TODAY(),"DUE","")))</f>
        <v/>
      </c>
      <c r="P644" s="65" t="n"/>
    </row>
    <row r="645">
      <c r="A645" s="65" t="n">
        <v>644</v>
      </c>
      <c r="B645" s="65" t="inlineStr">
        <is>
          <t>5. Trees &amp; Graphs - Core</t>
        </is>
      </c>
      <c r="C645" s="65" t="inlineStr">
        <is>
          <t>20. Graphs</t>
        </is>
      </c>
      <c r="D645" s="65" t="inlineStr">
        <is>
          <t>Dijkstra</t>
        </is>
      </c>
      <c r="E645" s="65" t="inlineStr">
        <is>
          <t>Implementing Dijkstra Algorithm</t>
        </is>
      </c>
      <c r="F645" s="65" t="inlineStr">
        <is>
          <t>Medium</t>
        </is>
      </c>
      <c r="G645" s="65" t="inlineStr">
        <is>
          <t>Core</t>
        </is>
      </c>
      <c r="H645" s="65" t="inlineStr">
        <is>
          <t>GeeksforGeeks</t>
        </is>
      </c>
      <c r="I645" s="65" t="inlineStr">
        <is>
          <t>https://www.geeksforgeeks.org/problems/implementing-dijkstra-set-1-adjacency-matrix/1</t>
        </is>
      </c>
      <c r="J645" s="65" t="inlineStr">
        <is>
          <t>Not Started</t>
        </is>
      </c>
      <c r="K645" s="65" t="n"/>
      <c r="L645" s="65" t="n"/>
      <c r="M645" s="71" t="n"/>
      <c r="N645" s="71">
        <f>IF($M645="","",$M645+IF($K645="",Dashboard!$M$9,INDEX(Dashboard!$M$5:$M$9,$K645)))</f>
        <v/>
      </c>
      <c r="O645" s="65">
        <f>IF(OR($J645="Attempted",$J645="Revisit"),"DUE",IF($N645="","",IF($N645&lt;=TODAY(),"DUE","")))</f>
        <v/>
      </c>
      <c r="P645" s="65" t="n"/>
    </row>
    <row r="646">
      <c r="A646" s="65" t="n">
        <v>645</v>
      </c>
      <c r="B646" s="65" t="inlineStr">
        <is>
          <t>5. Trees &amp; Graphs - Core</t>
        </is>
      </c>
      <c r="C646" s="65" t="inlineStr">
        <is>
          <t>20. Graphs</t>
        </is>
      </c>
      <c r="D646" s="65" t="inlineStr">
        <is>
          <t>Dijkstra</t>
        </is>
      </c>
      <c r="E646" s="65" t="inlineStr">
        <is>
          <t>Network Delay Time</t>
        </is>
      </c>
      <c r="F646" s="65" t="inlineStr">
        <is>
          <t>Medium</t>
        </is>
      </c>
      <c r="G646" s="65" t="inlineStr">
        <is>
          <t>Core</t>
        </is>
      </c>
      <c r="H646" s="65" t="inlineStr">
        <is>
          <t>LeetCode</t>
        </is>
      </c>
      <c r="I646" s="65" t="inlineStr">
        <is>
          <t>https://leetcode.com/problems/network-delay-time/</t>
        </is>
      </c>
      <c r="J646" s="65" t="inlineStr">
        <is>
          <t>Not Started</t>
        </is>
      </c>
      <c r="K646" s="65" t="n"/>
      <c r="L646" s="65" t="n"/>
      <c r="M646" s="71" t="n"/>
      <c r="N646" s="71">
        <f>IF($M646="","",$M646+IF($K646="",Dashboard!$M$9,INDEX(Dashboard!$M$5:$M$9,$K646)))</f>
        <v/>
      </c>
      <c r="O646" s="65">
        <f>IF(OR($J646="Attempted",$J646="Revisit"),"DUE",IF($N646="","",IF($N646&lt;=TODAY(),"DUE","")))</f>
        <v/>
      </c>
      <c r="P646" s="65" t="n"/>
    </row>
    <row r="647">
      <c r="A647" s="65" t="n">
        <v>646</v>
      </c>
      <c r="B647" s="65" t="inlineStr">
        <is>
          <t>5. Trees &amp; Graphs - Core</t>
        </is>
      </c>
      <c r="C647" s="65" t="inlineStr">
        <is>
          <t>20. Graphs</t>
        </is>
      </c>
      <c r="D647" s="65" t="inlineStr">
        <is>
          <t>Bellman-Ford</t>
        </is>
      </c>
      <c r="E647" s="65" t="inlineStr">
        <is>
          <t>Distance from the Source (Bellman-Ford)</t>
        </is>
      </c>
      <c r="F647" s="65" t="inlineStr">
        <is>
          <t>Medium</t>
        </is>
      </c>
      <c r="G647" s="65" t="inlineStr">
        <is>
          <t>Core</t>
        </is>
      </c>
      <c r="H647" s="65" t="inlineStr">
        <is>
          <t>GeeksforGeeks</t>
        </is>
      </c>
      <c r="I647" s="65" t="inlineStr">
        <is>
          <t>https://www.geeksforgeeks.org/problems/distance-from-the-source-bellman-ford-algorithm/1</t>
        </is>
      </c>
      <c r="J647" s="65" t="inlineStr">
        <is>
          <t>Not Started</t>
        </is>
      </c>
      <c r="K647" s="65" t="n"/>
      <c r="L647" s="65" t="n"/>
      <c r="M647" s="71" t="n"/>
      <c r="N647" s="71">
        <f>IF($M647="","",$M647+IF($K647="",Dashboard!$M$9,INDEX(Dashboard!$M$5:$M$9,$K647)))</f>
        <v/>
      </c>
      <c r="O647" s="65">
        <f>IF(OR($J647="Attempted",$J647="Revisit"),"DUE",IF($N647="","",IF($N647&lt;=TODAY(),"DUE","")))</f>
        <v/>
      </c>
      <c r="P647" s="65" t="n"/>
    </row>
    <row r="648">
      <c r="A648" s="65" t="n">
        <v>647</v>
      </c>
      <c r="B648" s="65" t="inlineStr">
        <is>
          <t>5. Trees &amp; Graphs - Core</t>
        </is>
      </c>
      <c r="C648" s="65" t="inlineStr">
        <is>
          <t>20. Graphs</t>
        </is>
      </c>
      <c r="D648" s="65" t="inlineStr">
        <is>
          <t>Bellman-Ford</t>
        </is>
      </c>
      <c r="E648" s="65" t="inlineStr">
        <is>
          <t>Cheapest Flights Within K Stops</t>
        </is>
      </c>
      <c r="F648" s="65" t="inlineStr">
        <is>
          <t>Medium</t>
        </is>
      </c>
      <c r="G648" s="65" t="inlineStr">
        <is>
          <t>Core</t>
        </is>
      </c>
      <c r="H648" s="65" t="inlineStr">
        <is>
          <t>LeetCode</t>
        </is>
      </c>
      <c r="I648" s="65" t="inlineStr">
        <is>
          <t>https://leetcode.com/problems/cheapest-flights-within-k-stops/</t>
        </is>
      </c>
      <c r="J648" s="65" t="inlineStr">
        <is>
          <t>Not Started</t>
        </is>
      </c>
      <c r="K648" s="65" t="n"/>
      <c r="L648" s="65" t="n"/>
      <c r="M648" s="71" t="n"/>
      <c r="N648" s="71">
        <f>IF($M648="","",$M648+IF($K648="",Dashboard!$M$9,INDEX(Dashboard!$M$5:$M$9,$K648)))</f>
        <v/>
      </c>
      <c r="O648" s="65">
        <f>IF(OR($J648="Attempted",$J648="Revisit"),"DUE",IF($N648="","",IF($N648&lt;=TODAY(),"DUE","")))</f>
        <v/>
      </c>
      <c r="P648" s="65" t="n"/>
    </row>
    <row r="649">
      <c r="A649" s="65" t="n">
        <v>648</v>
      </c>
      <c r="B649" s="65" t="inlineStr">
        <is>
          <t>5. Trees &amp; Graphs - Core</t>
        </is>
      </c>
      <c r="C649" s="65" t="inlineStr">
        <is>
          <t>20. Graphs</t>
        </is>
      </c>
      <c r="D649" s="65" t="inlineStr">
        <is>
          <t>Floyd-Warshall</t>
        </is>
      </c>
      <c r="E649" s="65" t="inlineStr">
        <is>
          <t>Floyd Warshall Algorithm</t>
        </is>
      </c>
      <c r="F649" s="65" t="inlineStr">
        <is>
          <t>Medium</t>
        </is>
      </c>
      <c r="G649" s="65" t="inlineStr">
        <is>
          <t>Core</t>
        </is>
      </c>
      <c r="H649" s="65" t="inlineStr">
        <is>
          <t>GeeksforGeeks</t>
        </is>
      </c>
      <c r="I649" s="65" t="inlineStr">
        <is>
          <t>https://www.geeksforgeeks.org/problems/implementing-floyd-warshall2042/1</t>
        </is>
      </c>
      <c r="J649" s="65" t="inlineStr">
        <is>
          <t>Not Started</t>
        </is>
      </c>
      <c r="K649" s="65" t="n"/>
      <c r="L649" s="65" t="n"/>
      <c r="M649" s="71" t="n"/>
      <c r="N649" s="71">
        <f>IF($M649="","",$M649+IF($K649="",Dashboard!$M$9,INDEX(Dashboard!$M$5:$M$9,$K649)))</f>
        <v/>
      </c>
      <c r="O649" s="65">
        <f>IF(OR($J649="Attempted",$J649="Revisit"),"DUE",IF($N649="","",IF($N649&lt;=TODAY(),"DUE","")))</f>
        <v/>
      </c>
      <c r="P649" s="65" t="n"/>
    </row>
    <row r="650">
      <c r="A650" s="65" t="n">
        <v>649</v>
      </c>
      <c r="B650" s="65" t="inlineStr">
        <is>
          <t>5. Trees &amp; Graphs - Core</t>
        </is>
      </c>
      <c r="C650" s="65" t="inlineStr">
        <is>
          <t>20. Graphs</t>
        </is>
      </c>
      <c r="D650" s="65" t="inlineStr">
        <is>
          <t>Floyd-Warshall</t>
        </is>
      </c>
      <c r="E650" s="65" t="inlineStr">
        <is>
          <t>Find the City With the Smallest Number of Neighbors</t>
        </is>
      </c>
      <c r="F650" s="65" t="inlineStr">
        <is>
          <t>Medium</t>
        </is>
      </c>
      <c r="G650" s="65" t="inlineStr">
        <is>
          <t>Core</t>
        </is>
      </c>
      <c r="H650" s="65" t="inlineStr">
        <is>
          <t>LeetCode</t>
        </is>
      </c>
      <c r="I650" s="65" t="inlineStr">
        <is>
          <t>https://leetcode.com/problems/find-the-city-with-the-smallest-number-of-neighbors-at-a-threshold-distance/</t>
        </is>
      </c>
      <c r="J650" s="65" t="inlineStr">
        <is>
          <t>Not Started</t>
        </is>
      </c>
      <c r="K650" s="65" t="n"/>
      <c r="L650" s="65" t="n"/>
      <c r="M650" s="71" t="n"/>
      <c r="N650" s="71">
        <f>IF($M650="","",$M650+IF($K650="",Dashboard!$M$9,INDEX(Dashboard!$M$5:$M$9,$K650)))</f>
        <v/>
      </c>
      <c r="O650" s="65">
        <f>IF(OR($J650="Attempted",$J650="Revisit"),"DUE",IF($N650="","",IF($N650&lt;=TODAY(),"DUE","")))</f>
        <v/>
      </c>
      <c r="P650" s="65" t="inlineStr">
        <is>
          <t>v3 addition</t>
        </is>
      </c>
    </row>
    <row r="651">
      <c r="A651" s="65" t="n">
        <v>650</v>
      </c>
      <c r="B651" s="65" t="inlineStr">
        <is>
          <t>5. Trees &amp; Graphs - Core</t>
        </is>
      </c>
      <c r="C651" s="65" t="inlineStr">
        <is>
          <t>20. Graphs</t>
        </is>
      </c>
      <c r="D651" s="65" t="inlineStr">
        <is>
          <t>MST</t>
        </is>
      </c>
      <c r="E651" s="65" t="inlineStr">
        <is>
          <t>Minimum Spanning Tree (Prim's)</t>
        </is>
      </c>
      <c r="F651" s="65" t="inlineStr">
        <is>
          <t>Medium</t>
        </is>
      </c>
      <c r="G651" s="65" t="inlineStr">
        <is>
          <t>Core</t>
        </is>
      </c>
      <c r="H651" s="65" t="inlineStr">
        <is>
          <t>GeeksforGeeks</t>
        </is>
      </c>
      <c r="I651" s="65" t="inlineStr">
        <is>
          <t>https://www.geeksforgeeks.org/problems/minimum-spanning-tree/1</t>
        </is>
      </c>
      <c r="J651" s="65" t="inlineStr">
        <is>
          <t>Not Started</t>
        </is>
      </c>
      <c r="K651" s="65" t="n"/>
      <c r="L651" s="65" t="n"/>
      <c r="M651" s="71" t="n"/>
      <c r="N651" s="71">
        <f>IF($M651="","",$M651+IF($K651="",Dashboard!$M$9,INDEX(Dashboard!$M$5:$M$9,$K651)))</f>
        <v/>
      </c>
      <c r="O651" s="65">
        <f>IF(OR($J651="Attempted",$J651="Revisit"),"DUE",IF($N651="","",IF($N651&lt;=TODAY(),"DUE","")))</f>
        <v/>
      </c>
      <c r="P651" s="65" t="inlineStr">
        <is>
          <t>v3 addition</t>
        </is>
      </c>
    </row>
    <row r="652">
      <c r="A652" s="65" t="n">
        <v>651</v>
      </c>
      <c r="B652" s="65" t="inlineStr">
        <is>
          <t>5. Trees &amp; Graphs - Core</t>
        </is>
      </c>
      <c r="C652" s="65" t="inlineStr">
        <is>
          <t>20. Graphs</t>
        </is>
      </c>
      <c r="D652" s="65" t="inlineStr">
        <is>
          <t>MST</t>
        </is>
      </c>
      <c r="E652" s="65" t="inlineStr">
        <is>
          <t>Kruskal's Algorithm</t>
        </is>
      </c>
      <c r="F652" s="65" t="inlineStr">
        <is>
          <t>Medium</t>
        </is>
      </c>
      <c r="G652" s="65" t="inlineStr">
        <is>
          <t>Core</t>
        </is>
      </c>
      <c r="H652" s="65" t="inlineStr">
        <is>
          <t>GeeksforGeeks</t>
        </is>
      </c>
      <c r="I652" s="65" t="inlineStr">
        <is>
          <t>https://www.geeksforgeeks.org/problems/minimum-spanning-tree-kruskals-algorithm/1</t>
        </is>
      </c>
      <c r="J652" s="65" t="inlineStr">
        <is>
          <t>Not Started</t>
        </is>
      </c>
      <c r="K652" s="65" t="n"/>
      <c r="L652" s="65" t="n"/>
      <c r="M652" s="71" t="n"/>
      <c r="N652" s="71">
        <f>IF($M652="","",$M652+IF($K652="",Dashboard!$M$9,INDEX(Dashboard!$M$5:$M$9,$K652)))</f>
        <v/>
      </c>
      <c r="O652" s="65">
        <f>IF(OR($J652="Attempted",$J652="Revisit"),"DUE",IF($N652="","",IF($N652&lt;=TODAY(),"DUE","")))</f>
        <v/>
      </c>
      <c r="P652" s="65" t="inlineStr">
        <is>
          <t>v3 addition</t>
        </is>
      </c>
    </row>
    <row r="653">
      <c r="A653" s="65" t="n">
        <v>652</v>
      </c>
      <c r="B653" s="65" t="inlineStr">
        <is>
          <t>5. Trees &amp; Graphs - Core</t>
        </is>
      </c>
      <c r="C653" s="65" t="inlineStr">
        <is>
          <t>20. Graphs</t>
        </is>
      </c>
      <c r="D653" s="65" t="inlineStr">
        <is>
          <t>Misc</t>
        </is>
      </c>
      <c r="E653" s="65" t="inlineStr">
        <is>
          <t>Graph Valid Tree</t>
        </is>
      </c>
      <c r="F653" s="65" t="inlineStr">
        <is>
          <t>Medium</t>
        </is>
      </c>
      <c r="G653" s="65" t="inlineStr">
        <is>
          <t>Core</t>
        </is>
      </c>
      <c r="H653" s="65" t="inlineStr">
        <is>
          <t>GeeksforGeeks</t>
        </is>
      </c>
      <c r="I653" s="65" t="inlineStr">
        <is>
          <t>https://www.geeksforgeeks.org/problems/is-it-a-tree/1</t>
        </is>
      </c>
      <c r="J653" s="65" t="inlineStr">
        <is>
          <t>Not Started</t>
        </is>
      </c>
      <c r="K653" s="65" t="n"/>
      <c r="L653" s="65" t="n"/>
      <c r="M653" s="71" t="n"/>
      <c r="N653" s="71">
        <f>IF($M653="","",$M653+IF($K653="",Dashboard!$M$9,INDEX(Dashboard!$M$5:$M$9,$K653)))</f>
        <v/>
      </c>
      <c r="O653" s="65">
        <f>IF(OR($J653="Attempted",$J653="Revisit"),"DUE",IF($N653="","",IF($N653&lt;=TODAY(),"DUE","")))</f>
        <v/>
      </c>
      <c r="P653" s="65" t="inlineStr">
        <is>
          <t>v3 addition</t>
        </is>
      </c>
    </row>
    <row r="654">
      <c r="A654" s="65" t="n">
        <v>653</v>
      </c>
      <c r="B654" s="65" t="inlineStr">
        <is>
          <t>5. Trees &amp; Graphs - Core</t>
        </is>
      </c>
      <c r="C654" s="65" t="inlineStr">
        <is>
          <t>20. Graphs</t>
        </is>
      </c>
      <c r="D654" s="65" t="inlineStr">
        <is>
          <t>Misc</t>
        </is>
      </c>
      <c r="E654" s="65" t="inlineStr">
        <is>
          <t>Evaluate Division</t>
        </is>
      </c>
      <c r="F654" s="65" t="inlineStr">
        <is>
          <t>Medium</t>
        </is>
      </c>
      <c r="G654" s="65" t="inlineStr">
        <is>
          <t>Core</t>
        </is>
      </c>
      <c r="H654" s="65" t="inlineStr">
        <is>
          <t>LeetCode</t>
        </is>
      </c>
      <c r="I654" s="65" t="inlineStr">
        <is>
          <t>https://leetcode.com/problems/evaluate-division/</t>
        </is>
      </c>
      <c r="J654" s="65" t="inlineStr">
        <is>
          <t>Not Started</t>
        </is>
      </c>
      <c r="K654" s="65" t="n"/>
      <c r="L654" s="65" t="n"/>
      <c r="M654" s="71" t="n"/>
      <c r="N654" s="71">
        <f>IF($M654="","",$M654+IF($K654="",Dashboard!$M$9,INDEX(Dashboard!$M$5:$M$9,$K654)))</f>
        <v/>
      </c>
      <c r="O654" s="65">
        <f>IF(OR($J654="Attempted",$J654="Revisit"),"DUE",IF($N654="","",IF($N654&lt;=TODAY(),"DUE","")))</f>
        <v/>
      </c>
      <c r="P654" s="65" t="inlineStr">
        <is>
          <t>v3 addition</t>
        </is>
      </c>
    </row>
    <row r="655">
      <c r="A655" s="65" t="n">
        <v>654</v>
      </c>
      <c r="B655" s="65" t="inlineStr">
        <is>
          <t>5. Trees &amp; Graphs - Depth</t>
        </is>
      </c>
      <c r="C655" s="65" t="inlineStr">
        <is>
          <t>18. Trees &amp; BST</t>
        </is>
      </c>
      <c r="D655" s="65" t="inlineStr">
        <is>
          <t>Traversal</t>
        </is>
      </c>
      <c r="E655" s="65" t="inlineStr">
        <is>
          <t>Binary Tree Postorder Traversal</t>
        </is>
      </c>
      <c r="F655" s="65" t="inlineStr">
        <is>
          <t>Easy</t>
        </is>
      </c>
      <c r="G655" s="65" t="inlineStr">
        <is>
          <t>Depth</t>
        </is>
      </c>
      <c r="H655" s="65" t="inlineStr">
        <is>
          <t>LeetCode</t>
        </is>
      </c>
      <c r="I655" s="65" t="inlineStr">
        <is>
          <t>https://leetcode.com/problems/binary-tree-postorder-traversal/</t>
        </is>
      </c>
      <c r="J655" s="65" t="inlineStr">
        <is>
          <t>Not Started</t>
        </is>
      </c>
      <c r="K655" s="65" t="n"/>
      <c r="L655" s="65" t="n"/>
      <c r="M655" s="71" t="n"/>
      <c r="N655" s="71">
        <f>IF($M655="","",$M655+IF($K655="",Dashboard!$M$9,INDEX(Dashboard!$M$5:$M$9,$K655)))</f>
        <v/>
      </c>
      <c r="O655" s="65">
        <f>IF(OR($J655="Attempted",$J655="Revisit"),"DUE",IF($N655="","",IF($N655&lt;=TODAY(),"DUE","")))</f>
        <v/>
      </c>
      <c r="P655" s="65" t="n"/>
    </row>
    <row r="656">
      <c r="A656" s="65" t="n">
        <v>655</v>
      </c>
      <c r="B656" s="65" t="inlineStr">
        <is>
          <t>5. Trees &amp; Graphs - Depth</t>
        </is>
      </c>
      <c r="C656" s="65" t="inlineStr">
        <is>
          <t>18. Trees &amp; BST</t>
        </is>
      </c>
      <c r="D656" s="65" t="inlineStr">
        <is>
          <t>Traversal</t>
        </is>
      </c>
      <c r="E656" s="65" t="inlineStr">
        <is>
          <t>Morris Inorder Traversal</t>
        </is>
      </c>
      <c r="F656" s="65" t="inlineStr">
        <is>
          <t>Medium</t>
        </is>
      </c>
      <c r="G656" s="65" t="inlineStr">
        <is>
          <t>Depth</t>
        </is>
      </c>
      <c r="H656" s="65" t="inlineStr">
        <is>
          <t>GeeksforGeeks</t>
        </is>
      </c>
      <c r="I656" s="65" t="inlineStr">
        <is>
          <t>https://www.geeksforgeeks.org/problems/inorder-traversal/1</t>
        </is>
      </c>
      <c r="J656" s="65" t="inlineStr">
        <is>
          <t>Not Started</t>
        </is>
      </c>
      <c r="K656" s="65" t="n"/>
      <c r="L656" s="65" t="n"/>
      <c r="M656" s="71" t="n"/>
      <c r="N656" s="71">
        <f>IF($M656="","",$M656+IF($K656="",Dashboard!$M$9,INDEX(Dashboard!$M$5:$M$9,$K656)))</f>
        <v/>
      </c>
      <c r="O656" s="65">
        <f>IF(OR($J656="Attempted",$J656="Revisit"),"DUE",IF($N656="","",IF($N656&lt;=TODAY(),"DUE","")))</f>
        <v/>
      </c>
      <c r="P656" s="65" t="inlineStr">
        <is>
          <t>v3 addition</t>
        </is>
      </c>
    </row>
    <row r="657">
      <c r="A657" s="65" t="n">
        <v>656</v>
      </c>
      <c r="B657" s="65" t="inlineStr">
        <is>
          <t>5. Trees &amp; Graphs - Depth</t>
        </is>
      </c>
      <c r="C657" s="65" t="inlineStr">
        <is>
          <t>18. Trees &amp; BST</t>
        </is>
      </c>
      <c r="D657" s="65" t="inlineStr">
        <is>
          <t>Structure</t>
        </is>
      </c>
      <c r="E657" s="65" t="inlineStr">
        <is>
          <t>Count Complete Tree Nodes</t>
        </is>
      </c>
      <c r="F657" s="65" t="inlineStr">
        <is>
          <t>Easy</t>
        </is>
      </c>
      <c r="G657" s="65" t="inlineStr">
        <is>
          <t>Depth</t>
        </is>
      </c>
      <c r="H657" s="65" t="inlineStr">
        <is>
          <t>LeetCode</t>
        </is>
      </c>
      <c r="I657" s="65" t="inlineStr">
        <is>
          <t>https://leetcode.com/problems/count-complete-tree-nodes/</t>
        </is>
      </c>
      <c r="J657" s="65" t="inlineStr">
        <is>
          <t>Not Started</t>
        </is>
      </c>
      <c r="K657" s="65" t="n"/>
      <c r="L657" s="65" t="n"/>
      <c r="M657" s="71" t="n"/>
      <c r="N657" s="71">
        <f>IF($M657="","",$M657+IF($K657="",Dashboard!$M$9,INDEX(Dashboard!$M$5:$M$9,$K657)))</f>
        <v/>
      </c>
      <c r="O657" s="65">
        <f>IF(OR($J657="Attempted",$J657="Revisit"),"DUE",IF($N657="","",IF($N657&lt;=TODAY(),"DUE","")))</f>
        <v/>
      </c>
      <c r="P657" s="65" t="inlineStr">
        <is>
          <t>v3 addition</t>
        </is>
      </c>
    </row>
    <row r="658">
      <c r="A658" s="65" t="n">
        <v>657</v>
      </c>
      <c r="B658" s="65" t="inlineStr">
        <is>
          <t>5. Trees &amp; Graphs - Depth</t>
        </is>
      </c>
      <c r="C658" s="65" t="inlineStr">
        <is>
          <t>18. Trees &amp; BST</t>
        </is>
      </c>
      <c r="D658" s="65" t="inlineStr">
        <is>
          <t>Structure</t>
        </is>
      </c>
      <c r="E658" s="65" t="inlineStr">
        <is>
          <t>Flip Equivalent Binary Trees</t>
        </is>
      </c>
      <c r="F658" s="65" t="inlineStr">
        <is>
          <t>Medium</t>
        </is>
      </c>
      <c r="G658" s="65" t="inlineStr">
        <is>
          <t>Depth</t>
        </is>
      </c>
      <c r="H658" s="65" t="inlineStr">
        <is>
          <t>LeetCode</t>
        </is>
      </c>
      <c r="I658" s="65" t="inlineStr">
        <is>
          <t>https://leetcode.com/problems/flip-equivalent-binary-trees/</t>
        </is>
      </c>
      <c r="J658" s="65" t="inlineStr">
        <is>
          <t>Not Started</t>
        </is>
      </c>
      <c r="K658" s="65" t="n"/>
      <c r="L658" s="65" t="n"/>
      <c r="M658" s="71" t="n"/>
      <c r="N658" s="71">
        <f>IF($M658="","",$M658+IF($K658="",Dashboard!$M$9,INDEX(Dashboard!$M$5:$M$9,$K658)))</f>
        <v/>
      </c>
      <c r="O658" s="65">
        <f>IF(OR($J658="Attempted",$J658="Revisit"),"DUE",IF($N658="","",IF($N658&lt;=TODAY(),"DUE","")))</f>
        <v/>
      </c>
      <c r="P658" s="65" t="inlineStr">
        <is>
          <t>v3 addition</t>
        </is>
      </c>
    </row>
    <row r="659">
      <c r="A659" s="65" t="n">
        <v>658</v>
      </c>
      <c r="B659" s="65" t="inlineStr">
        <is>
          <t>5. Trees &amp; Graphs - Depth</t>
        </is>
      </c>
      <c r="C659" s="65" t="inlineStr">
        <is>
          <t>18. Trees &amp; BST</t>
        </is>
      </c>
      <c r="D659" s="65" t="inlineStr">
        <is>
          <t>Structure</t>
        </is>
      </c>
      <c r="E659" s="65" t="inlineStr">
        <is>
          <t>Check Completeness of a Binary Tree</t>
        </is>
      </c>
      <c r="F659" s="65" t="inlineStr">
        <is>
          <t>Medium</t>
        </is>
      </c>
      <c r="G659" s="65" t="inlineStr">
        <is>
          <t>Depth</t>
        </is>
      </c>
      <c r="H659" s="65" t="inlineStr">
        <is>
          <t>LeetCode</t>
        </is>
      </c>
      <c r="I659" s="65" t="inlineStr">
        <is>
          <t>https://leetcode.com/problems/check-completeness-of-a-binary-tree/</t>
        </is>
      </c>
      <c r="J659" s="65" t="inlineStr">
        <is>
          <t>Not Started</t>
        </is>
      </c>
      <c r="K659" s="65" t="n"/>
      <c r="L659" s="65" t="n"/>
      <c r="M659" s="71" t="n"/>
      <c r="N659" s="71">
        <f>IF($M659="","",$M659+IF($K659="",Dashboard!$M$9,INDEX(Dashboard!$M$5:$M$9,$K659)))</f>
        <v/>
      </c>
      <c r="O659" s="65">
        <f>IF(OR($J659="Attempted",$J659="Revisit"),"DUE",IF($N659="","",IF($N659&lt;=TODAY(),"DUE","")))</f>
        <v/>
      </c>
      <c r="P659" s="65" t="inlineStr">
        <is>
          <t>v3 addition</t>
        </is>
      </c>
    </row>
    <row r="660">
      <c r="A660" s="65" t="n">
        <v>659</v>
      </c>
      <c r="B660" s="65" t="inlineStr">
        <is>
          <t>5. Trees &amp; Graphs - Depth</t>
        </is>
      </c>
      <c r="C660" s="65" t="inlineStr">
        <is>
          <t>18. Trees &amp; BST</t>
        </is>
      </c>
      <c r="D660" s="65" t="inlineStr">
        <is>
          <t>BFS</t>
        </is>
      </c>
      <c r="E660" s="65" t="inlineStr">
        <is>
          <t>Kth Largest Sum in a Binary Tree</t>
        </is>
      </c>
      <c r="F660" s="65" t="inlineStr">
        <is>
          <t>Medium</t>
        </is>
      </c>
      <c r="G660" s="65" t="inlineStr">
        <is>
          <t>Depth</t>
        </is>
      </c>
      <c r="H660" s="65" t="inlineStr">
        <is>
          <t>LeetCode</t>
        </is>
      </c>
      <c r="I660" s="65" t="inlineStr">
        <is>
          <t>https://leetcode.com/problems/kth-largest-sum-in-a-binary-tree/</t>
        </is>
      </c>
      <c r="J660" s="65" t="inlineStr">
        <is>
          <t>Not Started</t>
        </is>
      </c>
      <c r="K660" s="65" t="n"/>
      <c r="L660" s="65" t="n"/>
      <c r="M660" s="71" t="n"/>
      <c r="N660" s="71">
        <f>IF($M660="","",$M660+IF($K660="",Dashboard!$M$9,INDEX(Dashboard!$M$5:$M$9,$K660)))</f>
        <v/>
      </c>
      <c r="O660" s="65">
        <f>IF(OR($J660="Attempted",$J660="Revisit"),"DUE",IF($N660="","",IF($N660&lt;=TODAY(),"DUE","")))</f>
        <v/>
      </c>
      <c r="P660" s="65" t="inlineStr">
        <is>
          <t>v3 addition</t>
        </is>
      </c>
    </row>
    <row r="661">
      <c r="A661" s="65" t="n">
        <v>660</v>
      </c>
      <c r="B661" s="65" t="inlineStr">
        <is>
          <t>5. Trees &amp; Graphs - Depth</t>
        </is>
      </c>
      <c r="C661" s="65" t="inlineStr">
        <is>
          <t>18. Trees &amp; BST</t>
        </is>
      </c>
      <c r="D661" s="65" t="inlineStr">
        <is>
          <t>BFS</t>
        </is>
      </c>
      <c r="E661" s="65" t="inlineStr">
        <is>
          <t>Binary Tree Level Order Traversal II</t>
        </is>
      </c>
      <c r="F661" s="65" t="inlineStr">
        <is>
          <t>Medium</t>
        </is>
      </c>
      <c r="G661" s="65" t="inlineStr">
        <is>
          <t>Depth</t>
        </is>
      </c>
      <c r="H661" s="65" t="inlineStr">
        <is>
          <t>LeetCode</t>
        </is>
      </c>
      <c r="I661" s="65" t="inlineStr">
        <is>
          <t>https://leetcode.com/problems/binary-tree-level-order-traversal-ii/</t>
        </is>
      </c>
      <c r="J661" s="65" t="inlineStr">
        <is>
          <t>Not Started</t>
        </is>
      </c>
      <c r="K661" s="65" t="n"/>
      <c r="L661" s="65" t="n"/>
      <c r="M661" s="71" t="n"/>
      <c r="N661" s="71">
        <f>IF($M661="","",$M661+IF($K661="",Dashboard!$M$9,INDEX(Dashboard!$M$5:$M$9,$K661)))</f>
        <v/>
      </c>
      <c r="O661" s="65">
        <f>IF(OR($J661="Attempted",$J661="Revisit"),"DUE",IF($N661="","",IF($N661&lt;=TODAY(),"DUE","")))</f>
        <v/>
      </c>
      <c r="P661" s="65" t="inlineStr">
        <is>
          <t>v3 addition</t>
        </is>
      </c>
    </row>
    <row r="662">
      <c r="A662" s="65" t="n">
        <v>661</v>
      </c>
      <c r="B662" s="65" t="inlineStr">
        <is>
          <t>5. Trees &amp; Graphs - Depth</t>
        </is>
      </c>
      <c r="C662" s="65" t="inlineStr">
        <is>
          <t>18. Trees &amp; BST</t>
        </is>
      </c>
      <c r="D662" s="65" t="inlineStr">
        <is>
          <t>BFS</t>
        </is>
      </c>
      <c r="E662" s="65" t="inlineStr">
        <is>
          <t>Binary Tree Zigzag Level Order Traversal</t>
        </is>
      </c>
      <c r="F662" s="65" t="inlineStr">
        <is>
          <t>Medium</t>
        </is>
      </c>
      <c r="G662" s="65" t="inlineStr">
        <is>
          <t>Depth</t>
        </is>
      </c>
      <c r="H662" s="65" t="inlineStr">
        <is>
          <t>LeetCode</t>
        </is>
      </c>
      <c r="I662" s="65" t="inlineStr">
        <is>
          <t>https://leetcode.com/problems/binary-tree-zigzag-level-order-traversal/</t>
        </is>
      </c>
      <c r="J662" s="65" t="inlineStr">
        <is>
          <t>Not Started</t>
        </is>
      </c>
      <c r="K662" s="65" t="n"/>
      <c r="L662" s="65" t="n"/>
      <c r="M662" s="71" t="n"/>
      <c r="N662" s="71">
        <f>IF($M662="","",$M662+IF($K662="",Dashboard!$M$9,INDEX(Dashboard!$M$5:$M$9,$K662)))</f>
        <v/>
      </c>
      <c r="O662" s="65">
        <f>IF(OR($J662="Attempted",$J662="Revisit"),"DUE",IF($N662="","",IF($N662&lt;=TODAY(),"DUE","")))</f>
        <v/>
      </c>
      <c r="P662" s="65" t="inlineStr">
        <is>
          <t>v3 addition</t>
        </is>
      </c>
    </row>
    <row r="663">
      <c r="A663" s="65" t="n">
        <v>662</v>
      </c>
      <c r="B663" s="65" t="inlineStr">
        <is>
          <t>5. Trees &amp; Graphs - Depth</t>
        </is>
      </c>
      <c r="C663" s="65" t="inlineStr">
        <is>
          <t>18. Trees &amp; BST</t>
        </is>
      </c>
      <c r="D663" s="65" t="inlineStr">
        <is>
          <t>BFS</t>
        </is>
      </c>
      <c r="E663" s="65" t="inlineStr">
        <is>
          <t>N-ary Tree Level Order Traversal</t>
        </is>
      </c>
      <c r="F663" s="65" t="inlineStr">
        <is>
          <t>Medium</t>
        </is>
      </c>
      <c r="G663" s="65" t="inlineStr">
        <is>
          <t>Depth</t>
        </is>
      </c>
      <c r="H663" s="65" t="inlineStr">
        <is>
          <t>LeetCode</t>
        </is>
      </c>
      <c r="I663" s="65" t="inlineStr">
        <is>
          <t>https://leetcode.com/problems/n-ary-tree-level-order-traversal/</t>
        </is>
      </c>
      <c r="J663" s="65" t="inlineStr">
        <is>
          <t>Not Started</t>
        </is>
      </c>
      <c r="K663" s="65" t="n"/>
      <c r="L663" s="65" t="n"/>
      <c r="M663" s="71" t="n"/>
      <c r="N663" s="71">
        <f>IF($M663="","",$M663+IF($K663="",Dashboard!$M$9,INDEX(Dashboard!$M$5:$M$9,$K663)))</f>
        <v/>
      </c>
      <c r="O663" s="65">
        <f>IF(OR($J663="Attempted",$J663="Revisit"),"DUE",IF($N663="","",IF($N663&lt;=TODAY(),"DUE","")))</f>
        <v/>
      </c>
      <c r="P663" s="65" t="n"/>
    </row>
    <row r="664">
      <c r="A664" s="65" t="n">
        <v>663</v>
      </c>
      <c r="B664" s="65" t="inlineStr">
        <is>
          <t>5. Trees &amp; Graphs - Depth</t>
        </is>
      </c>
      <c r="C664" s="65" t="inlineStr">
        <is>
          <t>18. Trees &amp; BST</t>
        </is>
      </c>
      <c r="D664" s="65" t="inlineStr">
        <is>
          <t>Views</t>
        </is>
      </c>
      <c r="E664" s="65" t="inlineStr">
        <is>
          <t>Bottom View of Binary Tree</t>
        </is>
      </c>
      <c r="F664" s="65" t="inlineStr">
        <is>
          <t>Medium</t>
        </is>
      </c>
      <c r="G664" s="65" t="inlineStr">
        <is>
          <t>Depth</t>
        </is>
      </c>
      <c r="H664" s="65" t="inlineStr">
        <is>
          <t>GeeksforGeeks</t>
        </is>
      </c>
      <c r="I664" s="65" t="inlineStr">
        <is>
          <t>https://www.geeksforgeeks.org/problems/bottom-view-of-binary-tree/1</t>
        </is>
      </c>
      <c r="J664" s="65" t="inlineStr">
        <is>
          <t>Not Started</t>
        </is>
      </c>
      <c r="K664" s="65" t="n"/>
      <c r="L664" s="65" t="n"/>
      <c r="M664" s="71" t="n"/>
      <c r="N664" s="71">
        <f>IF($M664="","",$M664+IF($K664="",Dashboard!$M$9,INDEX(Dashboard!$M$5:$M$9,$K664)))</f>
        <v/>
      </c>
      <c r="O664" s="65">
        <f>IF(OR($J664="Attempted",$J664="Revisit"),"DUE",IF($N664="","",IF($N664&lt;=TODAY(),"DUE","")))</f>
        <v/>
      </c>
      <c r="P664" s="65" t="n"/>
    </row>
    <row r="665">
      <c r="A665" s="65" t="n">
        <v>664</v>
      </c>
      <c r="B665" s="65" t="inlineStr">
        <is>
          <t>5. Trees &amp; Graphs - Depth</t>
        </is>
      </c>
      <c r="C665" s="65" t="inlineStr">
        <is>
          <t>18. Trees &amp; BST</t>
        </is>
      </c>
      <c r="D665" s="65" t="inlineStr">
        <is>
          <t>Views</t>
        </is>
      </c>
      <c r="E665" s="65" t="inlineStr">
        <is>
          <t>Boundary Traversal of Binary Tree</t>
        </is>
      </c>
      <c r="F665" s="65" t="inlineStr">
        <is>
          <t>Medium</t>
        </is>
      </c>
      <c r="G665" s="65" t="inlineStr">
        <is>
          <t>Depth</t>
        </is>
      </c>
      <c r="H665" s="65" t="inlineStr">
        <is>
          <t>GeeksforGeeks</t>
        </is>
      </c>
      <c r="I665" s="65" t="inlineStr">
        <is>
          <t>https://www.geeksforgeeks.org/problems/boundary-traversal-of-binary-tree/1</t>
        </is>
      </c>
      <c r="J665" s="65" t="inlineStr">
        <is>
          <t>Not Started</t>
        </is>
      </c>
      <c r="K665" s="65" t="n"/>
      <c r="L665" s="65" t="n"/>
      <c r="M665" s="71" t="n"/>
      <c r="N665" s="71">
        <f>IF($M665="","",$M665+IF($K665="",Dashboard!$M$9,INDEX(Dashboard!$M$5:$M$9,$K665)))</f>
        <v/>
      </c>
      <c r="O665" s="65">
        <f>IF(OR($J665="Attempted",$J665="Revisit"),"DUE",IF($N665="","",IF($N665&lt;=TODAY(),"DUE","")))</f>
        <v/>
      </c>
      <c r="P665" s="65" t="n"/>
    </row>
    <row r="666">
      <c r="A666" s="65" t="n">
        <v>665</v>
      </c>
      <c r="B666" s="65" t="inlineStr">
        <is>
          <t>5. Trees &amp; Graphs - Depth</t>
        </is>
      </c>
      <c r="C666" s="65" t="inlineStr">
        <is>
          <t>18. Trees &amp; BST</t>
        </is>
      </c>
      <c r="D666" s="65" t="inlineStr">
        <is>
          <t>Path sum</t>
        </is>
      </c>
      <c r="E666" s="65" t="inlineStr">
        <is>
          <t>Path Sum III</t>
        </is>
      </c>
      <c r="F666" s="65" t="inlineStr">
        <is>
          <t>Medium</t>
        </is>
      </c>
      <c r="G666" s="65" t="inlineStr">
        <is>
          <t>Depth</t>
        </is>
      </c>
      <c r="H666" s="65" t="inlineStr">
        <is>
          <t>LeetCode</t>
        </is>
      </c>
      <c r="I666" s="65" t="inlineStr">
        <is>
          <t>https://leetcode.com/problems/path-sum-iii/</t>
        </is>
      </c>
      <c r="J666" s="65" t="inlineStr">
        <is>
          <t>Not Started</t>
        </is>
      </c>
      <c r="K666" s="65" t="n"/>
      <c r="L666" s="65" t="n"/>
      <c r="M666" s="71" t="n"/>
      <c r="N666" s="71">
        <f>IF($M666="","",$M666+IF($K666="",Dashboard!$M$9,INDEX(Dashboard!$M$5:$M$9,$K666)))</f>
        <v/>
      </c>
      <c r="O666" s="65">
        <f>IF(OR($J666="Attempted",$J666="Revisit"),"DUE",IF($N666="","",IF($N666&lt;=TODAY(),"DUE","")))</f>
        <v/>
      </c>
      <c r="P666" s="65" t="inlineStr">
        <is>
          <t>v3 addition</t>
        </is>
      </c>
    </row>
    <row r="667">
      <c r="A667" s="65" t="n">
        <v>666</v>
      </c>
      <c r="B667" s="65" t="inlineStr">
        <is>
          <t>5. Trees &amp; Graphs - Depth</t>
        </is>
      </c>
      <c r="C667" s="65" t="inlineStr">
        <is>
          <t>18. Trees &amp; BST</t>
        </is>
      </c>
      <c r="D667" s="65" t="inlineStr">
        <is>
          <t>Path sum</t>
        </is>
      </c>
      <c r="E667" s="65" t="inlineStr">
        <is>
          <t>Sum Root to Leaf Numbers</t>
        </is>
      </c>
      <c r="F667" s="65" t="inlineStr">
        <is>
          <t>Medium</t>
        </is>
      </c>
      <c r="G667" s="65" t="inlineStr">
        <is>
          <t>Depth</t>
        </is>
      </c>
      <c r="H667" s="65" t="inlineStr">
        <is>
          <t>LeetCode</t>
        </is>
      </c>
      <c r="I667" s="65" t="inlineStr">
        <is>
          <t>https://leetcode.com/problems/sum-root-to-leaf-numbers/</t>
        </is>
      </c>
      <c r="J667" s="65" t="inlineStr">
        <is>
          <t>Not Started</t>
        </is>
      </c>
      <c r="K667" s="65" t="n"/>
      <c r="L667" s="65" t="n"/>
      <c r="M667" s="71" t="n"/>
      <c r="N667" s="71">
        <f>IF($M667="","",$M667+IF($K667="",Dashboard!$M$9,INDEX(Dashboard!$M$5:$M$9,$K667)))</f>
        <v/>
      </c>
      <c r="O667" s="65">
        <f>IF(OR($J667="Attempted",$J667="Revisit"),"DUE",IF($N667="","",IF($N667&lt;=TODAY(),"DUE","")))</f>
        <v/>
      </c>
      <c r="P667" s="65" t="inlineStr">
        <is>
          <t>v3 addition</t>
        </is>
      </c>
    </row>
    <row r="668">
      <c r="A668" s="65" t="n">
        <v>667</v>
      </c>
      <c r="B668" s="65" t="inlineStr">
        <is>
          <t>5. Trees &amp; Graphs - Depth</t>
        </is>
      </c>
      <c r="C668" s="65" t="inlineStr">
        <is>
          <t>18. Trees &amp; BST</t>
        </is>
      </c>
      <c r="D668" s="65" t="inlineStr">
        <is>
          <t>Construction</t>
        </is>
      </c>
      <c r="E668" s="65" t="inlineStr">
        <is>
          <t>All Possible Full Binary Trees</t>
        </is>
      </c>
      <c r="F668" s="65" t="inlineStr">
        <is>
          <t>Medium</t>
        </is>
      </c>
      <c r="G668" s="65" t="inlineStr">
        <is>
          <t>Depth</t>
        </is>
      </c>
      <c r="H668" s="65" t="inlineStr">
        <is>
          <t>LeetCode</t>
        </is>
      </c>
      <c r="I668" s="65" t="inlineStr">
        <is>
          <t>https://leetcode.com/problems/all-possible-full-binary-trees/</t>
        </is>
      </c>
      <c r="J668" s="65" t="inlineStr">
        <is>
          <t>Not Started</t>
        </is>
      </c>
      <c r="K668" s="65" t="n"/>
      <c r="L668" s="65" t="n"/>
      <c r="M668" s="71" t="n"/>
      <c r="N668" s="71">
        <f>IF($M668="","",$M668+IF($K668="",Dashboard!$M$9,INDEX(Dashboard!$M$5:$M$9,$K668)))</f>
        <v/>
      </c>
      <c r="O668" s="65">
        <f>IF(OR($J668="Attempted",$J668="Revisit"),"DUE",IF($N668="","",IF($N668&lt;=TODAY(),"DUE","")))</f>
        <v/>
      </c>
      <c r="P668" s="65" t="inlineStr">
        <is>
          <t>v3 addition</t>
        </is>
      </c>
    </row>
    <row r="669">
      <c r="A669" s="65" t="n">
        <v>668</v>
      </c>
      <c r="B669" s="65" t="inlineStr">
        <is>
          <t>5. Trees &amp; Graphs - Depth</t>
        </is>
      </c>
      <c r="C669" s="65" t="inlineStr">
        <is>
          <t>18. Trees &amp; BST</t>
        </is>
      </c>
      <c r="D669" s="65" t="inlineStr">
        <is>
          <t>Construction</t>
        </is>
      </c>
      <c r="E669" s="65" t="inlineStr">
        <is>
          <t>Construct Binary Tree from Inorder and Postorder</t>
        </is>
      </c>
      <c r="F669" s="65" t="inlineStr">
        <is>
          <t>Medium</t>
        </is>
      </c>
      <c r="G669" s="65" t="inlineStr">
        <is>
          <t>Depth</t>
        </is>
      </c>
      <c r="H669" s="65" t="inlineStr">
        <is>
          <t>LeetCode</t>
        </is>
      </c>
      <c r="I669" s="65" t="inlineStr">
        <is>
          <t>https://leetcode.com/problems/construct-binary-tree-from-inorder-and-postorder-traversal/</t>
        </is>
      </c>
      <c r="J669" s="65" t="inlineStr">
        <is>
          <t>Not Started</t>
        </is>
      </c>
      <c r="K669" s="65" t="n"/>
      <c r="L669" s="65" t="n"/>
      <c r="M669" s="71" t="n"/>
      <c r="N669" s="71">
        <f>IF($M669="","",$M669+IF($K669="",Dashboard!$M$9,INDEX(Dashboard!$M$5:$M$9,$K669)))</f>
        <v/>
      </c>
      <c r="O669" s="65">
        <f>IF(OR($J669="Attempted",$J669="Revisit"),"DUE",IF($N669="","",IF($N669&lt;=TODAY(),"DUE","")))</f>
        <v/>
      </c>
      <c r="P669" s="65" t="inlineStr">
        <is>
          <t>v3 addition</t>
        </is>
      </c>
    </row>
    <row r="670">
      <c r="A670" s="65" t="n">
        <v>669</v>
      </c>
      <c r="B670" s="65" t="inlineStr">
        <is>
          <t>5. Trees &amp; Graphs - Depth</t>
        </is>
      </c>
      <c r="C670" s="65" t="inlineStr">
        <is>
          <t>18. Trees &amp; BST</t>
        </is>
      </c>
      <c r="D670" s="65" t="inlineStr">
        <is>
          <t>Construction</t>
        </is>
      </c>
      <c r="E670" s="65" t="inlineStr">
        <is>
          <t>Flatten Binary Tree to Linked List</t>
        </is>
      </c>
      <c r="F670" s="65" t="inlineStr">
        <is>
          <t>Medium</t>
        </is>
      </c>
      <c r="G670" s="65" t="inlineStr">
        <is>
          <t>Depth</t>
        </is>
      </c>
      <c r="H670" s="65" t="inlineStr">
        <is>
          <t>LeetCode</t>
        </is>
      </c>
      <c r="I670" s="65" t="inlineStr">
        <is>
          <t>https://leetcode.com/problems/flatten-binary-tree-to-linked-list/</t>
        </is>
      </c>
      <c r="J670" s="65" t="inlineStr">
        <is>
          <t>Not Started</t>
        </is>
      </c>
      <c r="K670" s="65" t="n"/>
      <c r="L670" s="65" t="n"/>
      <c r="M670" s="71" t="n"/>
      <c r="N670" s="71">
        <f>IF($M670="","",$M670+IF($K670="",Dashboard!$M$9,INDEX(Dashboard!$M$5:$M$9,$K670)))</f>
        <v/>
      </c>
      <c r="O670" s="65">
        <f>IF(OR($J670="Attempted",$J670="Revisit"),"DUE",IF($N670="","",IF($N670&lt;=TODAY(),"DUE","")))</f>
        <v/>
      </c>
      <c r="P670" s="65" t="inlineStr">
        <is>
          <t>v3 addition</t>
        </is>
      </c>
    </row>
    <row r="671">
      <c r="A671" s="65" t="n">
        <v>670</v>
      </c>
      <c r="B671" s="65" t="inlineStr">
        <is>
          <t>5. Trees &amp; Graphs - Depth</t>
        </is>
      </c>
      <c r="C671" s="65" t="inlineStr">
        <is>
          <t>18. Trees &amp; BST</t>
        </is>
      </c>
      <c r="D671" s="65" t="inlineStr">
        <is>
          <t>Construction</t>
        </is>
      </c>
      <c r="E671" s="65" t="inlineStr">
        <is>
          <t>Construct Binary Search Tree from Preorder Traversal</t>
        </is>
      </c>
      <c r="F671" s="65" t="inlineStr">
        <is>
          <t>Medium</t>
        </is>
      </c>
      <c r="G671" s="65" t="inlineStr">
        <is>
          <t>Depth</t>
        </is>
      </c>
      <c r="H671" s="65" t="inlineStr">
        <is>
          <t>LeetCode</t>
        </is>
      </c>
      <c r="I671" s="65" t="inlineStr">
        <is>
          <t>https://leetcode.com/problems/construct-binary-search-tree-from-preorder-traversal/</t>
        </is>
      </c>
      <c r="J671" s="65" t="inlineStr">
        <is>
          <t>Not Started</t>
        </is>
      </c>
      <c r="K671" s="65" t="n"/>
      <c r="L671" s="65" t="n"/>
      <c r="M671" s="71" t="n"/>
      <c r="N671" s="71">
        <f>IF($M671="","",$M671+IF($K671="",Dashboard!$M$9,INDEX(Dashboard!$M$5:$M$9,$K671)))</f>
        <v/>
      </c>
      <c r="O671" s="65">
        <f>IF(OR($J671="Attempted",$J671="Revisit"),"DUE",IF($N671="","",IF($N671&lt;=TODAY(),"DUE","")))</f>
        <v/>
      </c>
      <c r="P671" s="65" t="inlineStr">
        <is>
          <t>v3 addition</t>
        </is>
      </c>
    </row>
    <row r="672">
      <c r="A672" s="65" t="n">
        <v>671</v>
      </c>
      <c r="B672" s="65" t="inlineStr">
        <is>
          <t>5. Trees &amp; Graphs - Depth</t>
        </is>
      </c>
      <c r="C672" s="65" t="inlineStr">
        <is>
          <t>18. Trees &amp; BST</t>
        </is>
      </c>
      <c r="D672" s="65" t="inlineStr">
        <is>
          <t>LCA</t>
        </is>
      </c>
      <c r="E672" s="65" t="inlineStr">
        <is>
          <t>Lowest Common Ancestor of Deepest Leaves</t>
        </is>
      </c>
      <c r="F672" s="65" t="inlineStr">
        <is>
          <t>Medium</t>
        </is>
      </c>
      <c r="G672" s="65" t="inlineStr">
        <is>
          <t>Depth</t>
        </is>
      </c>
      <c r="H672" s="65" t="inlineStr">
        <is>
          <t>LeetCode</t>
        </is>
      </c>
      <c r="I672" s="65" t="inlineStr">
        <is>
          <t>https://leetcode.com/problems/lowest-common-ancestor-of-deepest-leaves/</t>
        </is>
      </c>
      <c r="J672" s="65" t="inlineStr">
        <is>
          <t>Not Started</t>
        </is>
      </c>
      <c r="K672" s="65" t="n"/>
      <c r="L672" s="65" t="n"/>
      <c r="M672" s="71" t="n"/>
      <c r="N672" s="71">
        <f>IF($M672="","",$M672+IF($K672="",Dashboard!$M$9,INDEX(Dashboard!$M$5:$M$9,$K672)))</f>
        <v/>
      </c>
      <c r="O672" s="65">
        <f>IF(OR($J672="Attempted",$J672="Revisit"),"DUE",IF($N672="","",IF($N672&lt;=TODAY(),"DUE","")))</f>
        <v/>
      </c>
      <c r="P672" s="65" t="inlineStr">
        <is>
          <t>v3 addition</t>
        </is>
      </c>
    </row>
    <row r="673">
      <c r="A673" s="65" t="n">
        <v>672</v>
      </c>
      <c r="B673" s="65" t="inlineStr">
        <is>
          <t>5. Trees &amp; Graphs - Depth</t>
        </is>
      </c>
      <c r="C673" s="65" t="inlineStr">
        <is>
          <t>18. Trees &amp; BST</t>
        </is>
      </c>
      <c r="D673" s="65" t="inlineStr">
        <is>
          <t>LCA</t>
        </is>
      </c>
      <c r="E673" s="65" t="inlineStr">
        <is>
          <t>Step-By-Step Directions From a Binary Tree Node to Another</t>
        </is>
      </c>
      <c r="F673" s="65" t="inlineStr">
        <is>
          <t>Medium</t>
        </is>
      </c>
      <c r="G673" s="65" t="inlineStr">
        <is>
          <t>Depth</t>
        </is>
      </c>
      <c r="H673" s="65" t="inlineStr">
        <is>
          <t>LeetCode</t>
        </is>
      </c>
      <c r="I673" s="65" t="inlineStr">
        <is>
          <t>https://leetcode.com/problems/step-by-step-directions-from-a-binary-tree-node-to-another/</t>
        </is>
      </c>
      <c r="J673" s="65" t="inlineStr">
        <is>
          <t>Not Started</t>
        </is>
      </c>
      <c r="K673" s="65" t="n"/>
      <c r="L673" s="65" t="n"/>
      <c r="M673" s="71" t="n"/>
      <c r="N673" s="71">
        <f>IF($M673="","",$M673+IF($K673="",Dashboard!$M$9,INDEX(Dashboard!$M$5:$M$9,$K673)))</f>
        <v/>
      </c>
      <c r="O673" s="65">
        <f>IF(OR($J673="Attempted",$J673="Revisit"),"DUE",IF($N673="","",IF($N673&lt;=TODAY(),"DUE","")))</f>
        <v/>
      </c>
      <c r="P673" s="65" t="inlineStr">
        <is>
          <t>v3 addition</t>
        </is>
      </c>
    </row>
    <row r="674">
      <c r="A674" s="65" t="n">
        <v>673</v>
      </c>
      <c r="B674" s="65" t="inlineStr">
        <is>
          <t>5. Trees &amp; Graphs - Depth</t>
        </is>
      </c>
      <c r="C674" s="65" t="inlineStr">
        <is>
          <t>18. Trees &amp; BST</t>
        </is>
      </c>
      <c r="D674" s="65" t="inlineStr">
        <is>
          <t>LCA</t>
        </is>
      </c>
      <c r="E674" s="65" t="inlineStr">
        <is>
          <t>LCA of a Binary Tree with Parent Pointers</t>
        </is>
      </c>
      <c r="F674" s="65" t="inlineStr">
        <is>
          <t>Medium</t>
        </is>
      </c>
      <c r="G674" s="65" t="inlineStr">
        <is>
          <t>Depth</t>
        </is>
      </c>
      <c r="H674" s="65" t="inlineStr">
        <is>
          <t>GeeksforGeeks</t>
        </is>
      </c>
      <c r="I674" s="65" t="inlineStr">
        <is>
          <t>https://www.geeksforgeeks.org/search/?q=LCA+of+a+Binary+Tree+with+Parent+Pointers</t>
        </is>
      </c>
      <c r="J674" s="65" t="inlineStr">
        <is>
          <t>Not Started</t>
        </is>
      </c>
      <c r="K674" s="65" t="n"/>
      <c r="L674" s="65" t="n"/>
      <c r="M674" s="71" t="n"/>
      <c r="N674" s="71">
        <f>IF($M674="","",$M674+IF($K674="",Dashboard!$M$9,INDEX(Dashboard!$M$5:$M$9,$K674)))</f>
        <v/>
      </c>
      <c r="O674" s="65">
        <f>IF(OR($J674="Attempted",$J674="Revisit"),"DUE",IF($N674="","",IF($N674&lt;=TODAY(),"DUE","")))</f>
        <v/>
      </c>
      <c r="P674" s="65" t="inlineStr">
        <is>
          <t>v3 addition</t>
        </is>
      </c>
    </row>
    <row r="675">
      <c r="A675" s="65" t="n">
        <v>674</v>
      </c>
      <c r="B675" s="65" t="inlineStr">
        <is>
          <t>5. Trees &amp; Graphs - Depth</t>
        </is>
      </c>
      <c r="C675" s="65" t="inlineStr">
        <is>
          <t>18. Trees &amp; BST</t>
        </is>
      </c>
      <c r="D675" s="65" t="inlineStr">
        <is>
          <t>Distance</t>
        </is>
      </c>
      <c r="E675" s="65" t="inlineStr">
        <is>
          <t>Distance Between Two Nodes of a Binary Tree</t>
        </is>
      </c>
      <c r="F675" s="65" t="inlineStr">
        <is>
          <t>Medium</t>
        </is>
      </c>
      <c r="G675" s="65" t="inlineStr">
        <is>
          <t>Depth</t>
        </is>
      </c>
      <c r="H675" s="65" t="inlineStr">
        <is>
          <t>GeeksforGeeks</t>
        </is>
      </c>
      <c r="I675" s="65" t="inlineStr">
        <is>
          <t>https://www.geeksforgeeks.org/search/?q=Distance+Between+Two+Nodes+of+a+Binary+Tree</t>
        </is>
      </c>
      <c r="J675" s="65" t="inlineStr">
        <is>
          <t>Not Started</t>
        </is>
      </c>
      <c r="K675" s="65" t="n"/>
      <c r="L675" s="65" t="n"/>
      <c r="M675" s="71" t="n"/>
      <c r="N675" s="71">
        <f>IF($M675="","",$M675+IF($K675="",Dashboard!$M$9,INDEX(Dashboard!$M$5:$M$9,$K675)))</f>
        <v/>
      </c>
      <c r="O675" s="65">
        <f>IF(OR($J675="Attempted",$J675="Revisit"),"DUE",IF($N675="","",IF($N675&lt;=TODAY(),"DUE","")))</f>
        <v/>
      </c>
      <c r="P675" s="65" t="inlineStr">
        <is>
          <t>v3 addition</t>
        </is>
      </c>
    </row>
    <row r="676">
      <c r="A676" s="65" t="n">
        <v>675</v>
      </c>
      <c r="B676" s="65" t="inlineStr">
        <is>
          <t>5. Trees &amp; Graphs - Depth</t>
        </is>
      </c>
      <c r="C676" s="65" t="inlineStr">
        <is>
          <t>18. Trees &amp; BST</t>
        </is>
      </c>
      <c r="D676" s="65" t="inlineStr">
        <is>
          <t>Distance</t>
        </is>
      </c>
      <c r="E676" s="65" t="inlineStr">
        <is>
          <t>Closest Leaf in a Binary Tree</t>
        </is>
      </c>
      <c r="F676" s="65" t="inlineStr">
        <is>
          <t>Medium</t>
        </is>
      </c>
      <c r="G676" s="65" t="inlineStr">
        <is>
          <t>Depth</t>
        </is>
      </c>
      <c r="H676" s="65" t="inlineStr">
        <is>
          <t>LeetCode</t>
        </is>
      </c>
      <c r="I676" s="65" t="inlineStr">
        <is>
          <t>https://leetcode.com/problems/closest-leaf-in-a-binary-tree/</t>
        </is>
      </c>
      <c r="J676" s="65" t="inlineStr">
        <is>
          <t>Not Started</t>
        </is>
      </c>
      <c r="K676" s="65" t="n"/>
      <c r="L676" s="65" t="n"/>
      <c r="M676" s="71" t="n"/>
      <c r="N676" s="71">
        <f>IF($M676="","",$M676+IF($K676="",Dashboard!$M$9,INDEX(Dashboard!$M$5:$M$9,$K676)))</f>
        <v/>
      </c>
      <c r="O676" s="65">
        <f>IF(OR($J676="Attempted",$J676="Revisit"),"DUE",IF($N676="","",IF($N676&lt;=TODAY(),"DUE","")))</f>
        <v/>
      </c>
      <c r="P676" s="65" t="inlineStr">
        <is>
          <t>v3 addition</t>
        </is>
      </c>
    </row>
    <row r="677">
      <c r="A677" s="65" t="n">
        <v>676</v>
      </c>
      <c r="B677" s="65" t="inlineStr">
        <is>
          <t>5. Trees &amp; Graphs - Depth</t>
        </is>
      </c>
      <c r="C677" s="65" t="inlineStr">
        <is>
          <t>18. Trees &amp; BST</t>
        </is>
      </c>
      <c r="D677" s="65" t="inlineStr">
        <is>
          <t>Serialization</t>
        </is>
      </c>
      <c r="E677" s="65" t="inlineStr">
        <is>
          <t>Serialize and Deserialize BST</t>
        </is>
      </c>
      <c r="F677" s="65" t="inlineStr">
        <is>
          <t>Medium</t>
        </is>
      </c>
      <c r="G677" s="65" t="inlineStr">
        <is>
          <t>Depth</t>
        </is>
      </c>
      <c r="H677" s="65" t="inlineStr">
        <is>
          <t>LeetCode</t>
        </is>
      </c>
      <c r="I677" s="65" t="inlineStr">
        <is>
          <t>https://leetcode.com/problems/serialize-and-deserialize-bst/</t>
        </is>
      </c>
      <c r="J677" s="65" t="inlineStr">
        <is>
          <t>Not Started</t>
        </is>
      </c>
      <c r="K677" s="65" t="n"/>
      <c r="L677" s="65" t="n"/>
      <c r="M677" s="71" t="n"/>
      <c r="N677" s="71">
        <f>IF($M677="","",$M677+IF($K677="",Dashboard!$M$9,INDEX(Dashboard!$M$5:$M$9,$K677)))</f>
        <v/>
      </c>
      <c r="O677" s="65">
        <f>IF(OR($J677="Attempted",$J677="Revisit"),"DUE",IF($N677="","",IF($N677&lt;=TODAY(),"DUE","")))</f>
        <v/>
      </c>
      <c r="P677" s="65" t="n"/>
    </row>
    <row r="678">
      <c r="A678" s="65" t="n">
        <v>677</v>
      </c>
      <c r="B678" s="65" t="inlineStr">
        <is>
          <t>5. Trees &amp; Graphs - Depth</t>
        </is>
      </c>
      <c r="C678" s="65" t="inlineStr">
        <is>
          <t>18. Trees &amp; BST</t>
        </is>
      </c>
      <c r="D678" s="65" t="inlineStr">
        <is>
          <t>Serialization</t>
        </is>
      </c>
      <c r="E678" s="65" t="inlineStr">
        <is>
          <t>Serialize and Deserialize Binary Tree</t>
        </is>
      </c>
      <c r="F678" s="65" t="inlineStr">
        <is>
          <t>Hard</t>
        </is>
      </c>
      <c r="G678" s="65" t="inlineStr">
        <is>
          <t>Depth</t>
        </is>
      </c>
      <c r="H678" s="65" t="inlineStr">
        <is>
          <t>LeetCode</t>
        </is>
      </c>
      <c r="I678" s="65" t="inlineStr">
        <is>
          <t>https://leetcode.com/problems/serialize-and-deserialize-binary-tree/</t>
        </is>
      </c>
      <c r="J678" s="65" t="inlineStr">
        <is>
          <t>Not Started</t>
        </is>
      </c>
      <c r="K678" s="65" t="n"/>
      <c r="L678" s="65" t="n"/>
      <c r="M678" s="71" t="n"/>
      <c r="N678" s="71">
        <f>IF($M678="","",$M678+IF($K678="",Dashboard!$M$9,INDEX(Dashboard!$M$5:$M$9,$K678)))</f>
        <v/>
      </c>
      <c r="O678" s="65">
        <f>IF(OR($J678="Attempted",$J678="Revisit"),"DUE",IF($N678="","",IF($N678&lt;=TODAY(),"DUE","")))</f>
        <v/>
      </c>
      <c r="P678" s="65" t="n"/>
    </row>
    <row r="679">
      <c r="A679" s="65" t="n">
        <v>678</v>
      </c>
      <c r="B679" s="65" t="inlineStr">
        <is>
          <t>5. Trees &amp; Graphs - Depth</t>
        </is>
      </c>
      <c r="C679" s="65" t="inlineStr">
        <is>
          <t>18. Trees &amp; BST</t>
        </is>
      </c>
      <c r="D679" s="65" t="inlineStr">
        <is>
          <t>Serialization</t>
        </is>
      </c>
      <c r="E679" s="65" t="inlineStr">
        <is>
          <t>Find Duplicate Subtrees</t>
        </is>
      </c>
      <c r="F679" s="65" t="inlineStr">
        <is>
          <t>Medium</t>
        </is>
      </c>
      <c r="G679" s="65" t="inlineStr">
        <is>
          <t>Depth</t>
        </is>
      </c>
      <c r="H679" s="65" t="inlineStr">
        <is>
          <t>LeetCode</t>
        </is>
      </c>
      <c r="I679" s="65" t="inlineStr">
        <is>
          <t>https://leetcode.com/problems/find-duplicate-subtrees/</t>
        </is>
      </c>
      <c r="J679" s="65" t="inlineStr">
        <is>
          <t>Not Started</t>
        </is>
      </c>
      <c r="K679" s="65" t="n"/>
      <c r="L679" s="65" t="n"/>
      <c r="M679" s="71" t="n"/>
      <c r="N679" s="71">
        <f>IF($M679="","",$M679+IF($K679="",Dashboard!$M$9,INDEX(Dashboard!$M$5:$M$9,$K679)))</f>
        <v/>
      </c>
      <c r="O679" s="65">
        <f>IF(OR($J679="Attempted",$J679="Revisit"),"DUE",IF($N679="","",IF($N679&lt;=TODAY(),"DUE","")))</f>
        <v/>
      </c>
      <c r="P679" s="65" t="inlineStr">
        <is>
          <t>v3 addition</t>
        </is>
      </c>
    </row>
    <row r="680">
      <c r="A680" s="65" t="n">
        <v>679</v>
      </c>
      <c r="B680" s="65" t="inlineStr">
        <is>
          <t>5. Trees &amp; Graphs - Depth</t>
        </is>
      </c>
      <c r="C680" s="65" t="inlineStr">
        <is>
          <t>18. Trees &amp; BST</t>
        </is>
      </c>
      <c r="D680" s="65" t="inlineStr">
        <is>
          <t>Serialization</t>
        </is>
      </c>
      <c r="E680" s="65" t="inlineStr">
        <is>
          <t>Construct String from Binary Tree</t>
        </is>
      </c>
      <c r="F680" s="65" t="inlineStr">
        <is>
          <t>Medium</t>
        </is>
      </c>
      <c r="G680" s="65" t="inlineStr">
        <is>
          <t>Depth</t>
        </is>
      </c>
      <c r="H680" s="65" t="inlineStr">
        <is>
          <t>LeetCode</t>
        </is>
      </c>
      <c r="I680" s="65" t="inlineStr">
        <is>
          <t>https://leetcode.com/problems/construct-string-from-binary-tree/</t>
        </is>
      </c>
      <c r="J680" s="65" t="inlineStr">
        <is>
          <t>Not Started</t>
        </is>
      </c>
      <c r="K680" s="65" t="n"/>
      <c r="L680" s="65" t="n"/>
      <c r="M680" s="71" t="n"/>
      <c r="N680" s="71">
        <f>IF($M680="","",$M680+IF($K680="",Dashboard!$M$9,INDEX(Dashboard!$M$5:$M$9,$K680)))</f>
        <v/>
      </c>
      <c r="O680" s="65">
        <f>IF(OR($J680="Attempted",$J680="Revisit"),"DUE",IF($N680="","",IF($N680&lt;=TODAY(),"DUE","")))</f>
        <v/>
      </c>
      <c r="P680" s="65" t="inlineStr">
        <is>
          <t>v3 addition</t>
        </is>
      </c>
    </row>
    <row r="681">
      <c r="A681" s="65" t="n">
        <v>680</v>
      </c>
      <c r="B681" s="65" t="inlineStr">
        <is>
          <t>5. Trees &amp; Graphs - Depth</t>
        </is>
      </c>
      <c r="C681" s="65" t="inlineStr">
        <is>
          <t>18. Trees &amp; BST</t>
        </is>
      </c>
      <c r="D681" s="65" t="inlineStr">
        <is>
          <t>Serialization</t>
        </is>
      </c>
      <c r="E681" s="65" t="inlineStr">
        <is>
          <t>Verify Preorder Serialization of a Binary Tree</t>
        </is>
      </c>
      <c r="F681" s="65" t="inlineStr">
        <is>
          <t>Medium</t>
        </is>
      </c>
      <c r="G681" s="65" t="inlineStr">
        <is>
          <t>Depth</t>
        </is>
      </c>
      <c r="H681" s="65" t="inlineStr">
        <is>
          <t>LeetCode</t>
        </is>
      </c>
      <c r="I681" s="65" t="inlineStr">
        <is>
          <t>https://leetcode.com/problems/verify-preorder-serialization-of-a-binary-tree/</t>
        </is>
      </c>
      <c r="J681" s="65" t="inlineStr">
        <is>
          <t>Not Started</t>
        </is>
      </c>
      <c r="K681" s="65" t="n"/>
      <c r="L681" s="65" t="n"/>
      <c r="M681" s="71" t="n"/>
      <c r="N681" s="71">
        <f>IF($M681="","",$M681+IF($K681="",Dashboard!$M$9,INDEX(Dashboard!$M$5:$M$9,$K681)))</f>
        <v/>
      </c>
      <c r="O681" s="65">
        <f>IF(OR($J681="Attempted",$J681="Revisit"),"DUE",IF($N681="","",IF($N681&lt;=TODAY(),"DUE","")))</f>
        <v/>
      </c>
      <c r="P681" s="65" t="inlineStr">
        <is>
          <t>v3 addition</t>
        </is>
      </c>
    </row>
    <row r="682">
      <c r="A682" s="65" t="n">
        <v>681</v>
      </c>
      <c r="B682" s="65" t="inlineStr">
        <is>
          <t>5. Trees &amp; Graphs - Depth</t>
        </is>
      </c>
      <c r="C682" s="65" t="inlineStr">
        <is>
          <t>18. Trees &amp; BST</t>
        </is>
      </c>
      <c r="D682" s="65" t="inlineStr">
        <is>
          <t>BST basics</t>
        </is>
      </c>
      <c r="E682" s="65" t="inlineStr">
        <is>
          <t>Insert into a Binary Search Tree</t>
        </is>
      </c>
      <c r="F682" s="65" t="inlineStr">
        <is>
          <t>Medium</t>
        </is>
      </c>
      <c r="G682" s="65" t="inlineStr">
        <is>
          <t>Depth</t>
        </is>
      </c>
      <c r="H682" s="65" t="inlineStr">
        <is>
          <t>LeetCode</t>
        </is>
      </c>
      <c r="I682" s="65" t="inlineStr">
        <is>
          <t>https://leetcode.com/problems/insert-into-a-binary-search-tree/</t>
        </is>
      </c>
      <c r="J682" s="65" t="inlineStr">
        <is>
          <t>Not Started</t>
        </is>
      </c>
      <c r="K682" s="65" t="n"/>
      <c r="L682" s="65" t="n"/>
      <c r="M682" s="71" t="n"/>
      <c r="N682" s="71">
        <f>IF($M682="","",$M682+IF($K682="",Dashboard!$M$9,INDEX(Dashboard!$M$5:$M$9,$K682)))</f>
        <v/>
      </c>
      <c r="O682" s="65">
        <f>IF(OR($J682="Attempted",$J682="Revisit"),"DUE",IF($N682="","",IF($N682&lt;=TODAY(),"DUE","")))</f>
        <v/>
      </c>
      <c r="P682" s="65" t="n"/>
    </row>
    <row r="683">
      <c r="A683" s="65" t="n">
        <v>682</v>
      </c>
      <c r="B683" s="65" t="inlineStr">
        <is>
          <t>5. Trees &amp; Graphs - Depth</t>
        </is>
      </c>
      <c r="C683" s="65" t="inlineStr">
        <is>
          <t>18. Trees &amp; BST</t>
        </is>
      </c>
      <c r="D683" s="65" t="inlineStr">
        <is>
          <t>BST basics</t>
        </is>
      </c>
      <c r="E683" s="65" t="inlineStr">
        <is>
          <t>Delete Node in a BST</t>
        </is>
      </c>
      <c r="F683" s="65" t="inlineStr">
        <is>
          <t>Medium</t>
        </is>
      </c>
      <c r="G683" s="65" t="inlineStr">
        <is>
          <t>Depth</t>
        </is>
      </c>
      <c r="H683" s="65" t="inlineStr">
        <is>
          <t>LeetCode</t>
        </is>
      </c>
      <c r="I683" s="65" t="inlineStr">
        <is>
          <t>https://leetcode.com/problems/delete-node-in-a-bst/</t>
        </is>
      </c>
      <c r="J683" s="65" t="inlineStr">
        <is>
          <t>Not Started</t>
        </is>
      </c>
      <c r="K683" s="65" t="n"/>
      <c r="L683" s="65" t="n"/>
      <c r="M683" s="71" t="n"/>
      <c r="N683" s="71">
        <f>IF($M683="","",$M683+IF($K683="",Dashboard!$M$9,INDEX(Dashboard!$M$5:$M$9,$K683)))</f>
        <v/>
      </c>
      <c r="O683" s="65">
        <f>IF(OR($J683="Attempted",$J683="Revisit"),"DUE",IF($N683="","",IF($N683&lt;=TODAY(),"DUE","")))</f>
        <v/>
      </c>
      <c r="P683" s="65" t="n"/>
    </row>
    <row r="684">
      <c r="A684" s="65" t="n">
        <v>683</v>
      </c>
      <c r="B684" s="65" t="inlineStr">
        <is>
          <t>5. Trees &amp; Graphs - Depth</t>
        </is>
      </c>
      <c r="C684" s="65" t="inlineStr">
        <is>
          <t>18. Trees &amp; BST</t>
        </is>
      </c>
      <c r="D684" s="65" t="inlineStr">
        <is>
          <t>BST basics</t>
        </is>
      </c>
      <c r="E684" s="65" t="inlineStr">
        <is>
          <t>Trim a Binary Search Tree</t>
        </is>
      </c>
      <c r="F684" s="65" t="inlineStr">
        <is>
          <t>Medium</t>
        </is>
      </c>
      <c r="G684" s="65" t="inlineStr">
        <is>
          <t>Depth</t>
        </is>
      </c>
      <c r="H684" s="65" t="inlineStr">
        <is>
          <t>LeetCode</t>
        </is>
      </c>
      <c r="I684" s="65" t="inlineStr">
        <is>
          <t>https://leetcode.com/problems/trim-a-binary-search-tree/</t>
        </is>
      </c>
      <c r="J684" s="65" t="inlineStr">
        <is>
          <t>Not Started</t>
        </is>
      </c>
      <c r="K684" s="65" t="n"/>
      <c r="L684" s="65" t="n"/>
      <c r="M684" s="71" t="n"/>
      <c r="N684" s="71">
        <f>IF($M684="","",$M684+IF($K684="",Dashboard!$M$9,INDEX(Dashboard!$M$5:$M$9,$K684)))</f>
        <v/>
      </c>
      <c r="O684" s="65">
        <f>IF(OR($J684="Attempted",$J684="Revisit"),"DUE",IF($N684="","",IF($N684&lt;=TODAY(),"DUE","")))</f>
        <v/>
      </c>
      <c r="P684" s="65" t="n"/>
    </row>
    <row r="685">
      <c r="A685" s="65" t="n">
        <v>684</v>
      </c>
      <c r="B685" s="65" t="inlineStr">
        <is>
          <t>5. Trees &amp; Graphs - Depth</t>
        </is>
      </c>
      <c r="C685" s="65" t="inlineStr">
        <is>
          <t>18. Trees &amp; BST</t>
        </is>
      </c>
      <c r="D685" s="65" t="inlineStr">
        <is>
          <t>BST properties</t>
        </is>
      </c>
      <c r="E685" s="65" t="inlineStr">
        <is>
          <t>Recover Binary Search Tree</t>
        </is>
      </c>
      <c r="F685" s="65" t="inlineStr">
        <is>
          <t>Medium</t>
        </is>
      </c>
      <c r="G685" s="65" t="inlineStr">
        <is>
          <t>Depth</t>
        </is>
      </c>
      <c r="H685" s="65" t="inlineStr">
        <is>
          <t>LeetCode</t>
        </is>
      </c>
      <c r="I685" s="65" t="inlineStr">
        <is>
          <t>https://leetcode.com/problems/recover-binary-search-tree/</t>
        </is>
      </c>
      <c r="J685" s="65" t="inlineStr">
        <is>
          <t>Not Started</t>
        </is>
      </c>
      <c r="K685" s="65" t="n"/>
      <c r="L685" s="65" t="n"/>
      <c r="M685" s="71" t="n"/>
      <c r="N685" s="71">
        <f>IF($M685="","",$M685+IF($K685="",Dashboard!$M$9,INDEX(Dashboard!$M$5:$M$9,$K685)))</f>
        <v/>
      </c>
      <c r="O685" s="65">
        <f>IF(OR($J685="Attempted",$J685="Revisit"),"DUE",IF($N685="","",IF($N685&lt;=TODAY(),"DUE","")))</f>
        <v/>
      </c>
      <c r="P685" s="65" t="n"/>
    </row>
    <row r="686">
      <c r="A686" s="65" t="n">
        <v>685</v>
      </c>
      <c r="B686" s="65" t="inlineStr">
        <is>
          <t>5. Trees &amp; Graphs - Depth</t>
        </is>
      </c>
      <c r="C686" s="65" t="inlineStr">
        <is>
          <t>18. Trees &amp; BST</t>
        </is>
      </c>
      <c r="D686" s="65" t="inlineStr">
        <is>
          <t>BST properties</t>
        </is>
      </c>
      <c r="E686" s="65" t="inlineStr">
        <is>
          <t>Binary Search Tree Iterator</t>
        </is>
      </c>
      <c r="F686" s="65" t="inlineStr">
        <is>
          <t>Medium</t>
        </is>
      </c>
      <c r="G686" s="65" t="inlineStr">
        <is>
          <t>Depth</t>
        </is>
      </c>
      <c r="H686" s="65" t="inlineStr">
        <is>
          <t>LeetCode</t>
        </is>
      </c>
      <c r="I686" s="65" t="inlineStr">
        <is>
          <t>https://leetcode.com/problems/binary-search-tree-iterator/</t>
        </is>
      </c>
      <c r="J686" s="65" t="inlineStr">
        <is>
          <t>Not Started</t>
        </is>
      </c>
      <c r="K686" s="65" t="n"/>
      <c r="L686" s="65" t="n"/>
      <c r="M686" s="71" t="n"/>
      <c r="N686" s="71">
        <f>IF($M686="","",$M686+IF($K686="",Dashboard!$M$9,INDEX(Dashboard!$M$5:$M$9,$K686)))</f>
        <v/>
      </c>
      <c r="O686" s="65">
        <f>IF(OR($J686="Attempted",$J686="Revisit"),"DUE",IF($N686="","",IF($N686&lt;=TODAY(),"DUE","")))</f>
        <v/>
      </c>
      <c r="P686" s="65" t="inlineStr">
        <is>
          <t>v3 addition</t>
        </is>
      </c>
    </row>
    <row r="687">
      <c r="A687" s="65" t="n">
        <v>686</v>
      </c>
      <c r="B687" s="65" t="inlineStr">
        <is>
          <t>5. Trees &amp; Graphs - Depth</t>
        </is>
      </c>
      <c r="C687" s="65" t="inlineStr">
        <is>
          <t>18. Trees &amp; BST</t>
        </is>
      </c>
      <c r="D687" s="65" t="inlineStr">
        <is>
          <t>BST properties</t>
        </is>
      </c>
      <c r="E687" s="65" t="inlineStr">
        <is>
          <t>Inorder Successor in BST</t>
        </is>
      </c>
      <c r="F687" s="65" t="inlineStr">
        <is>
          <t>Medium</t>
        </is>
      </c>
      <c r="G687" s="65" t="inlineStr">
        <is>
          <t>Depth</t>
        </is>
      </c>
      <c r="H687" s="65" t="inlineStr">
        <is>
          <t>GeeksforGeeks</t>
        </is>
      </c>
      <c r="I687" s="65" t="inlineStr">
        <is>
          <t>https://www.geeksforgeeks.org/problems/inorder-successor-in-bst/1</t>
        </is>
      </c>
      <c r="J687" s="65" t="inlineStr">
        <is>
          <t>Not Started</t>
        </is>
      </c>
      <c r="K687" s="65" t="n"/>
      <c r="L687" s="65" t="n"/>
      <c r="M687" s="71" t="n"/>
      <c r="N687" s="71">
        <f>IF($M687="","",$M687+IF($K687="",Dashboard!$M$9,INDEX(Dashboard!$M$5:$M$9,$K687)))</f>
        <v/>
      </c>
      <c r="O687" s="65">
        <f>IF(OR($J687="Attempted",$J687="Revisit"),"DUE",IF($N687="","",IF($N687&lt;=TODAY(),"DUE","")))</f>
        <v/>
      </c>
      <c r="P687" s="65" t="inlineStr">
        <is>
          <t>v3 addition</t>
        </is>
      </c>
    </row>
    <row r="688">
      <c r="A688" s="65" t="n">
        <v>687</v>
      </c>
      <c r="B688" s="65" t="inlineStr">
        <is>
          <t>5. Trees &amp; Graphs - Depth</t>
        </is>
      </c>
      <c r="C688" s="65" t="inlineStr">
        <is>
          <t>19. Tries</t>
        </is>
      </c>
      <c r="D688" s="65" t="inlineStr">
        <is>
          <t>Design</t>
        </is>
      </c>
      <c r="E688" s="65" t="inlineStr">
        <is>
          <t>Map Sum Pairs</t>
        </is>
      </c>
      <c r="F688" s="65" t="inlineStr">
        <is>
          <t>Medium</t>
        </is>
      </c>
      <c r="G688" s="65" t="inlineStr">
        <is>
          <t>Depth</t>
        </is>
      </c>
      <c r="H688" s="65" t="inlineStr">
        <is>
          <t>LeetCode</t>
        </is>
      </c>
      <c r="I688" s="65" t="inlineStr">
        <is>
          <t>https://leetcode.com/problems/map-sum-pairs/</t>
        </is>
      </c>
      <c r="J688" s="65" t="inlineStr">
        <is>
          <t>Not Started</t>
        </is>
      </c>
      <c r="K688" s="65" t="n"/>
      <c r="L688" s="65" t="n"/>
      <c r="M688" s="71" t="n"/>
      <c r="N688" s="71">
        <f>IF($M688="","",$M688+IF($K688="",Dashboard!$M$9,INDEX(Dashboard!$M$5:$M$9,$K688)))</f>
        <v/>
      </c>
      <c r="O688" s="65">
        <f>IF(OR($J688="Attempted",$J688="Revisit"),"DUE",IF($N688="","",IF($N688&lt;=TODAY(),"DUE","")))</f>
        <v/>
      </c>
      <c r="P688" s="65" t="inlineStr">
        <is>
          <t>v3 addition</t>
        </is>
      </c>
    </row>
    <row r="689">
      <c r="A689" s="65" t="n">
        <v>688</v>
      </c>
      <c r="B689" s="65" t="inlineStr">
        <is>
          <t>5. Trees &amp; Graphs - Depth</t>
        </is>
      </c>
      <c r="C689" s="65" t="inlineStr">
        <is>
          <t>19. Tries</t>
        </is>
      </c>
      <c r="D689" s="65" t="inlineStr">
        <is>
          <t>Design</t>
        </is>
      </c>
      <c r="E689" s="65" t="inlineStr">
        <is>
          <t>Implement Trie II (count prefixes)</t>
        </is>
      </c>
      <c r="F689" s="65" t="inlineStr">
        <is>
          <t>Medium</t>
        </is>
      </c>
      <c r="G689" s="65" t="inlineStr">
        <is>
          <t>Depth</t>
        </is>
      </c>
      <c r="H689" s="65" t="inlineStr">
        <is>
          <t>GeeksforGeeks</t>
        </is>
      </c>
      <c r="I689" s="65" t="inlineStr">
        <is>
          <t>https://www.geeksforgeeks.org/dsa/count-the-number-of-words-with-given-prefix-using-trie/</t>
        </is>
      </c>
      <c r="J689" s="65" t="inlineStr">
        <is>
          <t>Not Started</t>
        </is>
      </c>
      <c r="K689" s="65" t="n"/>
      <c r="L689" s="65" t="n"/>
      <c r="M689" s="71" t="n"/>
      <c r="N689" s="71">
        <f>IF($M689="","",$M689+IF($K689="",Dashboard!$M$9,INDEX(Dashboard!$M$5:$M$9,$K689)))</f>
        <v/>
      </c>
      <c r="O689" s="65">
        <f>IF(OR($J689="Attempted",$J689="Revisit"),"DUE",IF($N689="","",IF($N689&lt;=TODAY(),"DUE","")))</f>
        <v/>
      </c>
      <c r="P689" s="65" t="inlineStr">
        <is>
          <t>v3 addition</t>
        </is>
      </c>
    </row>
    <row r="690">
      <c r="A690" s="65" t="n">
        <v>689</v>
      </c>
      <c r="B690" s="65" t="inlineStr">
        <is>
          <t>5. Trees &amp; Graphs - Depth</t>
        </is>
      </c>
      <c r="C690" s="65" t="inlineStr">
        <is>
          <t>19. Tries</t>
        </is>
      </c>
      <c r="D690" s="65" t="inlineStr">
        <is>
          <t>Prefix search</t>
        </is>
      </c>
      <c r="E690" s="65" t="inlineStr">
        <is>
          <t>Search Suggestions System</t>
        </is>
      </c>
      <c r="F690" s="65" t="inlineStr">
        <is>
          <t>Medium</t>
        </is>
      </c>
      <c r="G690" s="65" t="inlineStr">
        <is>
          <t>Depth</t>
        </is>
      </c>
      <c r="H690" s="65" t="inlineStr">
        <is>
          <t>LeetCode</t>
        </is>
      </c>
      <c r="I690" s="65" t="inlineStr">
        <is>
          <t>https://leetcode.com/problems/search-suggestions-system/</t>
        </is>
      </c>
      <c r="J690" s="65" t="inlineStr">
        <is>
          <t>Not Started</t>
        </is>
      </c>
      <c r="K690" s="65" t="n"/>
      <c r="L690" s="65" t="n"/>
      <c r="M690" s="71" t="n"/>
      <c r="N690" s="71">
        <f>IF($M690="","",$M690+IF($K690="",Dashboard!$M$9,INDEX(Dashboard!$M$5:$M$9,$K690)))</f>
        <v/>
      </c>
      <c r="O690" s="65">
        <f>IF(OR($J690="Attempted",$J690="Revisit"),"DUE",IF($N690="","",IF($N690&lt;=TODAY(),"DUE","")))</f>
        <v/>
      </c>
      <c r="P690" s="65" t="inlineStr">
        <is>
          <t>v3 addition</t>
        </is>
      </c>
    </row>
    <row r="691">
      <c r="A691" s="65" t="n">
        <v>690</v>
      </c>
      <c r="B691" s="65" t="inlineStr">
        <is>
          <t>5. Trees &amp; Graphs - Depth</t>
        </is>
      </c>
      <c r="C691" s="65" t="inlineStr">
        <is>
          <t>19. Tries</t>
        </is>
      </c>
      <c r="D691" s="65" t="inlineStr">
        <is>
          <t>Prefix search</t>
        </is>
      </c>
      <c r="E691" s="65" t="inlineStr">
        <is>
          <t>Camelcase Matching</t>
        </is>
      </c>
      <c r="F691" s="65" t="inlineStr">
        <is>
          <t>Medium</t>
        </is>
      </c>
      <c r="G691" s="65" t="inlineStr">
        <is>
          <t>Depth</t>
        </is>
      </c>
      <c r="H691" s="65" t="inlineStr">
        <is>
          <t>LeetCode</t>
        </is>
      </c>
      <c r="I691" s="65" t="inlineStr">
        <is>
          <t>https://leetcode.com/problems/camelcase-matching/</t>
        </is>
      </c>
      <c r="J691" s="65" t="inlineStr">
        <is>
          <t>Not Started</t>
        </is>
      </c>
      <c r="K691" s="65" t="n"/>
      <c r="L691" s="65" t="n"/>
      <c r="M691" s="71" t="n"/>
      <c r="N691" s="71">
        <f>IF($M691="","",$M691+IF($K691="",Dashboard!$M$9,INDEX(Dashboard!$M$5:$M$9,$K691)))</f>
        <v/>
      </c>
      <c r="O691" s="65">
        <f>IF(OR($J691="Attempted",$J691="Revisit"),"DUE",IF($N691="","",IF($N691&lt;=TODAY(),"DUE","")))</f>
        <v/>
      </c>
      <c r="P691" s="65" t="inlineStr">
        <is>
          <t>v3 addition</t>
        </is>
      </c>
    </row>
    <row r="692">
      <c r="A692" s="65" t="n">
        <v>691</v>
      </c>
      <c r="B692" s="65" t="inlineStr">
        <is>
          <t>5. Trees &amp; Graphs - Depth</t>
        </is>
      </c>
      <c r="C692" s="65" t="inlineStr">
        <is>
          <t>19. Tries</t>
        </is>
      </c>
      <c r="D692" s="65" t="inlineStr">
        <is>
          <t>Counting</t>
        </is>
      </c>
      <c r="E692" s="65" t="inlineStr">
        <is>
          <t>Number of Matching Subsequences</t>
        </is>
      </c>
      <c r="F692" s="65" t="inlineStr">
        <is>
          <t>Medium</t>
        </is>
      </c>
      <c r="G692" s="65" t="inlineStr">
        <is>
          <t>Depth</t>
        </is>
      </c>
      <c r="H692" s="65" t="inlineStr">
        <is>
          <t>LeetCode</t>
        </is>
      </c>
      <c r="I692" s="65" t="inlineStr">
        <is>
          <t>https://leetcode.com/problems/number-of-matching-subsequences/</t>
        </is>
      </c>
      <c r="J692" s="65" t="inlineStr">
        <is>
          <t>Not Started</t>
        </is>
      </c>
      <c r="K692" s="65" t="n"/>
      <c r="L692" s="65" t="n"/>
      <c r="M692" s="71" t="n"/>
      <c r="N692" s="71">
        <f>IF($M692="","",$M692+IF($K692="",Dashboard!$M$9,INDEX(Dashboard!$M$5:$M$9,$K692)))</f>
        <v/>
      </c>
      <c r="O692" s="65">
        <f>IF(OR($J692="Attempted",$J692="Revisit"),"DUE",IF($N692="","",IF($N692&lt;=TODAY(),"DUE","")))</f>
        <v/>
      </c>
      <c r="P692" s="65" t="inlineStr">
        <is>
          <t>v3 addition</t>
        </is>
      </c>
    </row>
    <row r="693">
      <c r="A693" s="65" t="n">
        <v>692</v>
      </c>
      <c r="B693" s="65" t="inlineStr">
        <is>
          <t>5. Trees &amp; Graphs - Depth</t>
        </is>
      </c>
      <c r="C693" s="65" t="inlineStr">
        <is>
          <t>19. Tries</t>
        </is>
      </c>
      <c r="D693" s="65" t="inlineStr">
        <is>
          <t>Counting</t>
        </is>
      </c>
      <c r="E693" s="65" t="inlineStr">
        <is>
          <t>Shortest Unique Prefix for Every Word</t>
        </is>
      </c>
      <c r="F693" s="65" t="inlineStr">
        <is>
          <t>Medium</t>
        </is>
      </c>
      <c r="G693" s="65" t="inlineStr">
        <is>
          <t>Depth</t>
        </is>
      </c>
      <c r="H693" s="65" t="inlineStr">
        <is>
          <t>GeeksforGeeks</t>
        </is>
      </c>
      <c r="I693" s="65" t="inlineStr">
        <is>
          <t>https://www.geeksforgeeks.org/search/?q=Shortest+Unique+Prefix+for+Every+Word</t>
        </is>
      </c>
      <c r="J693" s="65" t="inlineStr">
        <is>
          <t>Not Started</t>
        </is>
      </c>
      <c r="K693" s="65" t="n"/>
      <c r="L693" s="65" t="n"/>
      <c r="M693" s="71" t="n"/>
      <c r="N693" s="71">
        <f>IF($M693="","",$M693+IF($K693="",Dashboard!$M$9,INDEX(Dashboard!$M$5:$M$9,$K693)))</f>
        <v/>
      </c>
      <c r="O693" s="65">
        <f>IF(OR($J693="Attempted",$J693="Revisit"),"DUE",IF($N693="","",IF($N693&lt;=TODAY(),"DUE","")))</f>
        <v/>
      </c>
      <c r="P693" s="65" t="inlineStr">
        <is>
          <t>v3 addition</t>
        </is>
      </c>
    </row>
    <row r="694">
      <c r="A694" s="65" t="n">
        <v>693</v>
      </c>
      <c r="B694" s="65" t="inlineStr">
        <is>
          <t>5. Trees &amp; Graphs - Depth</t>
        </is>
      </c>
      <c r="C694" s="65" t="inlineStr">
        <is>
          <t>19. Tries</t>
        </is>
      </c>
      <c r="D694" s="65" t="inlineStr">
        <is>
          <t>Counting</t>
        </is>
      </c>
      <c r="E694" s="65" t="inlineStr">
        <is>
          <t>Count Distinct Substrings using Trie</t>
        </is>
      </c>
      <c r="F694" s="65" t="inlineStr">
        <is>
          <t>Hard</t>
        </is>
      </c>
      <c r="G694" s="65" t="inlineStr">
        <is>
          <t>Depth</t>
        </is>
      </c>
      <c r="H694" s="65" t="inlineStr">
        <is>
          <t>GeeksforGeeks</t>
        </is>
      </c>
      <c r="I694" s="65" t="inlineStr">
        <is>
          <t>https://www.geeksforgeeks.org/problems/count-of-distinct-substrings/1</t>
        </is>
      </c>
      <c r="J694" s="65" t="inlineStr">
        <is>
          <t>Not Started</t>
        </is>
      </c>
      <c r="K694" s="65" t="n"/>
      <c r="L694" s="65" t="n"/>
      <c r="M694" s="71" t="n"/>
      <c r="N694" s="71">
        <f>IF($M694="","",$M694+IF($K694="",Dashboard!$M$9,INDEX(Dashboard!$M$5:$M$9,$K694)))</f>
        <v/>
      </c>
      <c r="O694" s="65">
        <f>IF(OR($J694="Attempted",$J694="Revisit"),"DUE",IF($N694="","",IF($N694&lt;=TODAY(),"DUE","")))</f>
        <v/>
      </c>
      <c r="P694" s="65" t="inlineStr">
        <is>
          <t>v3 addition</t>
        </is>
      </c>
    </row>
    <row r="695">
      <c r="A695" s="65" t="n">
        <v>694</v>
      </c>
      <c r="B695" s="65" t="inlineStr">
        <is>
          <t>5. Trees &amp; Graphs - Depth</t>
        </is>
      </c>
      <c r="C695" s="65" t="inlineStr">
        <is>
          <t>19. Tries</t>
        </is>
      </c>
      <c r="D695" s="65" t="inlineStr">
        <is>
          <t>Trie + grid</t>
        </is>
      </c>
      <c r="E695" s="65" t="inlineStr">
        <is>
          <t>Word Boggle</t>
        </is>
      </c>
      <c r="F695" s="65" t="inlineStr">
        <is>
          <t>Medium</t>
        </is>
      </c>
      <c r="G695" s="65" t="inlineStr">
        <is>
          <t>Depth</t>
        </is>
      </c>
      <c r="H695" s="65" t="inlineStr">
        <is>
          <t>GeeksforGeeks</t>
        </is>
      </c>
      <c r="I695" s="65" t="inlineStr">
        <is>
          <t>https://www.geeksforgeeks.org/search/?q=Word+Boggle</t>
        </is>
      </c>
      <c r="J695" s="65" t="inlineStr">
        <is>
          <t>Not Started</t>
        </is>
      </c>
      <c r="K695" s="65" t="n"/>
      <c r="L695" s="65" t="n"/>
      <c r="M695" s="71" t="n"/>
      <c r="N695" s="71">
        <f>IF($M695="","",$M695+IF($K695="",Dashboard!$M$9,INDEX(Dashboard!$M$5:$M$9,$K695)))</f>
        <v/>
      </c>
      <c r="O695" s="65">
        <f>IF(OR($J695="Attempted",$J695="Revisit"),"DUE",IF($N695="","",IF($N695&lt;=TODAY(),"DUE","")))</f>
        <v/>
      </c>
      <c r="P695" s="65" t="inlineStr">
        <is>
          <t>v3 addition</t>
        </is>
      </c>
    </row>
    <row r="696">
      <c r="A696" s="65" t="n">
        <v>695</v>
      </c>
      <c r="B696" s="65" t="inlineStr">
        <is>
          <t>5. Trees &amp; Graphs - Depth</t>
        </is>
      </c>
      <c r="C696" s="65" t="inlineStr">
        <is>
          <t>19. Tries</t>
        </is>
      </c>
      <c r="D696" s="65" t="inlineStr">
        <is>
          <t>Trie + grid</t>
        </is>
      </c>
      <c r="E696" s="65" t="inlineStr">
        <is>
          <t>Prefix Match with Other Words</t>
        </is>
      </c>
      <c r="F696" s="65" t="inlineStr">
        <is>
          <t>Medium</t>
        </is>
      </c>
      <c r="G696" s="65" t="inlineStr">
        <is>
          <t>Depth</t>
        </is>
      </c>
      <c r="H696" s="65" t="inlineStr">
        <is>
          <t>GeeksforGeeks</t>
        </is>
      </c>
      <c r="I696" s="65" t="inlineStr">
        <is>
          <t>https://www.geeksforgeeks.org/search/?q=Prefix+Match+with+Other+Words</t>
        </is>
      </c>
      <c r="J696" s="65" t="inlineStr">
        <is>
          <t>Not Started</t>
        </is>
      </c>
      <c r="K696" s="65" t="n"/>
      <c r="L696" s="65" t="n"/>
      <c r="M696" s="71" t="n"/>
      <c r="N696" s="71">
        <f>IF($M696="","",$M696+IF($K696="",Dashboard!$M$9,INDEX(Dashboard!$M$5:$M$9,$K696)))</f>
        <v/>
      </c>
      <c r="O696" s="65">
        <f>IF(OR($J696="Attempted",$J696="Revisit"),"DUE",IF($N696="","",IF($N696&lt;=TODAY(),"DUE","")))</f>
        <v/>
      </c>
      <c r="P696" s="65" t="inlineStr">
        <is>
          <t>v3 addition</t>
        </is>
      </c>
    </row>
    <row r="697">
      <c r="A697" s="65" t="n">
        <v>696</v>
      </c>
      <c r="B697" s="65" t="inlineStr">
        <is>
          <t>5. Trees &amp; Graphs - Depth</t>
        </is>
      </c>
      <c r="C697" s="65" t="inlineStr">
        <is>
          <t>19. Tries</t>
        </is>
      </c>
      <c r="D697" s="65" t="inlineStr">
        <is>
          <t>Bit trie</t>
        </is>
      </c>
      <c r="E697" s="65" t="inlineStr">
        <is>
          <t>Maximum Subarray XOR</t>
        </is>
      </c>
      <c r="F697" s="65" t="inlineStr">
        <is>
          <t>Medium</t>
        </is>
      </c>
      <c r="G697" s="65" t="inlineStr">
        <is>
          <t>Depth</t>
        </is>
      </c>
      <c r="H697" s="65" t="inlineStr">
        <is>
          <t>GeeksforGeeks</t>
        </is>
      </c>
      <c r="I697" s="65" t="inlineStr">
        <is>
          <t>https://www.geeksforgeeks.org/search/?q=Maximum+Subarray+XOR</t>
        </is>
      </c>
      <c r="J697" s="65" t="inlineStr">
        <is>
          <t>Not Started</t>
        </is>
      </c>
      <c r="K697" s="65" t="n"/>
      <c r="L697" s="65" t="n"/>
      <c r="M697" s="71" t="n"/>
      <c r="N697" s="71">
        <f>IF($M697="","",$M697+IF($K697="",Dashboard!$M$9,INDEX(Dashboard!$M$5:$M$9,$K697)))</f>
        <v/>
      </c>
      <c r="O697" s="65">
        <f>IF(OR($J697="Attempted",$J697="Revisit"),"DUE",IF($N697="","",IF($N697&lt;=TODAY(),"DUE","")))</f>
        <v/>
      </c>
      <c r="P697" s="65" t="inlineStr">
        <is>
          <t>v3 addition</t>
        </is>
      </c>
    </row>
    <row r="698">
      <c r="A698" s="65" t="n">
        <v>697</v>
      </c>
      <c r="B698" s="65" t="inlineStr">
        <is>
          <t>5. Trees &amp; Graphs - Depth</t>
        </is>
      </c>
      <c r="C698" s="65" t="inlineStr">
        <is>
          <t>20. Graphs</t>
        </is>
      </c>
      <c r="D698" s="65" t="inlineStr">
        <is>
          <t>Traversal</t>
        </is>
      </c>
      <c r="E698" s="65" t="inlineStr">
        <is>
          <t>Keys and Rooms</t>
        </is>
      </c>
      <c r="F698" s="65" t="inlineStr">
        <is>
          <t>Medium</t>
        </is>
      </c>
      <c r="G698" s="65" t="inlineStr">
        <is>
          <t>Depth</t>
        </is>
      </c>
      <c r="H698" s="65" t="inlineStr">
        <is>
          <t>LeetCode</t>
        </is>
      </c>
      <c r="I698" s="65" t="inlineStr">
        <is>
          <t>https://leetcode.com/problems/keys-and-rooms/</t>
        </is>
      </c>
      <c r="J698" s="65" t="inlineStr">
        <is>
          <t>Not Started</t>
        </is>
      </c>
      <c r="K698" s="65" t="n"/>
      <c r="L698" s="65" t="n"/>
      <c r="M698" s="71" t="n"/>
      <c r="N698" s="71">
        <f>IF($M698="","",$M698+IF($K698="",Dashboard!$M$9,INDEX(Dashboard!$M$5:$M$9,$K698)))</f>
        <v/>
      </c>
      <c r="O698" s="65">
        <f>IF(OR($J698="Attempted",$J698="Revisit"),"DUE",IF($N698="","",IF($N698&lt;=TODAY(),"DUE","")))</f>
        <v/>
      </c>
      <c r="P698" s="65" t="inlineStr">
        <is>
          <t>v3 addition</t>
        </is>
      </c>
    </row>
    <row r="699">
      <c r="A699" s="65" t="n">
        <v>698</v>
      </c>
      <c r="B699" s="65" t="inlineStr">
        <is>
          <t>5. Trees &amp; Graphs - Depth</t>
        </is>
      </c>
      <c r="C699" s="65" t="inlineStr">
        <is>
          <t>20. Graphs</t>
        </is>
      </c>
      <c r="D699" s="65" t="inlineStr">
        <is>
          <t>Grid DFS/BFS</t>
        </is>
      </c>
      <c r="E699" s="65" t="inlineStr">
        <is>
          <t>Number of Enclaves</t>
        </is>
      </c>
      <c r="F699" s="65" t="inlineStr">
        <is>
          <t>Medium</t>
        </is>
      </c>
      <c r="G699" s="65" t="inlineStr">
        <is>
          <t>Depth</t>
        </is>
      </c>
      <c r="H699" s="65" t="inlineStr">
        <is>
          <t>LeetCode</t>
        </is>
      </c>
      <c r="I699" s="65" t="inlineStr">
        <is>
          <t>https://leetcode.com/problems/number-of-enclaves/</t>
        </is>
      </c>
      <c r="J699" s="65" t="inlineStr">
        <is>
          <t>Not Started</t>
        </is>
      </c>
      <c r="K699" s="65" t="n"/>
      <c r="L699" s="65" t="n"/>
      <c r="M699" s="71" t="n"/>
      <c r="N699" s="71">
        <f>IF($M699="","",$M699+IF($K699="",Dashboard!$M$9,INDEX(Dashboard!$M$5:$M$9,$K699)))</f>
        <v/>
      </c>
      <c r="O699" s="65">
        <f>IF(OR($J699="Attempted",$J699="Revisit"),"DUE",IF($N699="","",IF($N699&lt;=TODAY(),"DUE","")))</f>
        <v/>
      </c>
      <c r="P699" s="65" t="inlineStr">
        <is>
          <t>v3 addition</t>
        </is>
      </c>
    </row>
    <row r="700">
      <c r="A700" s="65" t="n">
        <v>699</v>
      </c>
      <c r="B700" s="65" t="inlineStr">
        <is>
          <t>5. Trees &amp; Graphs - Depth</t>
        </is>
      </c>
      <c r="C700" s="65" t="inlineStr">
        <is>
          <t>20. Graphs</t>
        </is>
      </c>
      <c r="D700" s="65" t="inlineStr">
        <is>
          <t>Grid DFS/BFS</t>
        </is>
      </c>
      <c r="E700" s="65" t="inlineStr">
        <is>
          <t>Number of Distinct Islands</t>
        </is>
      </c>
      <c r="F700" s="65" t="inlineStr">
        <is>
          <t>Medium</t>
        </is>
      </c>
      <c r="G700" s="65" t="inlineStr">
        <is>
          <t>Depth</t>
        </is>
      </c>
      <c r="H700" s="65" t="inlineStr">
        <is>
          <t>GeeksforGeeks</t>
        </is>
      </c>
      <c r="I700" s="65" t="inlineStr">
        <is>
          <t>https://www.geeksforgeeks.org/problems/number-of-distinct-islands/1</t>
        </is>
      </c>
      <c r="J700" s="65" t="inlineStr">
        <is>
          <t>Not Started</t>
        </is>
      </c>
      <c r="K700" s="65" t="n"/>
      <c r="L700" s="65" t="n"/>
      <c r="M700" s="71" t="n"/>
      <c r="N700" s="71">
        <f>IF($M700="","",$M700+IF($K700="",Dashboard!$M$9,INDEX(Dashboard!$M$5:$M$9,$K700)))</f>
        <v/>
      </c>
      <c r="O700" s="65">
        <f>IF(OR($J700="Attempted",$J700="Revisit"),"DUE",IF($N700="","",IF($N700&lt;=TODAY(),"DUE","")))</f>
        <v/>
      </c>
      <c r="P700" s="65" t="inlineStr">
        <is>
          <t>v3 addition</t>
        </is>
      </c>
    </row>
    <row r="701">
      <c r="A701" s="66" t="n">
        <v>700</v>
      </c>
      <c r="B701" s="66" t="inlineStr">
        <is>
          <t>5. Trees &amp; Graphs - Depth</t>
        </is>
      </c>
      <c r="C701" s="66" t="inlineStr">
        <is>
          <t>20. Graphs</t>
        </is>
      </c>
      <c r="D701" s="66" t="inlineStr">
        <is>
          <t>Grid DFS/BFS</t>
        </is>
      </c>
      <c r="E701" s="66" t="inlineStr">
        <is>
          <t>Pacific Atlantic Water Flow</t>
        </is>
      </c>
      <c r="F701" s="66" t="inlineStr">
        <is>
          <t>Medium</t>
        </is>
      </c>
      <c r="G701" s="66" t="inlineStr">
        <is>
          <t>Depth</t>
        </is>
      </c>
      <c r="H701" s="66" t="inlineStr">
        <is>
          <t>LeetCode</t>
        </is>
      </c>
      <c r="I701" s="66" t="inlineStr">
        <is>
          <t>https://leetcode.com/problems/pacific-atlantic-water-flow/</t>
        </is>
      </c>
      <c r="J701" s="66" t="inlineStr">
        <is>
          <t>Not Started</t>
        </is>
      </c>
      <c r="K701" s="66" t="n"/>
      <c r="L701" s="66" t="n"/>
      <c r="M701" s="72" t="n"/>
      <c r="N701" s="72">
        <f>IF($M701="","",$M701+IF($K701="",Dashboard!$M$9,INDEX(Dashboard!$M$5:$M$9,$K701)))</f>
        <v/>
      </c>
      <c r="O701" s="66">
        <f>IF(OR($J701="Attempted",$J701="Revisit"),"DUE",IF($N701="","",IF($N701&lt;=TODAY(),"DUE","")))</f>
        <v/>
      </c>
      <c r="P701" s="66" t="n"/>
    </row>
    <row r="702">
      <c r="A702" s="66" t="n">
        <v>701</v>
      </c>
      <c r="B702" s="66" t="inlineStr">
        <is>
          <t>5. Trees &amp; Graphs - Depth</t>
        </is>
      </c>
      <c r="C702" s="66" t="inlineStr">
        <is>
          <t>20. Graphs</t>
        </is>
      </c>
      <c r="D702" s="66" t="inlineStr">
        <is>
          <t>Multi-source BFS</t>
        </is>
      </c>
      <c r="E702" s="66" t="inlineStr">
        <is>
          <t>Walls and Gates</t>
        </is>
      </c>
      <c r="F702" s="66" t="inlineStr">
        <is>
          <t>Medium</t>
        </is>
      </c>
      <c r="G702" s="66" t="inlineStr">
        <is>
          <t>Depth</t>
        </is>
      </c>
      <c r="H702" s="66" t="inlineStr">
        <is>
          <t>GeeksforGeeks</t>
        </is>
      </c>
      <c r="I702" s="66" t="inlineStr">
        <is>
          <t>https://www.geeksforgeeks.org/search/?q=Walls+and+Gates</t>
        </is>
      </c>
      <c r="J702" s="66" t="inlineStr">
        <is>
          <t>Not Started</t>
        </is>
      </c>
      <c r="K702" s="66" t="n"/>
      <c r="L702" s="66" t="n"/>
      <c r="M702" s="72" t="n"/>
      <c r="N702" s="72">
        <f>IF($M702="","",$M702+IF($K702="",Dashboard!$M$9,INDEX(Dashboard!$M$5:$M$9,$K702)))</f>
        <v/>
      </c>
      <c r="O702" s="66">
        <f>IF(OR($J702="Attempted",$J702="Revisit"),"DUE",IF($N702="","",IF($N702&lt;=TODAY(),"DUE","")))</f>
        <v/>
      </c>
      <c r="P702" s="66" t="n"/>
    </row>
    <row r="703">
      <c r="A703" s="66" t="n">
        <v>702</v>
      </c>
      <c r="B703" s="66" t="inlineStr">
        <is>
          <t>5. Trees &amp; Graphs - Depth</t>
        </is>
      </c>
      <c r="C703" s="66" t="inlineStr">
        <is>
          <t>20. Graphs</t>
        </is>
      </c>
      <c r="D703" s="66" t="inlineStr">
        <is>
          <t>Multi-source BFS</t>
        </is>
      </c>
      <c r="E703" s="66" t="inlineStr">
        <is>
          <t>As Far from Land as Possible</t>
        </is>
      </c>
      <c r="F703" s="66" t="inlineStr">
        <is>
          <t>Medium</t>
        </is>
      </c>
      <c r="G703" s="66" t="inlineStr">
        <is>
          <t>Depth</t>
        </is>
      </c>
      <c r="H703" s="66" t="inlineStr">
        <is>
          <t>LeetCode</t>
        </is>
      </c>
      <c r="I703" s="66" t="inlineStr">
        <is>
          <t>https://leetcode.com/problems/as-far-from-land-as-possible/</t>
        </is>
      </c>
      <c r="J703" s="66" t="inlineStr">
        <is>
          <t>Not Started</t>
        </is>
      </c>
      <c r="K703" s="66" t="n"/>
      <c r="L703" s="66" t="n"/>
      <c r="M703" s="72" t="n"/>
      <c r="N703" s="72">
        <f>IF($M703="","",$M703+IF($K703="",Dashboard!$M$9,INDEX(Dashboard!$M$5:$M$9,$K703)))</f>
        <v/>
      </c>
      <c r="O703" s="66">
        <f>IF(OR($J703="Attempted",$J703="Revisit"),"DUE",IF($N703="","",IF($N703&lt;=TODAY(),"DUE","")))</f>
        <v/>
      </c>
      <c r="P703" s="66" t="n"/>
    </row>
    <row r="704">
      <c r="A704" s="66" t="n">
        <v>703</v>
      </c>
      <c r="B704" s="66" t="inlineStr">
        <is>
          <t>5. Trees &amp; Graphs - Depth</t>
        </is>
      </c>
      <c r="C704" s="66" t="inlineStr">
        <is>
          <t>20. Graphs</t>
        </is>
      </c>
      <c r="D704" s="66" t="inlineStr">
        <is>
          <t>Multi-source BFS</t>
        </is>
      </c>
      <c r="E704" s="66" t="inlineStr">
        <is>
          <t>Map of Highest Peak</t>
        </is>
      </c>
      <c r="F704" s="66" t="inlineStr">
        <is>
          <t>Medium</t>
        </is>
      </c>
      <c r="G704" s="66" t="inlineStr">
        <is>
          <t>Depth</t>
        </is>
      </c>
      <c r="H704" s="66" t="inlineStr">
        <is>
          <t>LeetCode</t>
        </is>
      </c>
      <c r="I704" s="66" t="inlineStr">
        <is>
          <t>https://leetcode.com/problems/map-of-highest-peak/</t>
        </is>
      </c>
      <c r="J704" s="66" t="inlineStr">
        <is>
          <t>Not Started</t>
        </is>
      </c>
      <c r="K704" s="66" t="n"/>
      <c r="L704" s="66" t="n"/>
      <c r="M704" s="72" t="n"/>
      <c r="N704" s="72">
        <f>IF($M704="","",$M704+IF($K704="",Dashboard!$M$9,INDEX(Dashboard!$M$5:$M$9,$K704)))</f>
        <v/>
      </c>
      <c r="O704" s="66">
        <f>IF(OR($J704="Attempted",$J704="Revisit"),"DUE",IF($N704="","",IF($N704&lt;=TODAY(),"DUE","")))</f>
        <v/>
      </c>
      <c r="P704" s="66" t="n"/>
    </row>
    <row r="705">
      <c r="A705" s="66" t="n">
        <v>704</v>
      </c>
      <c r="B705" s="66" t="inlineStr">
        <is>
          <t>5. Trees &amp; Graphs - Depth</t>
        </is>
      </c>
      <c r="C705" s="66" t="inlineStr">
        <is>
          <t>20. Graphs</t>
        </is>
      </c>
      <c r="D705" s="66" t="inlineStr">
        <is>
          <t>Connected components</t>
        </is>
      </c>
      <c r="E705" s="66" t="inlineStr">
        <is>
          <t>Number of Connected Components in an Undirected Graph</t>
        </is>
      </c>
      <c r="F705" s="66" t="inlineStr">
        <is>
          <t>Medium</t>
        </is>
      </c>
      <c r="G705" s="66" t="inlineStr">
        <is>
          <t>Depth</t>
        </is>
      </c>
      <c r="H705" s="66" t="inlineStr">
        <is>
          <t>GeeksforGeeks</t>
        </is>
      </c>
      <c r="I705" s="66" t="inlineStr">
        <is>
          <t>https://www.geeksforgeeks.org/search/?q=Number+of+Connected+Components+in+an+Undirected+Graph</t>
        </is>
      </c>
      <c r="J705" s="66" t="inlineStr">
        <is>
          <t>Not Started</t>
        </is>
      </c>
      <c r="K705" s="66" t="n"/>
      <c r="L705" s="66" t="n"/>
      <c r="M705" s="72" t="n"/>
      <c r="N705" s="72">
        <f>IF($M705="","",$M705+IF($K705="",Dashboard!$M$9,INDEX(Dashboard!$M$5:$M$9,$K705)))</f>
        <v/>
      </c>
      <c r="O705" s="66">
        <f>IF(OR($J705="Attempted",$J705="Revisit"),"DUE",IF($N705="","",IF($N705&lt;=TODAY(),"DUE","")))</f>
        <v/>
      </c>
      <c r="P705" s="66" t="n"/>
    </row>
    <row r="706">
      <c r="A706" s="66" t="n">
        <v>705</v>
      </c>
      <c r="B706" s="66" t="inlineStr">
        <is>
          <t>5. Trees &amp; Graphs - Depth</t>
        </is>
      </c>
      <c r="C706" s="66" t="inlineStr">
        <is>
          <t>20. Graphs</t>
        </is>
      </c>
      <c r="D706" s="66" t="inlineStr">
        <is>
          <t>Connected components</t>
        </is>
      </c>
      <c r="E706" s="66" t="inlineStr">
        <is>
          <t>Count the Number of Complete Components</t>
        </is>
      </c>
      <c r="F706" s="66" t="inlineStr">
        <is>
          <t>Medium</t>
        </is>
      </c>
      <c r="G706" s="66" t="inlineStr">
        <is>
          <t>Depth</t>
        </is>
      </c>
      <c r="H706" s="66" t="inlineStr">
        <is>
          <t>LeetCode</t>
        </is>
      </c>
      <c r="I706" s="66" t="inlineStr">
        <is>
          <t>https://leetcode.com/problems/count-the-number-of-complete-components/</t>
        </is>
      </c>
      <c r="J706" s="66" t="inlineStr">
        <is>
          <t>Not Started</t>
        </is>
      </c>
      <c r="K706" s="66" t="n"/>
      <c r="L706" s="66" t="n"/>
      <c r="M706" s="72" t="n"/>
      <c r="N706" s="72">
        <f>IF($M706="","",$M706+IF($K706="",Dashboard!$M$9,INDEX(Dashboard!$M$5:$M$9,$K706)))</f>
        <v/>
      </c>
      <c r="O706" s="66">
        <f>IF(OR($J706="Attempted",$J706="Revisit"),"DUE",IF($N706="","",IF($N706&lt;=TODAY(),"DUE","")))</f>
        <v/>
      </c>
      <c r="P706" s="66" t="n"/>
    </row>
    <row r="707">
      <c r="A707" s="66" t="n">
        <v>706</v>
      </c>
      <c r="B707" s="66" t="inlineStr">
        <is>
          <t>5. Trees &amp; Graphs - Depth</t>
        </is>
      </c>
      <c r="C707" s="66" t="inlineStr">
        <is>
          <t>20. Graphs</t>
        </is>
      </c>
      <c r="D707" s="66" t="inlineStr">
        <is>
          <t>Connected components</t>
        </is>
      </c>
      <c r="E707" s="66" t="inlineStr">
        <is>
          <t>Maximal Network Rank</t>
        </is>
      </c>
      <c r="F707" s="66" t="inlineStr">
        <is>
          <t>Medium</t>
        </is>
      </c>
      <c r="G707" s="66" t="inlineStr">
        <is>
          <t>Depth</t>
        </is>
      </c>
      <c r="H707" s="66" t="inlineStr">
        <is>
          <t>LeetCode</t>
        </is>
      </c>
      <c r="I707" s="66" t="inlineStr">
        <is>
          <t>https://leetcode.com/problems/maximal-network-rank/</t>
        </is>
      </c>
      <c r="J707" s="66" t="inlineStr">
        <is>
          <t>Not Started</t>
        </is>
      </c>
      <c r="K707" s="66" t="n"/>
      <c r="L707" s="66" t="n"/>
      <c r="M707" s="72" t="n"/>
      <c r="N707" s="72">
        <f>IF($M707="","",$M707+IF($K707="",Dashboard!$M$9,INDEX(Dashboard!$M$5:$M$9,$K707)))</f>
        <v/>
      </c>
      <c r="O707" s="66">
        <f>IF(OR($J707="Attempted",$J707="Revisit"),"DUE",IF($N707="","",IF($N707&lt;=TODAY(),"DUE","")))</f>
        <v/>
      </c>
      <c r="P707" s="66" t="n"/>
    </row>
    <row r="708">
      <c r="A708" s="66" t="n">
        <v>707</v>
      </c>
      <c r="B708" s="66" t="inlineStr">
        <is>
          <t>5. Trees &amp; Graphs - Depth</t>
        </is>
      </c>
      <c r="C708" s="66" t="inlineStr">
        <is>
          <t>20. Graphs</t>
        </is>
      </c>
      <c r="D708" s="66" t="inlineStr">
        <is>
          <t>Connected components</t>
        </is>
      </c>
      <c r="E708" s="66" t="inlineStr">
        <is>
          <t>The Earliest Moment When Everyone Become Friends</t>
        </is>
      </c>
      <c r="F708" s="66" t="inlineStr">
        <is>
          <t>Medium</t>
        </is>
      </c>
      <c r="G708" s="66" t="inlineStr">
        <is>
          <t>Depth</t>
        </is>
      </c>
      <c r="H708" s="66" t="inlineStr">
        <is>
          <t>GeeksforGeeks</t>
        </is>
      </c>
      <c r="I708" s="66" t="inlineStr">
        <is>
          <t>https://www.geeksforgeeks.org/search/?q=The+Earliest+Moment+When+Everyone+Become+Friends</t>
        </is>
      </c>
      <c r="J708" s="66" t="inlineStr">
        <is>
          <t>Not Started</t>
        </is>
      </c>
      <c r="K708" s="66" t="n"/>
      <c r="L708" s="66" t="n"/>
      <c r="M708" s="72" t="n"/>
      <c r="N708" s="72">
        <f>IF($M708="","",$M708+IF($K708="",Dashboard!$M$9,INDEX(Dashboard!$M$5:$M$9,$K708)))</f>
        <v/>
      </c>
      <c r="O708" s="66">
        <f>IF(OR($J708="Attempted",$J708="Revisit"),"DUE",IF($N708="","",IF($N708&lt;=TODAY(),"DUE","")))</f>
        <v/>
      </c>
      <c r="P708" s="66" t="n"/>
    </row>
    <row r="709">
      <c r="A709" s="66" t="n">
        <v>708</v>
      </c>
      <c r="B709" s="66" t="inlineStr">
        <is>
          <t>5. Trees &amp; Graphs - Depth</t>
        </is>
      </c>
      <c r="C709" s="66" t="inlineStr">
        <is>
          <t>20. Graphs</t>
        </is>
      </c>
      <c r="D709" s="66" t="inlineStr">
        <is>
          <t>Coloring</t>
        </is>
      </c>
      <c r="E709" s="66" t="inlineStr">
        <is>
          <t>Possible Bipartition</t>
        </is>
      </c>
      <c r="F709" s="66" t="inlineStr">
        <is>
          <t>Medium</t>
        </is>
      </c>
      <c r="G709" s="66" t="inlineStr">
        <is>
          <t>Depth</t>
        </is>
      </c>
      <c r="H709" s="66" t="inlineStr">
        <is>
          <t>LeetCode</t>
        </is>
      </c>
      <c r="I709" s="66" t="inlineStr">
        <is>
          <t>https://leetcode.com/problems/possible-bipartition/</t>
        </is>
      </c>
      <c r="J709" s="66" t="inlineStr">
        <is>
          <t>Not Started</t>
        </is>
      </c>
      <c r="K709" s="66" t="n"/>
      <c r="L709" s="66" t="n"/>
      <c r="M709" s="72" t="n"/>
      <c r="N709" s="72">
        <f>IF($M709="","",$M709+IF($K709="",Dashboard!$M$9,INDEX(Dashboard!$M$5:$M$9,$K709)))</f>
        <v/>
      </c>
      <c r="O709" s="66">
        <f>IF(OR($J709="Attempted",$J709="Revisit"),"DUE",IF($N709="","",IF($N709&lt;=TODAY(),"DUE","")))</f>
        <v/>
      </c>
      <c r="P709" s="66" t="n"/>
    </row>
    <row r="710">
      <c r="A710" s="66" t="n">
        <v>709</v>
      </c>
      <c r="B710" s="66" t="inlineStr">
        <is>
          <t>5. Trees &amp; Graphs - Depth</t>
        </is>
      </c>
      <c r="C710" s="66" t="inlineStr">
        <is>
          <t>20. Graphs</t>
        </is>
      </c>
      <c r="D710" s="66" t="inlineStr">
        <is>
          <t>Coloring</t>
        </is>
      </c>
      <c r="E710" s="66" t="inlineStr">
        <is>
          <t>Check Whether a Graph is Bipartite (DFS)</t>
        </is>
      </c>
      <c r="F710" s="66" t="inlineStr">
        <is>
          <t>Medium</t>
        </is>
      </c>
      <c r="G710" s="66" t="inlineStr">
        <is>
          <t>Depth</t>
        </is>
      </c>
      <c r="H710" s="66" t="inlineStr">
        <is>
          <t>GeeksforGeeks</t>
        </is>
      </c>
      <c r="I710" s="66" t="inlineStr">
        <is>
          <t>https://www.geeksforgeeks.org/search/?q=Check+Whether+a+Graph+is+Bipartite</t>
        </is>
      </c>
      <c r="J710" s="66" t="inlineStr">
        <is>
          <t>Not Started</t>
        </is>
      </c>
      <c r="K710" s="66" t="n"/>
      <c r="L710" s="66" t="n"/>
      <c r="M710" s="72" t="n"/>
      <c r="N710" s="72">
        <f>IF($M710="","",$M710+IF($K710="",Dashboard!$M$9,INDEX(Dashboard!$M$5:$M$9,$K710)))</f>
        <v/>
      </c>
      <c r="O710" s="66">
        <f>IF(OR($J710="Attempted",$J710="Revisit"),"DUE",IF($N710="","",IF($N710&lt;=TODAY(),"DUE","")))</f>
        <v/>
      </c>
      <c r="P710" s="66" t="n"/>
    </row>
    <row r="711">
      <c r="A711" s="66" t="n">
        <v>710</v>
      </c>
      <c r="B711" s="66" t="inlineStr">
        <is>
          <t>5. Trees &amp; Graphs - Depth</t>
        </is>
      </c>
      <c r="C711" s="66" t="inlineStr">
        <is>
          <t>20. Graphs</t>
        </is>
      </c>
      <c r="D711" s="66" t="inlineStr">
        <is>
          <t>Coloring</t>
        </is>
      </c>
      <c r="E711" s="66" t="inlineStr">
        <is>
          <t>Flower Planting With No Adjacent</t>
        </is>
      </c>
      <c r="F711" s="66" t="inlineStr">
        <is>
          <t>Medium</t>
        </is>
      </c>
      <c r="G711" s="66" t="inlineStr">
        <is>
          <t>Depth</t>
        </is>
      </c>
      <c r="H711" s="66" t="inlineStr">
        <is>
          <t>LeetCode</t>
        </is>
      </c>
      <c r="I711" s="66" t="inlineStr">
        <is>
          <t>https://leetcode.com/problems/flower-planting-with-no-adjacent/</t>
        </is>
      </c>
      <c r="J711" s="66" t="inlineStr">
        <is>
          <t>Not Started</t>
        </is>
      </c>
      <c r="K711" s="66" t="n"/>
      <c r="L711" s="66" t="n"/>
      <c r="M711" s="72" t="n"/>
      <c r="N711" s="72">
        <f>IF($M711="","",$M711+IF($K711="",Dashboard!$M$9,INDEX(Dashboard!$M$5:$M$9,$K711)))</f>
        <v/>
      </c>
      <c r="O711" s="66">
        <f>IF(OR($J711="Attempted",$J711="Revisit"),"DUE",IF($N711="","",IF($N711&lt;=TODAY(),"DUE","")))</f>
        <v/>
      </c>
      <c r="P711" s="66" t="n"/>
    </row>
    <row r="712">
      <c r="A712" s="66" t="n">
        <v>711</v>
      </c>
      <c r="B712" s="66" t="inlineStr">
        <is>
          <t>5. Trees &amp; Graphs - Depth</t>
        </is>
      </c>
      <c r="C712" s="66" t="inlineStr">
        <is>
          <t>20. Graphs</t>
        </is>
      </c>
      <c r="D712" s="66" t="inlineStr">
        <is>
          <t>Cycle detection</t>
        </is>
      </c>
      <c r="E712" s="66" t="inlineStr">
        <is>
          <t>Find Eventual Safe States</t>
        </is>
      </c>
      <c r="F712" s="66" t="inlineStr">
        <is>
          <t>Medium</t>
        </is>
      </c>
      <c r="G712" s="66" t="inlineStr">
        <is>
          <t>Depth</t>
        </is>
      </c>
      <c r="H712" s="66" t="inlineStr">
        <is>
          <t>LeetCode</t>
        </is>
      </c>
      <c r="I712" s="66" t="inlineStr">
        <is>
          <t>https://leetcode.com/problems/find-eventual-safe-states/</t>
        </is>
      </c>
      <c r="J712" s="66" t="inlineStr">
        <is>
          <t>Not Started</t>
        </is>
      </c>
      <c r="K712" s="66" t="n"/>
      <c r="L712" s="66" t="n"/>
      <c r="M712" s="72" t="n"/>
      <c r="N712" s="72">
        <f>IF($M712="","",$M712+IF($K712="",Dashboard!$M$9,INDEX(Dashboard!$M$5:$M$9,$K712)))</f>
        <v/>
      </c>
      <c r="O712" s="66">
        <f>IF(OR($J712="Attempted",$J712="Revisit"),"DUE",IF($N712="","",IF($N712&lt;=TODAY(),"DUE","")))</f>
        <v/>
      </c>
      <c r="P712" s="66" t="n"/>
    </row>
    <row r="713">
      <c r="A713" s="66" t="n">
        <v>712</v>
      </c>
      <c r="B713" s="66" t="inlineStr">
        <is>
          <t>5. Trees &amp; Graphs - Depth</t>
        </is>
      </c>
      <c r="C713" s="66" t="inlineStr">
        <is>
          <t>20. Graphs</t>
        </is>
      </c>
      <c r="D713" s="66" t="inlineStr">
        <is>
          <t>BFS shortest path</t>
        </is>
      </c>
      <c r="E713" s="66" t="inlineStr">
        <is>
          <t>Minimum Multiplications to Reach End</t>
        </is>
      </c>
      <c r="F713" s="66" t="inlineStr">
        <is>
          <t>Medium</t>
        </is>
      </c>
      <c r="G713" s="66" t="inlineStr">
        <is>
          <t>Depth</t>
        </is>
      </c>
      <c r="H713" s="66" t="inlineStr">
        <is>
          <t>GeeksforGeeks</t>
        </is>
      </c>
      <c r="I713" s="66" t="inlineStr">
        <is>
          <t>https://www.geeksforgeeks.org/problems/minimum-multiplications-to-reach-end/1</t>
        </is>
      </c>
      <c r="J713" s="66" t="inlineStr">
        <is>
          <t>Not Started</t>
        </is>
      </c>
      <c r="K713" s="66" t="n"/>
      <c r="L713" s="66" t="n"/>
      <c r="M713" s="72" t="n"/>
      <c r="N713" s="72">
        <f>IF($M713="","",$M713+IF($K713="",Dashboard!$M$9,INDEX(Dashboard!$M$5:$M$9,$K713)))</f>
        <v/>
      </c>
      <c r="O713" s="66">
        <f>IF(OR($J713="Attempted",$J713="Revisit"),"DUE",IF($N713="","",IF($N713&lt;=TODAY(),"DUE","")))</f>
        <v/>
      </c>
      <c r="P713" s="66" t="n"/>
    </row>
    <row r="714">
      <c r="A714" s="66" t="n">
        <v>713</v>
      </c>
      <c r="B714" s="66" t="inlineStr">
        <is>
          <t>5. Trees &amp; Graphs - Depth</t>
        </is>
      </c>
      <c r="C714" s="66" t="inlineStr">
        <is>
          <t>20. Graphs</t>
        </is>
      </c>
      <c r="D714" s="66" t="inlineStr">
        <is>
          <t>Topological sort</t>
        </is>
      </c>
      <c r="E714" s="66" t="inlineStr">
        <is>
          <t>Minimum Height Trees</t>
        </is>
      </c>
      <c r="F714" s="66" t="inlineStr">
        <is>
          <t>Medium</t>
        </is>
      </c>
      <c r="G714" s="66" t="inlineStr">
        <is>
          <t>Depth</t>
        </is>
      </c>
      <c r="H714" s="66" t="inlineStr">
        <is>
          <t>LeetCode</t>
        </is>
      </c>
      <c r="I714" s="66" t="inlineStr">
        <is>
          <t>https://leetcode.com/problems/minimum-height-trees/</t>
        </is>
      </c>
      <c r="J714" s="66" t="inlineStr">
        <is>
          <t>Not Started</t>
        </is>
      </c>
      <c r="K714" s="66" t="n"/>
      <c r="L714" s="66" t="n"/>
      <c r="M714" s="72" t="n"/>
      <c r="N714" s="72">
        <f>IF($M714="","",$M714+IF($K714="",Dashboard!$M$9,INDEX(Dashboard!$M$5:$M$9,$K714)))</f>
        <v/>
      </c>
      <c r="O714" s="66">
        <f>IF(OR($J714="Attempted",$J714="Revisit"),"DUE",IF($N714="","",IF($N714&lt;=TODAY(),"DUE","")))</f>
        <v/>
      </c>
      <c r="P714" s="66" t="n"/>
    </row>
    <row r="715">
      <c r="A715" s="66" t="n">
        <v>714</v>
      </c>
      <c r="B715" s="66" t="inlineStr">
        <is>
          <t>5. Trees &amp; Graphs - Depth</t>
        </is>
      </c>
      <c r="C715" s="66" t="inlineStr">
        <is>
          <t>20. Graphs</t>
        </is>
      </c>
      <c r="D715" s="66" t="inlineStr">
        <is>
          <t>Topological sort</t>
        </is>
      </c>
      <c r="E715" s="66" t="inlineStr">
        <is>
          <t>Parallel Courses</t>
        </is>
      </c>
      <c r="F715" s="66" t="inlineStr">
        <is>
          <t>Medium</t>
        </is>
      </c>
      <c r="G715" s="66" t="inlineStr">
        <is>
          <t>Depth</t>
        </is>
      </c>
      <c r="H715" s="66" t="inlineStr">
        <is>
          <t>GeeksforGeeks</t>
        </is>
      </c>
      <c r="I715" s="66" t="inlineStr">
        <is>
          <t>https://www.google.com/search?q=site%3Ageeksforgeeks.org+Parallel+Courses</t>
        </is>
      </c>
      <c r="J715" s="66" t="inlineStr">
        <is>
          <t>Not Started</t>
        </is>
      </c>
      <c r="K715" s="66" t="n"/>
      <c r="L715" s="66" t="n"/>
      <c r="M715" s="72" t="n"/>
      <c r="N715" s="72">
        <f>IF($M715="","",$M715+IF($K715="",Dashboard!$M$9,INDEX(Dashboard!$M$5:$M$9,$K715)))</f>
        <v/>
      </c>
      <c r="O715" s="66">
        <f>IF(OR($J715="Attempted",$J715="Revisit"),"DUE",IF($N715="","",IF($N715&lt;=TODAY(),"DUE","")))</f>
        <v/>
      </c>
      <c r="P715" s="66" t="n"/>
    </row>
    <row r="716">
      <c r="A716" s="66" t="n">
        <v>715</v>
      </c>
      <c r="B716" s="66" t="inlineStr">
        <is>
          <t>5. Trees &amp; Graphs - Depth</t>
        </is>
      </c>
      <c r="C716" s="66" t="inlineStr">
        <is>
          <t>20. Graphs</t>
        </is>
      </c>
      <c r="D716" s="66" t="inlineStr">
        <is>
          <t>DSU</t>
        </is>
      </c>
      <c r="E716" s="66" t="inlineStr">
        <is>
          <t>Number of Operations to Make Network Connected</t>
        </is>
      </c>
      <c r="F716" s="66" t="inlineStr">
        <is>
          <t>Medium</t>
        </is>
      </c>
      <c r="G716" s="66" t="inlineStr">
        <is>
          <t>Depth</t>
        </is>
      </c>
      <c r="H716" s="66" t="inlineStr">
        <is>
          <t>LeetCode</t>
        </is>
      </c>
      <c r="I716" s="66" t="inlineStr">
        <is>
          <t>https://leetcode.com/problems/number-of-operations-to-make-network-connected/</t>
        </is>
      </c>
      <c r="J716" s="66" t="inlineStr">
        <is>
          <t>Not Started</t>
        </is>
      </c>
      <c r="K716" s="66" t="n"/>
      <c r="L716" s="66" t="n"/>
      <c r="M716" s="72" t="n"/>
      <c r="N716" s="72">
        <f>IF($M716="","",$M716+IF($K716="",Dashboard!$M$9,INDEX(Dashboard!$M$5:$M$9,$K716)))</f>
        <v/>
      </c>
      <c r="O716" s="66">
        <f>IF(OR($J716="Attempted",$J716="Revisit"),"DUE",IF($N716="","",IF($N716&lt;=TODAY(),"DUE","")))</f>
        <v/>
      </c>
      <c r="P716" s="66" t="n"/>
    </row>
    <row r="717">
      <c r="A717" s="66" t="n">
        <v>716</v>
      </c>
      <c r="B717" s="66" t="inlineStr">
        <is>
          <t>5. Trees &amp; Graphs - Depth</t>
        </is>
      </c>
      <c r="C717" s="66" t="inlineStr">
        <is>
          <t>20. Graphs</t>
        </is>
      </c>
      <c r="D717" s="66" t="inlineStr">
        <is>
          <t>DSU</t>
        </is>
      </c>
      <c r="E717" s="66" t="inlineStr">
        <is>
          <t>Most Stones Removed with Same Row or Column</t>
        </is>
      </c>
      <c r="F717" s="66" t="inlineStr">
        <is>
          <t>Medium</t>
        </is>
      </c>
      <c r="G717" s="66" t="inlineStr">
        <is>
          <t>Depth</t>
        </is>
      </c>
      <c r="H717" s="66" t="inlineStr">
        <is>
          <t>LeetCode</t>
        </is>
      </c>
      <c r="I717" s="66" t="inlineStr">
        <is>
          <t>https://leetcode.com/problems/most-stones-removed-with-same-row-or-column/</t>
        </is>
      </c>
      <c r="J717" s="66" t="inlineStr">
        <is>
          <t>Not Started</t>
        </is>
      </c>
      <c r="K717" s="66" t="n"/>
      <c r="L717" s="66" t="n"/>
      <c r="M717" s="72" t="n"/>
      <c r="N717" s="72">
        <f>IF($M717="","",$M717+IF($K717="",Dashboard!$M$9,INDEX(Dashboard!$M$5:$M$9,$K717)))</f>
        <v/>
      </c>
      <c r="O717" s="66">
        <f>IF(OR($J717="Attempted",$J717="Revisit"),"DUE",IF($N717="","",IF($N717&lt;=TODAY(),"DUE","")))</f>
        <v/>
      </c>
      <c r="P717" s="66" t="n"/>
    </row>
    <row r="718">
      <c r="A718" s="66" t="n">
        <v>717</v>
      </c>
      <c r="B718" s="66" t="inlineStr">
        <is>
          <t>5. Trees &amp; Graphs - Depth</t>
        </is>
      </c>
      <c r="C718" s="66" t="inlineStr">
        <is>
          <t>20. Graphs</t>
        </is>
      </c>
      <c r="D718" s="66" t="inlineStr">
        <is>
          <t>DSU</t>
        </is>
      </c>
      <c r="E718" s="66" t="inlineStr">
        <is>
          <t>Satisfiability of Equality Equations</t>
        </is>
      </c>
      <c r="F718" s="66" t="inlineStr">
        <is>
          <t>Medium</t>
        </is>
      </c>
      <c r="G718" s="66" t="inlineStr">
        <is>
          <t>Depth</t>
        </is>
      </c>
      <c r="H718" s="66" t="inlineStr">
        <is>
          <t>LeetCode</t>
        </is>
      </c>
      <c r="I718" s="66" t="inlineStr">
        <is>
          <t>https://leetcode.com/problems/satisfiability-of-equality-equations/</t>
        </is>
      </c>
      <c r="J718" s="66" t="inlineStr">
        <is>
          <t>Not Started</t>
        </is>
      </c>
      <c r="K718" s="66" t="n"/>
      <c r="L718" s="66" t="n"/>
      <c r="M718" s="72" t="n"/>
      <c r="N718" s="72">
        <f>IF($M718="","",$M718+IF($K718="",Dashboard!$M$9,INDEX(Dashboard!$M$5:$M$9,$K718)))</f>
        <v/>
      </c>
      <c r="O718" s="66">
        <f>IF(OR($J718="Attempted",$J718="Revisit"),"DUE",IF($N718="","",IF($N718&lt;=TODAY(),"DUE","")))</f>
        <v/>
      </c>
      <c r="P718" s="66" t="n"/>
    </row>
    <row r="719">
      <c r="A719" s="66" t="n">
        <v>718</v>
      </c>
      <c r="B719" s="66" t="inlineStr">
        <is>
          <t>5. Trees &amp; Graphs - Depth</t>
        </is>
      </c>
      <c r="C719" s="66" t="inlineStr">
        <is>
          <t>20. Graphs</t>
        </is>
      </c>
      <c r="D719" s="66" t="inlineStr">
        <is>
          <t>Dijkstra</t>
        </is>
      </c>
      <c r="E719" s="66" t="inlineStr">
        <is>
          <t>Path With Minimum Effort</t>
        </is>
      </c>
      <c r="F719" s="66" t="inlineStr">
        <is>
          <t>Medium</t>
        </is>
      </c>
      <c r="G719" s="66" t="inlineStr">
        <is>
          <t>Depth</t>
        </is>
      </c>
      <c r="H719" s="66" t="inlineStr">
        <is>
          <t>LeetCode</t>
        </is>
      </c>
      <c r="I719" s="66" t="inlineStr">
        <is>
          <t>https://leetcode.com/problems/path-with-minimum-effort/</t>
        </is>
      </c>
      <c r="J719" s="66" t="inlineStr">
        <is>
          <t>Not Started</t>
        </is>
      </c>
      <c r="K719" s="66" t="n"/>
      <c r="L719" s="66" t="n"/>
      <c r="M719" s="72" t="n"/>
      <c r="N719" s="72">
        <f>IF($M719="","",$M719+IF($K719="",Dashboard!$M$9,INDEX(Dashboard!$M$5:$M$9,$K719)))</f>
        <v/>
      </c>
      <c r="O719" s="66">
        <f>IF(OR($J719="Attempted",$J719="Revisit"),"DUE",IF($N719="","",IF($N719&lt;=TODAY(),"DUE","")))</f>
        <v/>
      </c>
      <c r="P719" s="66" t="n"/>
    </row>
    <row r="720">
      <c r="A720" s="66" t="n">
        <v>719</v>
      </c>
      <c r="B720" s="66" t="inlineStr">
        <is>
          <t>5. Trees &amp; Graphs - Depth</t>
        </is>
      </c>
      <c r="C720" s="66" t="inlineStr">
        <is>
          <t>20. Graphs</t>
        </is>
      </c>
      <c r="D720" s="66" t="inlineStr">
        <is>
          <t>Dijkstra</t>
        </is>
      </c>
      <c r="E720" s="66" t="inlineStr">
        <is>
          <t>Path with Maximum Probability</t>
        </is>
      </c>
      <c r="F720" s="66" t="inlineStr">
        <is>
          <t>Medium</t>
        </is>
      </c>
      <c r="G720" s="66" t="inlineStr">
        <is>
          <t>Depth</t>
        </is>
      </c>
      <c r="H720" s="66" t="inlineStr">
        <is>
          <t>LeetCode</t>
        </is>
      </c>
      <c r="I720" s="66" t="inlineStr">
        <is>
          <t>https://leetcode.com/problems/path-with-maximum-probability/</t>
        </is>
      </c>
      <c r="J720" s="66" t="inlineStr">
        <is>
          <t>Not Started</t>
        </is>
      </c>
      <c r="K720" s="66" t="n"/>
      <c r="L720" s="66" t="n"/>
      <c r="M720" s="72" t="n"/>
      <c r="N720" s="72">
        <f>IF($M720="","",$M720+IF($K720="",Dashboard!$M$9,INDEX(Dashboard!$M$5:$M$9,$K720)))</f>
        <v/>
      </c>
      <c r="O720" s="66">
        <f>IF(OR($J720="Attempted",$J720="Revisit"),"DUE",IF($N720="","",IF($N720&lt;=TODAY(),"DUE","")))</f>
        <v/>
      </c>
      <c r="P720" s="66" t="n"/>
    </row>
    <row r="721">
      <c r="A721" s="66" t="n">
        <v>720</v>
      </c>
      <c r="B721" s="66" t="inlineStr">
        <is>
          <t>5. Trees &amp; Graphs - Depth</t>
        </is>
      </c>
      <c r="C721" s="66" t="inlineStr">
        <is>
          <t>20. Graphs</t>
        </is>
      </c>
      <c r="D721" s="66" t="inlineStr">
        <is>
          <t>Dijkstra</t>
        </is>
      </c>
      <c r="E721" s="66" t="inlineStr">
        <is>
          <t>Number of Ways to Arrive at Destination</t>
        </is>
      </c>
      <c r="F721" s="66" t="inlineStr">
        <is>
          <t>Medium</t>
        </is>
      </c>
      <c r="G721" s="66" t="inlineStr">
        <is>
          <t>Depth</t>
        </is>
      </c>
      <c r="H721" s="66" t="inlineStr">
        <is>
          <t>LeetCode</t>
        </is>
      </c>
      <c r="I721" s="66" t="inlineStr">
        <is>
          <t>https://leetcode.com/problems/number-of-ways-to-arrive-at-destination/</t>
        </is>
      </c>
      <c r="J721" s="66" t="inlineStr">
        <is>
          <t>Not Started</t>
        </is>
      </c>
      <c r="K721" s="66" t="n"/>
      <c r="L721" s="66" t="n"/>
      <c r="M721" s="72" t="n"/>
      <c r="N721" s="72">
        <f>IF($M721="","",$M721+IF($K721="",Dashboard!$M$9,INDEX(Dashboard!$M$5:$M$9,$K721)))</f>
        <v/>
      </c>
      <c r="O721" s="66">
        <f>IF(OR($J721="Attempted",$J721="Revisit"),"DUE",IF($N721="","",IF($N721&lt;=TODAY(),"DUE","")))</f>
        <v/>
      </c>
      <c r="P721" s="66" t="inlineStr">
        <is>
          <t>v3 addition</t>
        </is>
      </c>
    </row>
    <row r="722">
      <c r="A722" s="66" t="n">
        <v>721</v>
      </c>
      <c r="B722" s="66" t="inlineStr">
        <is>
          <t>5. Trees &amp; Graphs - Depth</t>
        </is>
      </c>
      <c r="C722" s="66" t="inlineStr">
        <is>
          <t>20. Graphs</t>
        </is>
      </c>
      <c r="D722" s="66" t="inlineStr">
        <is>
          <t>Bellman-Ford</t>
        </is>
      </c>
      <c r="E722" s="66" t="inlineStr">
        <is>
          <t>Negative Weight Cycle</t>
        </is>
      </c>
      <c r="F722" s="66" t="inlineStr">
        <is>
          <t>Medium</t>
        </is>
      </c>
      <c r="G722" s="66" t="inlineStr">
        <is>
          <t>Depth</t>
        </is>
      </c>
      <c r="H722" s="66" t="inlineStr">
        <is>
          <t>GeeksforGeeks</t>
        </is>
      </c>
      <c r="I722" s="66" t="inlineStr">
        <is>
          <t>https://www.geeksforgeeks.org/search/?q=Negative+Weight+Cycle</t>
        </is>
      </c>
      <c r="J722" s="66" t="inlineStr">
        <is>
          <t>Not Started</t>
        </is>
      </c>
      <c r="K722" s="66" t="n"/>
      <c r="L722" s="66" t="n"/>
      <c r="M722" s="72" t="n"/>
      <c r="N722" s="72">
        <f>IF($M722="","",$M722+IF($K722="",Dashboard!$M$9,INDEX(Dashboard!$M$5:$M$9,$K722)))</f>
        <v/>
      </c>
      <c r="O722" s="66">
        <f>IF(OR($J722="Attempted",$J722="Revisit"),"DUE",IF($N722="","",IF($N722&lt;=TODAY(),"DUE","")))</f>
        <v/>
      </c>
      <c r="P722" s="66" t="n"/>
    </row>
    <row r="723">
      <c r="A723" s="66" t="n">
        <v>722</v>
      </c>
      <c r="B723" s="66" t="inlineStr">
        <is>
          <t>5. Trees &amp; Graphs - Depth</t>
        </is>
      </c>
      <c r="C723" s="66" t="inlineStr">
        <is>
          <t>20. Graphs</t>
        </is>
      </c>
      <c r="D723" s="66" t="inlineStr">
        <is>
          <t>Bellman-Ford</t>
        </is>
      </c>
      <c r="E723" s="66" t="inlineStr">
        <is>
          <t>Shortest Path in Directed Acyclic Graph</t>
        </is>
      </c>
      <c r="F723" s="66" t="inlineStr">
        <is>
          <t>Medium</t>
        </is>
      </c>
      <c r="G723" s="66" t="inlineStr">
        <is>
          <t>Depth</t>
        </is>
      </c>
      <c r="H723" s="66" t="inlineStr">
        <is>
          <t>GeeksforGeeks</t>
        </is>
      </c>
      <c r="I723" s="66" t="inlineStr">
        <is>
          <t>https://www.geeksforgeeks.org/search/?q=Shortest+Path+in+Directed+Acyclic+Graph</t>
        </is>
      </c>
      <c r="J723" s="66" t="inlineStr">
        <is>
          <t>Not Started</t>
        </is>
      </c>
      <c r="K723" s="66" t="n"/>
      <c r="L723" s="66" t="n"/>
      <c r="M723" s="72" t="n"/>
      <c r="N723" s="72">
        <f>IF($M723="","",$M723+IF($K723="",Dashboard!$M$9,INDEX(Dashboard!$M$5:$M$9,$K723)))</f>
        <v/>
      </c>
      <c r="O723" s="66">
        <f>IF(OR($J723="Attempted",$J723="Revisit"),"DUE",IF($N723="","",IF($N723&lt;=TODAY(),"DUE","")))</f>
        <v/>
      </c>
      <c r="P723" s="66" t="n"/>
    </row>
    <row r="724">
      <c r="A724" s="66" t="n">
        <v>723</v>
      </c>
      <c r="B724" s="66" t="inlineStr">
        <is>
          <t>5. Trees &amp; Graphs - Depth</t>
        </is>
      </c>
      <c r="C724" s="66" t="inlineStr">
        <is>
          <t>20. Graphs</t>
        </is>
      </c>
      <c r="D724" s="66" t="inlineStr">
        <is>
          <t>Floyd-Warshall</t>
        </is>
      </c>
      <c r="E724" s="66" t="inlineStr">
        <is>
          <t>Course Schedule IV</t>
        </is>
      </c>
      <c r="F724" s="66" t="inlineStr">
        <is>
          <t>Medium</t>
        </is>
      </c>
      <c r="G724" s="66" t="inlineStr">
        <is>
          <t>Depth</t>
        </is>
      </c>
      <c r="H724" s="66" t="inlineStr">
        <is>
          <t>LeetCode</t>
        </is>
      </c>
      <c r="I724" s="66" t="inlineStr">
        <is>
          <t>https://leetcode.com/problems/course-schedule-iv/</t>
        </is>
      </c>
      <c r="J724" s="66" t="inlineStr">
        <is>
          <t>Not Started</t>
        </is>
      </c>
      <c r="K724" s="66" t="n"/>
      <c r="L724" s="66" t="n"/>
      <c r="M724" s="72" t="n"/>
      <c r="N724" s="72">
        <f>IF($M724="","",$M724+IF($K724="",Dashboard!$M$9,INDEX(Dashboard!$M$5:$M$9,$K724)))</f>
        <v/>
      </c>
      <c r="O724" s="66">
        <f>IF(OR($J724="Attempted",$J724="Revisit"),"DUE",IF($N724="","",IF($N724&lt;=TODAY(),"DUE","")))</f>
        <v/>
      </c>
      <c r="P724" s="66" t="n"/>
    </row>
    <row r="725">
      <c r="A725" s="66" t="n">
        <v>724</v>
      </c>
      <c r="B725" s="66" t="inlineStr">
        <is>
          <t>5. Trees &amp; Graphs - Depth</t>
        </is>
      </c>
      <c r="C725" s="66" t="inlineStr">
        <is>
          <t>20. Graphs</t>
        </is>
      </c>
      <c r="D725" s="66" t="inlineStr">
        <is>
          <t>Floyd-Warshall</t>
        </is>
      </c>
      <c r="E725" s="66" t="inlineStr">
        <is>
          <t>Detect Negative Cycle using Floyd Warshall</t>
        </is>
      </c>
      <c r="F725" s="66" t="inlineStr">
        <is>
          <t>Medium</t>
        </is>
      </c>
      <c r="G725" s="66" t="inlineStr">
        <is>
          <t>Depth</t>
        </is>
      </c>
      <c r="H725" s="66" t="inlineStr">
        <is>
          <t>GeeksforGeeks</t>
        </is>
      </c>
      <c r="I725" s="66" t="inlineStr">
        <is>
          <t>https://www.geeksforgeeks.org/search/?q=Detect+Negative+Cycle+using+Floyd+Warshall</t>
        </is>
      </c>
      <c r="J725" s="66" t="inlineStr">
        <is>
          <t>Not Started</t>
        </is>
      </c>
      <c r="K725" s="66" t="n"/>
      <c r="L725" s="66" t="n"/>
      <c r="M725" s="72" t="n"/>
      <c r="N725" s="72">
        <f>IF($M725="","",$M725+IF($K725="",Dashboard!$M$9,INDEX(Dashboard!$M$5:$M$9,$K725)))</f>
        <v/>
      </c>
      <c r="O725" s="66">
        <f>IF(OR($J725="Attempted",$J725="Revisit"),"DUE",IF($N725="","",IF($N725&lt;=TODAY(),"DUE","")))</f>
        <v/>
      </c>
      <c r="P725" s="66" t="n"/>
    </row>
    <row r="726">
      <c r="A726" s="66" t="n">
        <v>725</v>
      </c>
      <c r="B726" s="66" t="inlineStr">
        <is>
          <t>5. Trees &amp; Graphs - Depth</t>
        </is>
      </c>
      <c r="C726" s="66" t="inlineStr">
        <is>
          <t>20. Graphs</t>
        </is>
      </c>
      <c r="D726" s="66" t="inlineStr">
        <is>
          <t>Floyd-Warshall</t>
        </is>
      </c>
      <c r="E726" s="66" t="inlineStr">
        <is>
          <t>Minimum Cost to Convert String I</t>
        </is>
      </c>
      <c r="F726" s="66" t="inlineStr">
        <is>
          <t>Medium</t>
        </is>
      </c>
      <c r="G726" s="66" t="inlineStr">
        <is>
          <t>Depth</t>
        </is>
      </c>
      <c r="H726" s="66" t="inlineStr">
        <is>
          <t>LeetCode</t>
        </is>
      </c>
      <c r="I726" s="66" t="inlineStr">
        <is>
          <t>https://leetcode.com/problems/minimum-cost-to-convert-string-i/</t>
        </is>
      </c>
      <c r="J726" s="66" t="inlineStr">
        <is>
          <t>Not Started</t>
        </is>
      </c>
      <c r="K726" s="66" t="n"/>
      <c r="L726" s="66" t="n"/>
      <c r="M726" s="72" t="n"/>
      <c r="N726" s="72">
        <f>IF($M726="","",$M726+IF($K726="",Dashboard!$M$9,INDEX(Dashboard!$M$5:$M$9,$K726)))</f>
        <v/>
      </c>
      <c r="O726" s="66">
        <f>IF(OR($J726="Attempted",$J726="Revisit"),"DUE",IF($N726="","",IF($N726&lt;=TODAY(),"DUE","")))</f>
        <v/>
      </c>
      <c r="P726" s="66" t="n"/>
    </row>
    <row r="727">
      <c r="A727" s="66" t="n">
        <v>726</v>
      </c>
      <c r="B727" s="66" t="inlineStr">
        <is>
          <t>5. Trees &amp; Graphs - Depth</t>
        </is>
      </c>
      <c r="C727" s="66" t="inlineStr">
        <is>
          <t>20. Graphs</t>
        </is>
      </c>
      <c r="D727" s="66" t="inlineStr">
        <is>
          <t>MST</t>
        </is>
      </c>
      <c r="E727" s="66" t="inlineStr">
        <is>
          <t>Min Cost to Connect All Points</t>
        </is>
      </c>
      <c r="F727" s="66" t="inlineStr">
        <is>
          <t>Medium</t>
        </is>
      </c>
      <c r="G727" s="66" t="inlineStr">
        <is>
          <t>Depth</t>
        </is>
      </c>
      <c r="H727" s="66" t="inlineStr">
        <is>
          <t>LeetCode</t>
        </is>
      </c>
      <c r="I727" s="66" t="inlineStr">
        <is>
          <t>https://leetcode.com/problems/min-cost-to-connect-all-points/</t>
        </is>
      </c>
      <c r="J727" s="66" t="inlineStr">
        <is>
          <t>Not Started</t>
        </is>
      </c>
      <c r="K727" s="66" t="n"/>
      <c r="L727" s="66" t="n"/>
      <c r="M727" s="72" t="n"/>
      <c r="N727" s="72">
        <f>IF($M727="","",$M727+IF($K727="",Dashboard!$M$9,INDEX(Dashboard!$M$5:$M$9,$K727)))</f>
        <v/>
      </c>
      <c r="O727" s="66">
        <f>IF(OR($J727="Attempted",$J727="Revisit"),"DUE",IF($N727="","",IF($N727&lt;=TODAY(),"DUE","")))</f>
        <v/>
      </c>
      <c r="P727" s="66" t="n"/>
    </row>
    <row r="728">
      <c r="A728" s="66" t="n">
        <v>727</v>
      </c>
      <c r="B728" s="66" t="inlineStr">
        <is>
          <t>5. Trees &amp; Graphs - Depth</t>
        </is>
      </c>
      <c r="C728" s="66" t="inlineStr">
        <is>
          <t>20. Graphs</t>
        </is>
      </c>
      <c r="D728" s="66" t="inlineStr">
        <is>
          <t>Bridges &amp; APs</t>
        </is>
      </c>
      <c r="E728" s="66" t="inlineStr">
        <is>
          <t>Bridge Edge in a Graph</t>
        </is>
      </c>
      <c r="F728" s="66" t="inlineStr">
        <is>
          <t>Medium</t>
        </is>
      </c>
      <c r="G728" s="66" t="inlineStr">
        <is>
          <t>Depth</t>
        </is>
      </c>
      <c r="H728" s="66" t="inlineStr">
        <is>
          <t>GeeksforGeeks</t>
        </is>
      </c>
      <c r="I728" s="66" t="inlineStr">
        <is>
          <t>https://www.geeksforgeeks.org/search/?q=Bridge+Edge+in+a+Graph</t>
        </is>
      </c>
      <c r="J728" s="66" t="inlineStr">
        <is>
          <t>Not Started</t>
        </is>
      </c>
      <c r="K728" s="66" t="n"/>
      <c r="L728" s="66" t="n"/>
      <c r="M728" s="72" t="n"/>
      <c r="N728" s="72">
        <f>IF($M728="","",$M728+IF($K728="",Dashboard!$M$9,INDEX(Dashboard!$M$5:$M$9,$K728)))</f>
        <v/>
      </c>
      <c r="O728" s="66">
        <f>IF(OR($J728="Attempted",$J728="Revisit"),"DUE",IF($N728="","",IF($N728&lt;=TODAY(),"DUE","")))</f>
        <v/>
      </c>
      <c r="P728" s="66" t="n"/>
    </row>
    <row r="729">
      <c r="A729" s="66" t="n">
        <v>728</v>
      </c>
      <c r="B729" s="66" t="inlineStr">
        <is>
          <t>5. Trees &amp; Graphs - Depth</t>
        </is>
      </c>
      <c r="C729" s="66" t="inlineStr">
        <is>
          <t>20. Graphs</t>
        </is>
      </c>
      <c r="D729" s="66" t="inlineStr">
        <is>
          <t>Bridges &amp; APs</t>
        </is>
      </c>
      <c r="E729" s="66" t="inlineStr">
        <is>
          <t>Critical Connections in a Network</t>
        </is>
      </c>
      <c r="F729" s="66" t="inlineStr">
        <is>
          <t>Hard</t>
        </is>
      </c>
      <c r="G729" s="66" t="inlineStr">
        <is>
          <t>Depth</t>
        </is>
      </c>
      <c r="H729" s="66" t="inlineStr">
        <is>
          <t>LeetCode</t>
        </is>
      </c>
      <c r="I729" s="66" t="inlineStr">
        <is>
          <t>https://leetcode.com/problems/critical-connections-in-a-network/</t>
        </is>
      </c>
      <c r="J729" s="66" t="inlineStr">
        <is>
          <t>Not Started</t>
        </is>
      </c>
      <c r="K729" s="66" t="n"/>
      <c r="L729" s="66" t="n"/>
      <c r="M729" s="72" t="n"/>
      <c r="N729" s="72">
        <f>IF($M729="","",$M729+IF($K729="",Dashboard!$M$9,INDEX(Dashboard!$M$5:$M$9,$K729)))</f>
        <v/>
      </c>
      <c r="O729" s="66">
        <f>IF(OR($J729="Attempted",$J729="Revisit"),"DUE",IF($N729="","",IF($N729&lt;=TODAY(),"DUE","")))</f>
        <v/>
      </c>
      <c r="P729" s="66" t="n"/>
    </row>
    <row r="730">
      <c r="A730" s="66" t="n">
        <v>729</v>
      </c>
      <c r="B730" s="66" t="inlineStr">
        <is>
          <t>5. Trees &amp; Graphs - Depth</t>
        </is>
      </c>
      <c r="C730" s="66" t="inlineStr">
        <is>
          <t>20. Graphs</t>
        </is>
      </c>
      <c r="D730" s="66" t="inlineStr">
        <is>
          <t>Bridges &amp; APs</t>
        </is>
      </c>
      <c r="E730" s="66" t="inlineStr">
        <is>
          <t>Articulation Point in a Graph</t>
        </is>
      </c>
      <c r="F730" s="66" t="inlineStr">
        <is>
          <t>Hard</t>
        </is>
      </c>
      <c r="G730" s="66" t="inlineStr">
        <is>
          <t>Depth</t>
        </is>
      </c>
      <c r="H730" s="66" t="inlineStr">
        <is>
          <t>GeeksforGeeks</t>
        </is>
      </c>
      <c r="I730" s="66" t="inlineStr">
        <is>
          <t>https://www.geeksforgeeks.org/problems/articulation-point2616/1</t>
        </is>
      </c>
      <c r="J730" s="66" t="inlineStr">
        <is>
          <t>Not Started</t>
        </is>
      </c>
      <c r="K730" s="66" t="n"/>
      <c r="L730" s="66" t="n"/>
      <c r="M730" s="72" t="n"/>
      <c r="N730" s="72">
        <f>IF($M730="","",$M730+IF($K730="",Dashboard!$M$9,INDEX(Dashboard!$M$5:$M$9,$K730)))</f>
        <v/>
      </c>
      <c r="O730" s="66">
        <f>IF(OR($J730="Attempted",$J730="Revisit"),"DUE",IF($N730="","",IF($N730&lt;=TODAY(),"DUE","")))</f>
        <v/>
      </c>
      <c r="P730" s="66" t="n"/>
    </row>
    <row r="731">
      <c r="A731" s="66" t="n">
        <v>730</v>
      </c>
      <c r="B731" s="66" t="inlineStr">
        <is>
          <t>5. Trees &amp; Graphs - Depth</t>
        </is>
      </c>
      <c r="C731" s="66" t="inlineStr">
        <is>
          <t>20. Graphs</t>
        </is>
      </c>
      <c r="D731" s="66" t="inlineStr">
        <is>
          <t>SCC</t>
        </is>
      </c>
      <c r="E731" s="66" t="inlineStr">
        <is>
          <t>Mother Vertex</t>
        </is>
      </c>
      <c r="F731" s="66" t="inlineStr">
        <is>
          <t>Medium</t>
        </is>
      </c>
      <c r="G731" s="66" t="inlineStr">
        <is>
          <t>Depth</t>
        </is>
      </c>
      <c r="H731" s="66" t="inlineStr">
        <is>
          <t>GeeksforGeeks</t>
        </is>
      </c>
      <c r="I731" s="66" t="inlineStr">
        <is>
          <t>https://www.geeksforgeeks.org/search/?q=Mother+Vertex</t>
        </is>
      </c>
      <c r="J731" s="66" t="inlineStr">
        <is>
          <t>Not Started</t>
        </is>
      </c>
      <c r="K731" s="66" t="n"/>
      <c r="L731" s="66" t="n"/>
      <c r="M731" s="72" t="n"/>
      <c r="N731" s="72">
        <f>IF($M731="","",$M731+IF($K731="",Dashboard!$M$9,INDEX(Dashboard!$M$5:$M$9,$K731)))</f>
        <v/>
      </c>
      <c r="O731" s="66">
        <f>IF(OR($J731="Attempted",$J731="Revisit"),"DUE",IF($N731="","",IF($N731&lt;=TODAY(),"DUE","")))</f>
        <v/>
      </c>
      <c r="P731" s="66" t="n"/>
    </row>
    <row r="732">
      <c r="A732" s="66" t="n">
        <v>731</v>
      </c>
      <c r="B732" s="66" t="inlineStr">
        <is>
          <t>5. Trees &amp; Graphs - Depth</t>
        </is>
      </c>
      <c r="C732" s="66" t="inlineStr">
        <is>
          <t>20. Graphs</t>
        </is>
      </c>
      <c r="D732" s="66" t="inlineStr">
        <is>
          <t>SCC</t>
        </is>
      </c>
      <c r="E732" s="66" t="inlineStr">
        <is>
          <t>Strongly Connected Components - Kosaraju's Algorithm</t>
        </is>
      </c>
      <c r="F732" s="66" t="inlineStr">
        <is>
          <t>Hard</t>
        </is>
      </c>
      <c r="G732" s="66" t="inlineStr">
        <is>
          <t>Depth</t>
        </is>
      </c>
      <c r="H732" s="66" t="inlineStr">
        <is>
          <t>GeeksforGeeks</t>
        </is>
      </c>
      <c r="I732" s="66" t="inlineStr">
        <is>
          <t>https://www.geeksforgeeks.org/problems/strongly-connected-components-kosarajus-algo/1</t>
        </is>
      </c>
      <c r="J732" s="66" t="inlineStr">
        <is>
          <t>Not Started</t>
        </is>
      </c>
      <c r="K732" s="66" t="n"/>
      <c r="L732" s="66" t="n"/>
      <c r="M732" s="72" t="n"/>
      <c r="N732" s="72">
        <f>IF($M732="","",$M732+IF($K732="",Dashboard!$M$9,INDEX(Dashboard!$M$5:$M$9,$K732)))</f>
        <v/>
      </c>
      <c r="O732" s="66">
        <f>IF(OR($J732="Attempted",$J732="Revisit"),"DUE",IF($N732="","",IF($N732&lt;=TODAY(),"DUE","")))</f>
        <v/>
      </c>
      <c r="P732" s="66" t="inlineStr">
        <is>
          <t>v3 addition</t>
        </is>
      </c>
    </row>
    <row r="733">
      <c r="A733" s="66" t="n">
        <v>732</v>
      </c>
      <c r="B733" s="66" t="inlineStr">
        <is>
          <t>5. Trees &amp; Graphs - Depth</t>
        </is>
      </c>
      <c r="C733" s="66" t="inlineStr">
        <is>
          <t>20. Graphs</t>
        </is>
      </c>
      <c r="D733" s="66" t="inlineStr">
        <is>
          <t>Euler path</t>
        </is>
      </c>
      <c r="E733" s="66" t="inlineStr">
        <is>
          <t>Check if a Directed Graph is Eulerian</t>
        </is>
      </c>
      <c r="F733" s="66" t="inlineStr">
        <is>
          <t>Medium</t>
        </is>
      </c>
      <c r="G733" s="66" t="inlineStr">
        <is>
          <t>Depth</t>
        </is>
      </c>
      <c r="H733" s="66" t="inlineStr">
        <is>
          <t>GeeksforGeeks</t>
        </is>
      </c>
      <c r="I733" s="66" t="inlineStr">
        <is>
          <t>https://www.geeksforgeeks.org/search/?q=Check+if+a+Directed+Graph+is+Eulerian</t>
        </is>
      </c>
      <c r="J733" s="66" t="inlineStr">
        <is>
          <t>Not Started</t>
        </is>
      </c>
      <c r="K733" s="66" t="n"/>
      <c r="L733" s="66" t="n"/>
      <c r="M733" s="72" t="n"/>
      <c r="N733" s="72">
        <f>IF($M733="","",$M733+IF($K733="",Dashboard!$M$9,INDEX(Dashboard!$M$5:$M$9,$K733)))</f>
        <v/>
      </c>
      <c r="O733" s="66">
        <f>IF(OR($J733="Attempted",$J733="Revisit"),"DUE",IF($N733="","",IF($N733&lt;=TODAY(),"DUE","")))</f>
        <v/>
      </c>
      <c r="P733" s="66" t="inlineStr">
        <is>
          <t>v3 addition</t>
        </is>
      </c>
    </row>
    <row r="734">
      <c r="A734" s="66" t="n">
        <v>733</v>
      </c>
      <c r="B734" s="66" t="inlineStr">
        <is>
          <t>5. Trees &amp; Graphs - Depth</t>
        </is>
      </c>
      <c r="C734" s="66" t="inlineStr">
        <is>
          <t>20. Graphs</t>
        </is>
      </c>
      <c r="D734" s="66" t="inlineStr">
        <is>
          <t>Euler path</t>
        </is>
      </c>
      <c r="E734" s="66" t="inlineStr">
        <is>
          <t>Reconstruct Itinerary</t>
        </is>
      </c>
      <c r="F734" s="66" t="inlineStr">
        <is>
          <t>Hard</t>
        </is>
      </c>
      <c r="G734" s="66" t="inlineStr">
        <is>
          <t>Depth</t>
        </is>
      </c>
      <c r="H734" s="66" t="inlineStr">
        <is>
          <t>LeetCode</t>
        </is>
      </c>
      <c r="I734" s="66" t="inlineStr">
        <is>
          <t>https://leetcode.com/problems/reconstruct-itinerary/</t>
        </is>
      </c>
      <c r="J734" s="66" t="inlineStr">
        <is>
          <t>Not Started</t>
        </is>
      </c>
      <c r="K734" s="66" t="n"/>
      <c r="L734" s="66" t="n"/>
      <c r="M734" s="72" t="n"/>
      <c r="N734" s="72">
        <f>IF($M734="","",$M734+IF($K734="",Dashboard!$M$9,INDEX(Dashboard!$M$5:$M$9,$K734)))</f>
        <v/>
      </c>
      <c r="O734" s="66">
        <f>IF(OR($J734="Attempted",$J734="Revisit"),"DUE",IF($N734="","",IF($N734&lt;=TODAY(),"DUE","")))</f>
        <v/>
      </c>
      <c r="P734" s="66" t="n"/>
    </row>
    <row r="735">
      <c r="A735" s="66" t="n">
        <v>734</v>
      </c>
      <c r="B735" s="66" t="inlineStr">
        <is>
          <t>5. Trees &amp; Graphs - Depth</t>
        </is>
      </c>
      <c r="C735" s="66" t="inlineStr">
        <is>
          <t>20. Graphs</t>
        </is>
      </c>
      <c r="D735" s="66" t="inlineStr">
        <is>
          <t>Misc</t>
        </is>
      </c>
      <c r="E735" s="66" t="inlineStr">
        <is>
          <t>Minimum Number of Vertices to Reach All Nodes</t>
        </is>
      </c>
      <c r="F735" s="66" t="inlineStr">
        <is>
          <t>Medium</t>
        </is>
      </c>
      <c r="G735" s="66" t="inlineStr">
        <is>
          <t>Depth</t>
        </is>
      </c>
      <c r="H735" s="66" t="inlineStr">
        <is>
          <t>LeetCode</t>
        </is>
      </c>
      <c r="I735" s="66" t="inlineStr">
        <is>
          <t>https://leetcode.com/problems/minimum-number-of-vertices-to-reach-all-nodes/</t>
        </is>
      </c>
      <c r="J735" s="66" t="inlineStr">
        <is>
          <t>Not Started</t>
        </is>
      </c>
      <c r="K735" s="66" t="n"/>
      <c r="L735" s="66" t="n"/>
      <c r="M735" s="72" t="n"/>
      <c r="N735" s="72">
        <f>IF($M735="","",$M735+IF($K735="",Dashboard!$M$9,INDEX(Dashboard!$M$5:$M$9,$K735)))</f>
        <v/>
      </c>
      <c r="O735" s="66">
        <f>IF(OR($J735="Attempted",$J735="Revisit"),"DUE",IF($N735="","",IF($N735&lt;=TODAY(),"DUE","")))</f>
        <v/>
      </c>
      <c r="P735" s="66" t="n"/>
    </row>
    <row r="736">
      <c r="A736" s="66" t="n">
        <v>735</v>
      </c>
      <c r="B736" s="66" t="inlineStr">
        <is>
          <t>5. Trees &amp; Graphs - Depth</t>
        </is>
      </c>
      <c r="C736" s="66" t="inlineStr">
        <is>
          <t>20. Graphs</t>
        </is>
      </c>
      <c r="D736" s="66" t="inlineStr">
        <is>
          <t>Misc</t>
        </is>
      </c>
      <c r="E736" s="66" t="inlineStr">
        <is>
          <t>All Paths From Source to Target</t>
        </is>
      </c>
      <c r="F736" s="66" t="inlineStr">
        <is>
          <t>Medium</t>
        </is>
      </c>
      <c r="G736" s="66" t="inlineStr">
        <is>
          <t>Depth</t>
        </is>
      </c>
      <c r="H736" s="66" t="inlineStr">
        <is>
          <t>LeetCode</t>
        </is>
      </c>
      <c r="I736" s="66" t="inlineStr">
        <is>
          <t>https://leetcode.com/problems/all-paths-from-source-to-target/</t>
        </is>
      </c>
      <c r="J736" s="66" t="inlineStr">
        <is>
          <t>Not Started</t>
        </is>
      </c>
      <c r="K736" s="66" t="n"/>
      <c r="L736" s="66" t="n"/>
      <c r="M736" s="72" t="n"/>
      <c r="N736" s="72">
        <f>IF($M736="","",$M736+IF($K736="",Dashboard!$M$9,INDEX(Dashboard!$M$5:$M$9,$K736)))</f>
        <v/>
      </c>
      <c r="O736" s="66">
        <f>IF(OR($J736="Attempted",$J736="Revisit"),"DUE",IF($N736="","",IF($N736&lt;=TODAY(),"DUE","")))</f>
        <v/>
      </c>
      <c r="P736" s="66" t="inlineStr">
        <is>
          <t>v3 addition</t>
        </is>
      </c>
    </row>
    <row r="737">
      <c r="A737" s="66" t="n">
        <v>736</v>
      </c>
      <c r="B737" s="66" t="inlineStr">
        <is>
          <t>5. Trees &amp; Graphs - Depth</t>
        </is>
      </c>
      <c r="C737" s="66" t="inlineStr">
        <is>
          <t>20. Graphs</t>
        </is>
      </c>
      <c r="D737" s="66" t="inlineStr">
        <is>
          <t>Misc</t>
        </is>
      </c>
      <c r="E737" s="66" t="inlineStr">
        <is>
          <t>Reorder Routes to Make All Paths Lead to the City Zero</t>
        </is>
      </c>
      <c r="F737" s="66" t="inlineStr">
        <is>
          <t>Medium</t>
        </is>
      </c>
      <c r="G737" s="66" t="inlineStr">
        <is>
          <t>Depth</t>
        </is>
      </c>
      <c r="H737" s="66" t="inlineStr">
        <is>
          <t>LeetCode</t>
        </is>
      </c>
      <c r="I737" s="66" t="inlineStr">
        <is>
          <t>https://leetcode.com/problems/reorder-routes-to-make-all-paths-lead-to-the-city-zero/</t>
        </is>
      </c>
      <c r="J737" s="66" t="inlineStr">
        <is>
          <t>Not Started</t>
        </is>
      </c>
      <c r="K737" s="66" t="n"/>
      <c r="L737" s="66" t="n"/>
      <c r="M737" s="72" t="n"/>
      <c r="N737" s="72">
        <f>IF($M737="","",$M737+IF($K737="",Dashboard!$M$9,INDEX(Dashboard!$M$5:$M$9,$K737)))</f>
        <v/>
      </c>
      <c r="O737" s="66">
        <f>IF(OR($J737="Attempted",$J737="Revisit"),"DUE",IF($N737="","",IF($N737&lt;=TODAY(),"DUE","")))</f>
        <v/>
      </c>
      <c r="P737" s="66" t="inlineStr">
        <is>
          <t>v3 addition</t>
        </is>
      </c>
    </row>
    <row r="738">
      <c r="A738" s="66" t="n">
        <v>737</v>
      </c>
      <c r="B738" s="66" t="inlineStr">
        <is>
          <t>5. Trees &amp; Graphs - Depth</t>
        </is>
      </c>
      <c r="C738" s="66" t="inlineStr">
        <is>
          <t>20. Graphs</t>
        </is>
      </c>
      <c r="D738" s="66" t="inlineStr">
        <is>
          <t>0-1 BFS</t>
        </is>
      </c>
      <c r="E738" s="66" t="inlineStr">
        <is>
          <t>0-1 BFS (Shortest Path in a Binary Weight Graph)</t>
        </is>
      </c>
      <c r="F738" s="66" t="inlineStr">
        <is>
          <t>Medium</t>
        </is>
      </c>
      <c r="G738" s="66" t="inlineStr">
        <is>
          <t>Depth</t>
        </is>
      </c>
      <c r="H738" s="66" t="inlineStr">
        <is>
          <t>GeeksforGeeks</t>
        </is>
      </c>
      <c r="I738" s="66" t="inlineStr">
        <is>
          <t>https://www.geeksforgeeks.org/search/?q=0-1+BFS</t>
        </is>
      </c>
      <c r="J738" s="66" t="inlineStr">
        <is>
          <t>Not Started</t>
        </is>
      </c>
      <c r="K738" s="66" t="n"/>
      <c r="L738" s="66" t="n"/>
      <c r="M738" s="72" t="n"/>
      <c r="N738" s="72">
        <f>IF($M738="","",$M738+IF($K738="",Dashboard!$M$9,INDEX(Dashboard!$M$5:$M$9,$K738)))</f>
        <v/>
      </c>
      <c r="O738" s="66">
        <f>IF(OR($J738="Attempted",$J738="Revisit"),"DUE",IF($N738="","",IF($N738&lt;=TODAY(),"DUE","")))</f>
        <v/>
      </c>
      <c r="P738" s="66" t="inlineStr">
        <is>
          <t>v3 addition</t>
        </is>
      </c>
    </row>
    <row r="739">
      <c r="A739" s="66" t="n">
        <v>738</v>
      </c>
      <c r="B739" s="66" t="inlineStr">
        <is>
          <t>5. Trees &amp; Graphs - Depth</t>
        </is>
      </c>
      <c r="C739" s="66" t="inlineStr">
        <is>
          <t>20. Graphs</t>
        </is>
      </c>
      <c r="D739" s="66" t="inlineStr">
        <is>
          <t>0-1 BFS</t>
        </is>
      </c>
      <c r="E739" s="66" t="inlineStr">
        <is>
          <t>Snakes and Ladders</t>
        </is>
      </c>
      <c r="F739" s="66" t="inlineStr">
        <is>
          <t>Medium</t>
        </is>
      </c>
      <c r="G739" s="66" t="inlineStr">
        <is>
          <t>Depth</t>
        </is>
      </c>
      <c r="H739" s="66" t="inlineStr">
        <is>
          <t>LeetCode</t>
        </is>
      </c>
      <c r="I739" s="66" t="inlineStr">
        <is>
          <t>https://leetcode.com/problems/snakes-and-ladders/</t>
        </is>
      </c>
      <c r="J739" s="66" t="inlineStr">
        <is>
          <t>Not Started</t>
        </is>
      </c>
      <c r="K739" s="66" t="n"/>
      <c r="L739" s="66" t="n"/>
      <c r="M739" s="72" t="n"/>
      <c r="N739" s="72">
        <f>IF($M739="","",$M739+IF($K739="",Dashboard!$M$9,INDEX(Dashboard!$M$5:$M$9,$K739)))</f>
        <v/>
      </c>
      <c r="O739" s="66">
        <f>IF(OR($J739="Attempted",$J739="Revisit"),"DUE",IF($N739="","",IF($N739&lt;=TODAY(),"DUE","")))</f>
        <v/>
      </c>
      <c r="P739" s="66" t="n"/>
    </row>
    <row r="740">
      <c r="A740" s="66" t="n">
        <v>739</v>
      </c>
      <c r="B740" s="66" t="inlineStr">
        <is>
          <t>5. Trees &amp; Graphs - Depth</t>
        </is>
      </c>
      <c r="C740" s="66" t="inlineStr">
        <is>
          <t>20. Graphs</t>
        </is>
      </c>
      <c r="D740" s="66" t="inlineStr">
        <is>
          <t>Binary lifting</t>
        </is>
      </c>
      <c r="E740" s="66" t="inlineStr">
        <is>
          <t>Kth Ancestor in a Tree</t>
        </is>
      </c>
      <c r="F740" s="66" t="inlineStr">
        <is>
          <t>Medium</t>
        </is>
      </c>
      <c r="G740" s="66" t="inlineStr">
        <is>
          <t>Depth</t>
        </is>
      </c>
      <c r="H740" s="66" t="inlineStr">
        <is>
          <t>GeeksforGeeks</t>
        </is>
      </c>
      <c r="I740" s="66" t="inlineStr">
        <is>
          <t>https://www.geeksforgeeks.org/search/?q=Kth+Ancestor+in+a+Tree</t>
        </is>
      </c>
      <c r="J740" s="66" t="inlineStr">
        <is>
          <t>Not Started</t>
        </is>
      </c>
      <c r="K740" s="66" t="n"/>
      <c r="L740" s="66" t="n"/>
      <c r="M740" s="72" t="n"/>
      <c r="N740" s="72">
        <f>IF($M740="","",$M740+IF($K740="",Dashboard!$M$9,INDEX(Dashboard!$M$5:$M$9,$K740)))</f>
        <v/>
      </c>
      <c r="O740" s="66">
        <f>IF(OR($J740="Attempted",$J740="Revisit"),"DUE",IF($N740="","",IF($N740&lt;=TODAY(),"DUE","")))</f>
        <v/>
      </c>
      <c r="P740" s="66" t="n"/>
    </row>
    <row r="741">
      <c r="A741" s="66" t="n">
        <v>740</v>
      </c>
      <c r="B741" s="66" t="inlineStr">
        <is>
          <t>5. Trees &amp; Graphs - Stretch</t>
        </is>
      </c>
      <c r="C741" s="66" t="inlineStr">
        <is>
          <t>18. Trees &amp; BST</t>
        </is>
      </c>
      <c r="D741" s="66" t="inlineStr">
        <is>
          <t>Views</t>
        </is>
      </c>
      <c r="E741" s="66" t="inlineStr">
        <is>
          <t>Vertical Order Traversal of a Binary Tree</t>
        </is>
      </c>
      <c r="F741" s="66" t="inlineStr">
        <is>
          <t>Hard</t>
        </is>
      </c>
      <c r="G741" s="66" t="inlineStr">
        <is>
          <t>Stretch</t>
        </is>
      </c>
      <c r="H741" s="66" t="inlineStr">
        <is>
          <t>LeetCode</t>
        </is>
      </c>
      <c r="I741" s="66" t="inlineStr">
        <is>
          <t>https://leetcode.com/problems/vertical-order-traversal-of-a-binary-tree/</t>
        </is>
      </c>
      <c r="J741" s="66" t="inlineStr">
        <is>
          <t>Not Started</t>
        </is>
      </c>
      <c r="K741" s="66" t="n"/>
      <c r="L741" s="66" t="n"/>
      <c r="M741" s="72" t="n"/>
      <c r="N741" s="72">
        <f>IF($M741="","",$M741+IF($K741="",Dashboard!$M$9,INDEX(Dashboard!$M$5:$M$9,$K741)))</f>
        <v/>
      </c>
      <c r="O741" s="66">
        <f>IF(OR($J741="Attempted",$J741="Revisit"),"DUE",IF($N741="","",IF($N741&lt;=TODAY(),"DUE","")))</f>
        <v/>
      </c>
      <c r="P741" s="66" t="n"/>
    </row>
    <row r="742">
      <c r="A742" s="66" t="n">
        <v>741</v>
      </c>
      <c r="B742" s="66" t="inlineStr">
        <is>
          <t>5. Trees &amp; Graphs - Stretch</t>
        </is>
      </c>
      <c r="C742" s="66" t="inlineStr">
        <is>
          <t>18. Trees &amp; BST</t>
        </is>
      </c>
      <c r="D742" s="66" t="inlineStr">
        <is>
          <t>Path sum</t>
        </is>
      </c>
      <c r="E742" s="66" t="inlineStr">
        <is>
          <t>Binary Tree Maximum Path Sum</t>
        </is>
      </c>
      <c r="F742" s="66" t="inlineStr">
        <is>
          <t>Hard</t>
        </is>
      </c>
      <c r="G742" s="66" t="inlineStr">
        <is>
          <t>Stretch</t>
        </is>
      </c>
      <c r="H742" s="66" t="inlineStr">
        <is>
          <t>LeetCode</t>
        </is>
      </c>
      <c r="I742" s="66" t="inlineStr">
        <is>
          <t>https://leetcode.com/problems/binary-tree-maximum-path-sum/</t>
        </is>
      </c>
      <c r="J742" s="66" t="inlineStr">
        <is>
          <t>Not Started</t>
        </is>
      </c>
      <c r="K742" s="66" t="n"/>
      <c r="L742" s="66" t="n"/>
      <c r="M742" s="72" t="n"/>
      <c r="N742" s="72">
        <f>IF($M742="","",$M742+IF($K742="",Dashboard!$M$9,INDEX(Dashboard!$M$5:$M$9,$K742)))</f>
        <v/>
      </c>
      <c r="O742" s="66">
        <f>IF(OR($J742="Attempted",$J742="Revisit"),"DUE",IF($N742="","",IF($N742&lt;=TODAY(),"DUE","")))</f>
        <v/>
      </c>
      <c r="P742" s="66" t="n"/>
    </row>
    <row r="743">
      <c r="A743" s="66" t="n">
        <v>742</v>
      </c>
      <c r="B743" s="66" t="inlineStr">
        <is>
          <t>5. Trees &amp; Graphs - Stretch</t>
        </is>
      </c>
      <c r="C743" s="66" t="inlineStr">
        <is>
          <t>18. Trees &amp; BST</t>
        </is>
      </c>
      <c r="D743" s="66" t="inlineStr">
        <is>
          <t>BST properties</t>
        </is>
      </c>
      <c r="E743" s="66" t="inlineStr">
        <is>
          <t>Largest BST in a Binary Tree</t>
        </is>
      </c>
      <c r="F743" s="66" t="inlineStr">
        <is>
          <t>Hard</t>
        </is>
      </c>
      <c r="G743" s="66" t="inlineStr">
        <is>
          <t>Stretch</t>
        </is>
      </c>
      <c r="H743" s="66" t="inlineStr">
        <is>
          <t>GeeksforGeeks</t>
        </is>
      </c>
      <c r="I743" s="66" t="inlineStr">
        <is>
          <t>https://www.geeksforgeeks.org/problems/largest-bst/1</t>
        </is>
      </c>
      <c r="J743" s="66" t="inlineStr">
        <is>
          <t>Not Started</t>
        </is>
      </c>
      <c r="K743" s="66" t="n"/>
      <c r="L743" s="66" t="n"/>
      <c r="M743" s="72" t="n"/>
      <c r="N743" s="72">
        <f>IF($M743="","",$M743+IF($K743="",Dashboard!$M$9,INDEX(Dashboard!$M$5:$M$9,$K743)))</f>
        <v/>
      </c>
      <c r="O743" s="66">
        <f>IF(OR($J743="Attempted",$J743="Revisit"),"DUE",IF($N743="","",IF($N743&lt;=TODAY(),"DUE","")))</f>
        <v/>
      </c>
      <c r="P743" s="66" t="n"/>
    </row>
    <row r="744">
      <c r="A744" s="66" t="n">
        <v>743</v>
      </c>
      <c r="B744" s="66" t="inlineStr">
        <is>
          <t>5. Trees &amp; Graphs - Stretch</t>
        </is>
      </c>
      <c r="C744" s="66" t="inlineStr">
        <is>
          <t>19. Tries</t>
        </is>
      </c>
      <c r="D744" s="66" t="inlineStr">
        <is>
          <t>Design</t>
        </is>
      </c>
      <c r="E744" s="66" t="inlineStr">
        <is>
          <t>Stream of Characters</t>
        </is>
      </c>
      <c r="F744" s="66" t="inlineStr">
        <is>
          <t>Hard</t>
        </is>
      </c>
      <c r="G744" s="66" t="inlineStr">
        <is>
          <t>Stretch</t>
        </is>
      </c>
      <c r="H744" s="66" t="inlineStr">
        <is>
          <t>LeetCode</t>
        </is>
      </c>
      <c r="I744" s="66" t="inlineStr">
        <is>
          <t>https://leetcode.com/problems/stream-of-characters/</t>
        </is>
      </c>
      <c r="J744" s="66" t="inlineStr">
        <is>
          <t>Not Started</t>
        </is>
      </c>
      <c r="K744" s="66" t="n"/>
      <c r="L744" s="66" t="n"/>
      <c r="M744" s="72" t="n"/>
      <c r="N744" s="72">
        <f>IF($M744="","",$M744+IF($K744="",Dashboard!$M$9,INDEX(Dashboard!$M$5:$M$9,$K744)))</f>
        <v/>
      </c>
      <c r="O744" s="66">
        <f>IF(OR($J744="Attempted",$J744="Revisit"),"DUE",IF($N744="","",IF($N744&lt;=TODAY(),"DUE","")))</f>
        <v/>
      </c>
      <c r="P744" s="66" t="inlineStr">
        <is>
          <t>v3 addition</t>
        </is>
      </c>
    </row>
    <row r="745">
      <c r="A745" s="66" t="n">
        <v>744</v>
      </c>
      <c r="B745" s="66" t="inlineStr">
        <is>
          <t>5. Trees &amp; Graphs - Stretch</t>
        </is>
      </c>
      <c r="C745" s="66" t="inlineStr">
        <is>
          <t>19. Tries</t>
        </is>
      </c>
      <c r="D745" s="66" t="inlineStr">
        <is>
          <t>Prefix search</t>
        </is>
      </c>
      <c r="E745" s="66" t="inlineStr">
        <is>
          <t>Prefix and Suffix Search</t>
        </is>
      </c>
      <c r="F745" s="66" t="inlineStr">
        <is>
          <t>Hard</t>
        </is>
      </c>
      <c r="G745" s="66" t="inlineStr">
        <is>
          <t>Stretch</t>
        </is>
      </c>
      <c r="H745" s="66" t="inlineStr">
        <is>
          <t>LeetCode</t>
        </is>
      </c>
      <c r="I745" s="66" t="inlineStr">
        <is>
          <t>https://leetcode.com/problems/prefix-and-suffix-search/</t>
        </is>
      </c>
      <c r="J745" s="66" t="inlineStr">
        <is>
          <t>Not Started</t>
        </is>
      </c>
      <c r="K745" s="66" t="n"/>
      <c r="L745" s="66" t="n"/>
      <c r="M745" s="72" t="n"/>
      <c r="N745" s="72">
        <f>IF($M745="","",$M745+IF($K745="",Dashboard!$M$9,INDEX(Dashboard!$M$5:$M$9,$K745)))</f>
        <v/>
      </c>
      <c r="O745" s="66">
        <f>IF(OR($J745="Attempted",$J745="Revisit"),"DUE",IF($N745="","",IF($N745&lt;=TODAY(),"DUE","")))</f>
        <v/>
      </c>
      <c r="P745" s="66" t="n"/>
    </row>
    <row r="746">
      <c r="A746" s="66" t="n">
        <v>745</v>
      </c>
      <c r="B746" s="66" t="inlineStr">
        <is>
          <t>5. Trees &amp; Graphs - Stretch</t>
        </is>
      </c>
      <c r="C746" s="66" t="inlineStr">
        <is>
          <t>19. Tries</t>
        </is>
      </c>
      <c r="D746" s="66" t="inlineStr">
        <is>
          <t>Counting</t>
        </is>
      </c>
      <c r="E746" s="66" t="inlineStr">
        <is>
          <t>Sum of Prefix Scores of Strings</t>
        </is>
      </c>
      <c r="F746" s="66" t="inlineStr">
        <is>
          <t>Hard</t>
        </is>
      </c>
      <c r="G746" s="66" t="inlineStr">
        <is>
          <t>Stretch</t>
        </is>
      </c>
      <c r="H746" s="66" t="inlineStr">
        <is>
          <t>LeetCode</t>
        </is>
      </c>
      <c r="I746" s="66" t="inlineStr">
        <is>
          <t>https://leetcode.com/problems/sum-of-prefix-scores-of-strings/</t>
        </is>
      </c>
      <c r="J746" s="66" t="inlineStr">
        <is>
          <t>Not Started</t>
        </is>
      </c>
      <c r="K746" s="66" t="n"/>
      <c r="L746" s="66" t="n"/>
      <c r="M746" s="72" t="n"/>
      <c r="N746" s="72">
        <f>IF($M746="","",$M746+IF($K746="",Dashboard!$M$9,INDEX(Dashboard!$M$5:$M$9,$K746)))</f>
        <v/>
      </c>
      <c r="O746" s="66">
        <f>IF(OR($J746="Attempted",$J746="Revisit"),"DUE",IF($N746="","",IF($N746&lt;=TODAY(),"DUE","")))</f>
        <v/>
      </c>
      <c r="P746" s="66" t="n"/>
    </row>
    <row r="747">
      <c r="A747" s="66" t="n">
        <v>746</v>
      </c>
      <c r="B747" s="66" t="inlineStr">
        <is>
          <t>5. Trees &amp; Graphs - Stretch</t>
        </is>
      </c>
      <c r="C747" s="66" t="inlineStr">
        <is>
          <t>19. Tries</t>
        </is>
      </c>
      <c r="D747" s="66" t="inlineStr">
        <is>
          <t>Trie + grid</t>
        </is>
      </c>
      <c r="E747" s="66" t="inlineStr">
        <is>
          <t>Word Squares</t>
        </is>
      </c>
      <c r="F747" s="66" t="inlineStr">
        <is>
          <t>Hard</t>
        </is>
      </c>
      <c r="G747" s="66" t="inlineStr">
        <is>
          <t>Stretch</t>
        </is>
      </c>
      <c r="H747" s="66" t="inlineStr">
        <is>
          <t>GeeksforGeeks</t>
        </is>
      </c>
      <c r="I747" s="66" t="inlineStr">
        <is>
          <t>https://www.geeksforgeeks.org/search/?q=Word+Squares</t>
        </is>
      </c>
      <c r="J747" s="66" t="inlineStr">
        <is>
          <t>Not Started</t>
        </is>
      </c>
      <c r="K747" s="66" t="n"/>
      <c r="L747" s="66" t="n"/>
      <c r="M747" s="72" t="n"/>
      <c r="N747" s="72">
        <f>IF($M747="","",$M747+IF($K747="",Dashboard!$M$9,INDEX(Dashboard!$M$5:$M$9,$K747)))</f>
        <v/>
      </c>
      <c r="O747" s="66">
        <f>IF(OR($J747="Attempted",$J747="Revisit"),"DUE",IF($N747="","",IF($N747&lt;=TODAY(),"DUE","")))</f>
        <v/>
      </c>
      <c r="P747" s="66" t="inlineStr">
        <is>
          <t>v3 addition</t>
        </is>
      </c>
    </row>
    <row r="748">
      <c r="A748" s="66" t="n">
        <v>747</v>
      </c>
      <c r="B748" s="66" t="inlineStr">
        <is>
          <t>5. Trees &amp; Graphs - Stretch</t>
        </is>
      </c>
      <c r="C748" s="66" t="inlineStr">
        <is>
          <t>19. Tries</t>
        </is>
      </c>
      <c r="D748" s="66" t="inlineStr">
        <is>
          <t>Trie + grid</t>
        </is>
      </c>
      <c r="E748" s="66" t="inlineStr">
        <is>
          <t>Concatenated Words</t>
        </is>
      </c>
      <c r="F748" s="66" t="inlineStr">
        <is>
          <t>Hard</t>
        </is>
      </c>
      <c r="G748" s="66" t="inlineStr">
        <is>
          <t>Stretch</t>
        </is>
      </c>
      <c r="H748" s="66" t="inlineStr">
        <is>
          <t>LeetCode</t>
        </is>
      </c>
      <c r="I748" s="66" t="inlineStr">
        <is>
          <t>https://leetcode.com/problems/concatenated-words/</t>
        </is>
      </c>
      <c r="J748" s="66" t="inlineStr">
        <is>
          <t>Not Started</t>
        </is>
      </c>
      <c r="K748" s="66" t="n"/>
      <c r="L748" s="66" t="n"/>
      <c r="M748" s="72" t="n"/>
      <c r="N748" s="72">
        <f>IF($M748="","",$M748+IF($K748="",Dashboard!$M$9,INDEX(Dashboard!$M$5:$M$9,$K748)))</f>
        <v/>
      </c>
      <c r="O748" s="66">
        <f>IF(OR($J748="Attempted",$J748="Revisit"),"DUE",IF($N748="","",IF($N748&lt;=TODAY(),"DUE","")))</f>
        <v/>
      </c>
      <c r="P748" s="66" t="n"/>
    </row>
    <row r="749">
      <c r="A749" s="66" t="n">
        <v>748</v>
      </c>
      <c r="B749" s="66" t="inlineStr">
        <is>
          <t>5. Trees &amp; Graphs - Stretch</t>
        </is>
      </c>
      <c r="C749" s="66" t="inlineStr">
        <is>
          <t>19. Tries</t>
        </is>
      </c>
      <c r="D749" s="66" t="inlineStr">
        <is>
          <t>Trie + grid</t>
        </is>
      </c>
      <c r="E749" s="66" t="inlineStr">
        <is>
          <t>Palindrome Pairs</t>
        </is>
      </c>
      <c r="F749" s="66" t="inlineStr">
        <is>
          <t>Hard</t>
        </is>
      </c>
      <c r="G749" s="66" t="inlineStr">
        <is>
          <t>Stretch</t>
        </is>
      </c>
      <c r="H749" s="66" t="inlineStr">
        <is>
          <t>LeetCode</t>
        </is>
      </c>
      <c r="I749" s="66" t="inlineStr">
        <is>
          <t>https://leetcode.com/problems/palindrome-pairs/</t>
        </is>
      </c>
      <c r="J749" s="66" t="inlineStr">
        <is>
          <t>Not Started</t>
        </is>
      </c>
      <c r="K749" s="66" t="n"/>
      <c r="L749" s="66" t="n"/>
      <c r="M749" s="72" t="n"/>
      <c r="N749" s="72">
        <f>IF($M749="","",$M749+IF($K749="",Dashboard!$M$9,INDEX(Dashboard!$M$5:$M$9,$K749)))</f>
        <v/>
      </c>
      <c r="O749" s="66">
        <f>IF(OR($J749="Attempted",$J749="Revisit"),"DUE",IF($N749="","",IF($N749&lt;=TODAY(),"DUE","")))</f>
        <v/>
      </c>
      <c r="P749" s="66" t="n"/>
    </row>
    <row r="750">
      <c r="A750" s="66" t="n">
        <v>749</v>
      </c>
      <c r="B750" s="66" t="inlineStr">
        <is>
          <t>5. Trees &amp; Graphs - Stretch</t>
        </is>
      </c>
      <c r="C750" s="66" t="inlineStr">
        <is>
          <t>19. Tries</t>
        </is>
      </c>
      <c r="D750" s="66" t="inlineStr">
        <is>
          <t>Bit trie</t>
        </is>
      </c>
      <c r="E750" s="66" t="inlineStr">
        <is>
          <t>Maximum XOR With an Element From Array</t>
        </is>
      </c>
      <c r="F750" s="66" t="inlineStr">
        <is>
          <t>Hard</t>
        </is>
      </c>
      <c r="G750" s="66" t="inlineStr">
        <is>
          <t>Stretch</t>
        </is>
      </c>
      <c r="H750" s="66" t="inlineStr">
        <is>
          <t>LeetCode</t>
        </is>
      </c>
      <c r="I750" s="66" t="inlineStr">
        <is>
          <t>https://leetcode.com/problems/maximum-xor-with-an-element-from-array/</t>
        </is>
      </c>
      <c r="J750" s="66" t="inlineStr">
        <is>
          <t>Not Started</t>
        </is>
      </c>
      <c r="K750" s="66" t="n"/>
      <c r="L750" s="66" t="n"/>
      <c r="M750" s="72" t="n"/>
      <c r="N750" s="72">
        <f>IF($M750="","",$M750+IF($K750="",Dashboard!$M$9,INDEX(Dashboard!$M$5:$M$9,$K750)))</f>
        <v/>
      </c>
      <c r="O750" s="66">
        <f>IF(OR($J750="Attempted",$J750="Revisit"),"DUE",IF($N750="","",IF($N750&lt;=TODAY(),"DUE","")))</f>
        <v/>
      </c>
      <c r="P750" s="66" t="inlineStr">
        <is>
          <t>v3 addition</t>
        </is>
      </c>
    </row>
    <row r="751">
      <c r="A751" s="66" t="n">
        <v>750</v>
      </c>
      <c r="B751" s="66" t="inlineStr">
        <is>
          <t>5. Trees &amp; Graphs - Stretch</t>
        </is>
      </c>
      <c r="C751" s="66" t="inlineStr">
        <is>
          <t>19. Tries</t>
        </is>
      </c>
      <c r="D751" s="66" t="inlineStr">
        <is>
          <t>Bit trie</t>
        </is>
      </c>
      <c r="E751" s="66" t="inlineStr">
        <is>
          <t>Count Pairs With XOR in a Range</t>
        </is>
      </c>
      <c r="F751" s="66" t="inlineStr">
        <is>
          <t>Hard</t>
        </is>
      </c>
      <c r="G751" s="66" t="inlineStr">
        <is>
          <t>Stretch</t>
        </is>
      </c>
      <c r="H751" s="66" t="inlineStr">
        <is>
          <t>LeetCode</t>
        </is>
      </c>
      <c r="I751" s="66" t="inlineStr">
        <is>
          <t>https://leetcode.com/problems/count-pairs-with-xor-in-a-range/</t>
        </is>
      </c>
      <c r="J751" s="66" t="inlineStr">
        <is>
          <t>Not Started</t>
        </is>
      </c>
      <c r="K751" s="66" t="n"/>
      <c r="L751" s="66" t="n"/>
      <c r="M751" s="72" t="n"/>
      <c r="N751" s="72">
        <f>IF($M751="","",$M751+IF($K751="",Dashboard!$M$9,INDEX(Dashboard!$M$5:$M$9,$K751)))</f>
        <v/>
      </c>
      <c r="O751" s="66">
        <f>IF(OR($J751="Attempted",$J751="Revisit"),"DUE",IF($N751="","",IF($N751&lt;=TODAY(),"DUE","")))</f>
        <v/>
      </c>
      <c r="P751" s="66" t="inlineStr">
        <is>
          <t>v3 addition</t>
        </is>
      </c>
    </row>
    <row r="752">
      <c r="A752" s="66" t="n">
        <v>751</v>
      </c>
      <c r="B752" s="66" t="inlineStr">
        <is>
          <t>5. Trees &amp; Graphs - Stretch</t>
        </is>
      </c>
      <c r="C752" s="66" t="inlineStr">
        <is>
          <t>19. Tries</t>
        </is>
      </c>
      <c r="D752" s="66" t="inlineStr">
        <is>
          <t>Bit trie</t>
        </is>
      </c>
      <c r="E752" s="66" t="inlineStr">
        <is>
          <t>Maximum Genetic Difference Query</t>
        </is>
      </c>
      <c r="F752" s="66" t="inlineStr">
        <is>
          <t>Hard</t>
        </is>
      </c>
      <c r="G752" s="66" t="inlineStr">
        <is>
          <t>Stretch</t>
        </is>
      </c>
      <c r="H752" s="66" t="inlineStr">
        <is>
          <t>LeetCode</t>
        </is>
      </c>
      <c r="I752" s="66" t="inlineStr">
        <is>
          <t>https://leetcode.com/problems/maximum-genetic-difference-query/</t>
        </is>
      </c>
      <c r="J752" s="66" t="inlineStr">
        <is>
          <t>Not Started</t>
        </is>
      </c>
      <c r="K752" s="66" t="n"/>
      <c r="L752" s="66" t="n"/>
      <c r="M752" s="72" t="n"/>
      <c r="N752" s="72">
        <f>IF($M752="","",$M752+IF($K752="",Dashboard!$M$9,INDEX(Dashboard!$M$5:$M$9,$K752)))</f>
        <v/>
      </c>
      <c r="O752" s="66">
        <f>IF(OR($J752="Attempted",$J752="Revisit"),"DUE",IF($N752="","",IF($N752&lt;=TODAY(),"DUE","")))</f>
        <v/>
      </c>
      <c r="P752" s="66" t="n"/>
    </row>
    <row r="753">
      <c r="A753" s="66" t="n">
        <v>752</v>
      </c>
      <c r="B753" s="66" t="inlineStr">
        <is>
          <t>5. Trees &amp; Graphs - Stretch</t>
        </is>
      </c>
      <c r="C753" s="66" t="inlineStr">
        <is>
          <t>20. Graphs</t>
        </is>
      </c>
      <c r="D753" s="66" t="inlineStr">
        <is>
          <t>Coloring</t>
        </is>
      </c>
      <c r="E753" s="66" t="inlineStr">
        <is>
          <t>Chromatic Number of a Graph</t>
        </is>
      </c>
      <c r="F753" s="66" t="inlineStr">
        <is>
          <t>Hard</t>
        </is>
      </c>
      <c r="G753" s="66" t="inlineStr">
        <is>
          <t>Stretch</t>
        </is>
      </c>
      <c r="H753" s="66" t="inlineStr">
        <is>
          <t>GeeksforGeeks</t>
        </is>
      </c>
      <c r="I753" s="66" t="inlineStr">
        <is>
          <t>https://www.geeksforgeeks.org/search/?q=Chromatic+Number+of+a+Graph</t>
        </is>
      </c>
      <c r="J753" s="66" t="inlineStr">
        <is>
          <t>Not Started</t>
        </is>
      </c>
      <c r="K753" s="66" t="n"/>
      <c r="L753" s="66" t="n"/>
      <c r="M753" s="72" t="n"/>
      <c r="N753" s="72">
        <f>IF($M753="","",$M753+IF($K753="",Dashboard!$M$9,INDEX(Dashboard!$M$5:$M$9,$K753)))</f>
        <v/>
      </c>
      <c r="O753" s="66">
        <f>IF(OR($J753="Attempted",$J753="Revisit"),"DUE",IF($N753="","",IF($N753&lt;=TODAY(),"DUE","")))</f>
        <v/>
      </c>
      <c r="P753" s="66" t="n"/>
    </row>
    <row r="754">
      <c r="A754" s="66" t="n">
        <v>753</v>
      </c>
      <c r="B754" s="66" t="inlineStr">
        <is>
          <t>5. Trees &amp; Graphs - Stretch</t>
        </is>
      </c>
      <c r="C754" s="66" t="inlineStr">
        <is>
          <t>20. Graphs</t>
        </is>
      </c>
      <c r="D754" s="66" t="inlineStr">
        <is>
          <t>Coloring</t>
        </is>
      </c>
      <c r="E754" s="66" t="inlineStr">
        <is>
          <t>Divide Nodes Into the Maximum Number of Groups</t>
        </is>
      </c>
      <c r="F754" s="66" t="inlineStr">
        <is>
          <t>Hard</t>
        </is>
      </c>
      <c r="G754" s="66" t="inlineStr">
        <is>
          <t>Stretch</t>
        </is>
      </c>
      <c r="H754" s="66" t="inlineStr">
        <is>
          <t>LeetCode</t>
        </is>
      </c>
      <c r="I754" s="66" t="inlineStr">
        <is>
          <t>https://leetcode.com/problems/divide-nodes-into-the-maximum-number-of-groups/</t>
        </is>
      </c>
      <c r="J754" s="66" t="inlineStr">
        <is>
          <t>Not Started</t>
        </is>
      </c>
      <c r="K754" s="66" t="n"/>
      <c r="L754" s="66" t="n"/>
      <c r="M754" s="72" t="n"/>
      <c r="N754" s="72">
        <f>IF($M754="","",$M754+IF($K754="",Dashboard!$M$9,INDEX(Dashboard!$M$5:$M$9,$K754)))</f>
        <v/>
      </c>
      <c r="O754" s="66">
        <f>IF(OR($J754="Attempted",$J754="Revisit"),"DUE",IF($N754="","",IF($N754&lt;=TODAY(),"DUE","")))</f>
        <v/>
      </c>
      <c r="P754" s="66" t="n"/>
    </row>
    <row r="755">
      <c r="A755" s="66" t="n">
        <v>754</v>
      </c>
      <c r="B755" s="66" t="inlineStr">
        <is>
          <t>5. Trees &amp; Graphs - Stretch</t>
        </is>
      </c>
      <c r="C755" s="66" t="inlineStr">
        <is>
          <t>20. Graphs</t>
        </is>
      </c>
      <c r="D755" s="66" t="inlineStr">
        <is>
          <t>Cycle detection</t>
        </is>
      </c>
      <c r="E755" s="66" t="inlineStr">
        <is>
          <t>Longest Cycle in a Graph</t>
        </is>
      </c>
      <c r="F755" s="66" t="inlineStr">
        <is>
          <t>Hard</t>
        </is>
      </c>
      <c r="G755" s="66" t="inlineStr">
        <is>
          <t>Stretch</t>
        </is>
      </c>
      <c r="H755" s="66" t="inlineStr">
        <is>
          <t>LeetCode</t>
        </is>
      </c>
      <c r="I755" s="66" t="inlineStr">
        <is>
          <t>https://leetcode.com/problems/longest-cycle-in-a-graph/</t>
        </is>
      </c>
      <c r="J755" s="66" t="inlineStr">
        <is>
          <t>Not Started</t>
        </is>
      </c>
      <c r="K755" s="66" t="n"/>
      <c r="L755" s="66" t="n"/>
      <c r="M755" s="72" t="n"/>
      <c r="N755" s="72">
        <f>IF($M755="","",$M755+IF($K755="",Dashboard!$M$9,INDEX(Dashboard!$M$5:$M$9,$K755)))</f>
        <v/>
      </c>
      <c r="O755" s="66">
        <f>IF(OR($J755="Attempted",$J755="Revisit"),"DUE",IF($N755="","",IF($N755&lt;=TODAY(),"DUE","")))</f>
        <v/>
      </c>
      <c r="P755" s="66" t="inlineStr">
        <is>
          <t>v3 addition</t>
        </is>
      </c>
    </row>
    <row r="756">
      <c r="A756" s="66" t="n">
        <v>755</v>
      </c>
      <c r="B756" s="66" t="inlineStr">
        <is>
          <t>5. Trees &amp; Graphs - Stretch</t>
        </is>
      </c>
      <c r="C756" s="66" t="inlineStr">
        <is>
          <t>20. Graphs</t>
        </is>
      </c>
      <c r="D756" s="66" t="inlineStr">
        <is>
          <t>Cycle detection</t>
        </is>
      </c>
      <c r="E756" s="66" t="inlineStr">
        <is>
          <t>Shortest Cycle in a Graph</t>
        </is>
      </c>
      <c r="F756" s="66" t="inlineStr">
        <is>
          <t>Hard</t>
        </is>
      </c>
      <c r="G756" s="66" t="inlineStr">
        <is>
          <t>Stretch</t>
        </is>
      </c>
      <c r="H756" s="66" t="inlineStr">
        <is>
          <t>LeetCode</t>
        </is>
      </c>
      <c r="I756" s="66" t="inlineStr">
        <is>
          <t>https://leetcode.com/problems/shortest-cycle-in-a-graph/</t>
        </is>
      </c>
      <c r="J756" s="66" t="inlineStr">
        <is>
          <t>Not Started</t>
        </is>
      </c>
      <c r="K756" s="66" t="n"/>
      <c r="L756" s="66" t="n"/>
      <c r="M756" s="72" t="n"/>
      <c r="N756" s="72">
        <f>IF($M756="","",$M756+IF($K756="",Dashboard!$M$9,INDEX(Dashboard!$M$5:$M$9,$K756)))</f>
        <v/>
      </c>
      <c r="O756" s="66">
        <f>IF(OR($J756="Attempted",$J756="Revisit"),"DUE",IF($N756="","",IF($N756&lt;=TODAY(),"DUE","")))</f>
        <v/>
      </c>
      <c r="P756" s="66" t="n"/>
    </row>
    <row r="757">
      <c r="A757" s="66" t="n">
        <v>756</v>
      </c>
      <c r="B757" s="66" t="inlineStr">
        <is>
          <t>5. Trees &amp; Graphs - Stretch</t>
        </is>
      </c>
      <c r="C757" s="66" t="inlineStr">
        <is>
          <t>20. Graphs</t>
        </is>
      </c>
      <c r="D757" s="66" t="inlineStr">
        <is>
          <t>BFS shortest path</t>
        </is>
      </c>
      <c r="E757" s="66" t="inlineStr">
        <is>
          <t>Word Ladder</t>
        </is>
      </c>
      <c r="F757" s="66" t="inlineStr">
        <is>
          <t>Hard</t>
        </is>
      </c>
      <c r="G757" s="66" t="inlineStr">
        <is>
          <t>Stretch</t>
        </is>
      </c>
      <c r="H757" s="66" t="inlineStr">
        <is>
          <t>LeetCode</t>
        </is>
      </c>
      <c r="I757" s="66" t="inlineStr">
        <is>
          <t>https://leetcode.com/problems/word-ladder/</t>
        </is>
      </c>
      <c r="J757" s="66" t="inlineStr">
        <is>
          <t>Not Started</t>
        </is>
      </c>
      <c r="K757" s="66" t="n"/>
      <c r="L757" s="66" t="n"/>
      <c r="M757" s="72" t="n"/>
      <c r="N757" s="72">
        <f>IF($M757="","",$M757+IF($K757="",Dashboard!$M$9,INDEX(Dashboard!$M$5:$M$9,$K757)))</f>
        <v/>
      </c>
      <c r="O757" s="66">
        <f>IF(OR($J757="Attempted",$J757="Revisit"),"DUE",IF($N757="","",IF($N757&lt;=TODAY(),"DUE","")))</f>
        <v/>
      </c>
      <c r="P757" s="66" t="n"/>
    </row>
    <row r="758">
      <c r="A758" s="66" t="n">
        <v>757</v>
      </c>
      <c r="B758" s="66" t="inlineStr">
        <is>
          <t>5. Trees &amp; Graphs - Stretch</t>
        </is>
      </c>
      <c r="C758" s="66" t="inlineStr">
        <is>
          <t>20. Graphs</t>
        </is>
      </c>
      <c r="D758" s="66" t="inlineStr">
        <is>
          <t>BFS shortest path</t>
        </is>
      </c>
      <c r="E758" s="66" t="inlineStr">
        <is>
          <t>Word Ladder II</t>
        </is>
      </c>
      <c r="F758" s="66" t="inlineStr">
        <is>
          <t>Hard</t>
        </is>
      </c>
      <c r="G758" s="66" t="inlineStr">
        <is>
          <t>Stretch</t>
        </is>
      </c>
      <c r="H758" s="66" t="inlineStr">
        <is>
          <t>LeetCode</t>
        </is>
      </c>
      <c r="I758" s="66" t="inlineStr">
        <is>
          <t>https://leetcode.com/problems/word-ladder-ii/</t>
        </is>
      </c>
      <c r="J758" s="66" t="inlineStr">
        <is>
          <t>Not Started</t>
        </is>
      </c>
      <c r="K758" s="66" t="n"/>
      <c r="L758" s="66" t="n"/>
      <c r="M758" s="72" t="n"/>
      <c r="N758" s="72">
        <f>IF($M758="","",$M758+IF($K758="",Dashboard!$M$9,INDEX(Dashboard!$M$5:$M$9,$K758)))</f>
        <v/>
      </c>
      <c r="O758" s="66">
        <f>IF(OR($J758="Attempted",$J758="Revisit"),"DUE",IF($N758="","",IF($N758&lt;=TODAY(),"DUE","")))</f>
        <v/>
      </c>
      <c r="P758" s="66" t="n"/>
    </row>
    <row r="759">
      <c r="A759" s="66" t="n">
        <v>758</v>
      </c>
      <c r="B759" s="66" t="inlineStr">
        <is>
          <t>5. Trees &amp; Graphs - Stretch</t>
        </is>
      </c>
      <c r="C759" s="66" t="inlineStr">
        <is>
          <t>20. Graphs</t>
        </is>
      </c>
      <c r="D759" s="66" t="inlineStr">
        <is>
          <t>Topological sort</t>
        </is>
      </c>
      <c r="E759" s="66" t="inlineStr">
        <is>
          <t>Alien Dictionary</t>
        </is>
      </c>
      <c r="F759" s="66" t="inlineStr">
        <is>
          <t>Hard</t>
        </is>
      </c>
      <c r="G759" s="66" t="inlineStr">
        <is>
          <t>Stretch</t>
        </is>
      </c>
      <c r="H759" s="66" t="inlineStr">
        <is>
          <t>GeeksforGeeks</t>
        </is>
      </c>
      <c r="I759" s="66" t="inlineStr">
        <is>
          <t>https://www.geeksforgeeks.org/problems/alien-dictionary/1</t>
        </is>
      </c>
      <c r="J759" s="66" t="inlineStr">
        <is>
          <t>Not Started</t>
        </is>
      </c>
      <c r="K759" s="66" t="n"/>
      <c r="L759" s="66" t="n"/>
      <c r="M759" s="72" t="n"/>
      <c r="N759" s="72">
        <f>IF($M759="","",$M759+IF($K759="",Dashboard!$M$9,INDEX(Dashboard!$M$5:$M$9,$K759)))</f>
        <v/>
      </c>
      <c r="O759" s="66">
        <f>IF(OR($J759="Attempted",$J759="Revisit"),"DUE",IF($N759="","",IF($N759&lt;=TODAY(),"DUE","")))</f>
        <v/>
      </c>
      <c r="P759" s="66" t="n"/>
    </row>
    <row r="760">
      <c r="A760" s="66" t="n">
        <v>759</v>
      </c>
      <c r="B760" s="66" t="inlineStr">
        <is>
          <t>5. Trees &amp; Graphs - Stretch</t>
        </is>
      </c>
      <c r="C760" s="66" t="inlineStr">
        <is>
          <t>20. Graphs</t>
        </is>
      </c>
      <c r="D760" s="66" t="inlineStr">
        <is>
          <t>DSU</t>
        </is>
      </c>
      <c r="E760" s="66" t="inlineStr">
        <is>
          <t>Making A Large Island</t>
        </is>
      </c>
      <c r="F760" s="66" t="inlineStr">
        <is>
          <t>Hard</t>
        </is>
      </c>
      <c r="G760" s="66" t="inlineStr">
        <is>
          <t>Stretch</t>
        </is>
      </c>
      <c r="H760" s="66" t="inlineStr">
        <is>
          <t>LeetCode</t>
        </is>
      </c>
      <c r="I760" s="66" t="inlineStr">
        <is>
          <t>https://leetcode.com/problems/making-a-large-island/</t>
        </is>
      </c>
      <c r="J760" s="66" t="inlineStr">
        <is>
          <t>Not Started</t>
        </is>
      </c>
      <c r="K760" s="66" t="n"/>
      <c r="L760" s="66" t="n"/>
      <c r="M760" s="72" t="n"/>
      <c r="N760" s="72">
        <f>IF($M760="","",$M760+IF($K760="",Dashboard!$M$9,INDEX(Dashboard!$M$5:$M$9,$K760)))</f>
        <v/>
      </c>
      <c r="O760" s="66">
        <f>IF(OR($J760="Attempted",$J760="Revisit"),"DUE",IF($N760="","",IF($N760&lt;=TODAY(),"DUE","")))</f>
        <v/>
      </c>
      <c r="P760" s="66" t="inlineStr">
        <is>
          <t>v3 addition</t>
        </is>
      </c>
    </row>
    <row r="761">
      <c r="A761" s="66" t="n">
        <v>760</v>
      </c>
      <c r="B761" s="66" t="inlineStr">
        <is>
          <t>5. Trees &amp; Graphs - Stretch</t>
        </is>
      </c>
      <c r="C761" s="66" t="inlineStr">
        <is>
          <t>20. Graphs</t>
        </is>
      </c>
      <c r="D761" s="66" t="inlineStr">
        <is>
          <t>DSU</t>
        </is>
      </c>
      <c r="E761" s="66" t="inlineStr">
        <is>
          <t>Number of Islands II</t>
        </is>
      </c>
      <c r="F761" s="66" t="inlineStr">
        <is>
          <t>Hard</t>
        </is>
      </c>
      <c r="G761" s="66" t="inlineStr">
        <is>
          <t>Stretch</t>
        </is>
      </c>
      <c r="H761" s="66" t="inlineStr">
        <is>
          <t>GeeksforGeeks</t>
        </is>
      </c>
      <c r="I761" s="66" t="inlineStr">
        <is>
          <t>https://www.geeksforgeeks.org/problems/number-of-islands/1</t>
        </is>
      </c>
      <c r="J761" s="66" t="inlineStr">
        <is>
          <t>Not Started</t>
        </is>
      </c>
      <c r="K761" s="66" t="n"/>
      <c r="L761" s="66" t="n"/>
      <c r="M761" s="72" t="n"/>
      <c r="N761" s="72">
        <f>IF($M761="","",$M761+IF($K761="",Dashboard!$M$9,INDEX(Dashboard!$M$5:$M$9,$K761)))</f>
        <v/>
      </c>
      <c r="O761" s="66">
        <f>IF(OR($J761="Attempted",$J761="Revisit"),"DUE",IF($N761="","",IF($N761&lt;=TODAY(),"DUE","")))</f>
        <v/>
      </c>
      <c r="P761" s="66" t="n"/>
    </row>
    <row r="762">
      <c r="A762" s="66" t="n">
        <v>761</v>
      </c>
      <c r="B762" s="66" t="inlineStr">
        <is>
          <t>5. Trees &amp; Graphs - Stretch</t>
        </is>
      </c>
      <c r="C762" s="66" t="inlineStr">
        <is>
          <t>20. Graphs</t>
        </is>
      </c>
      <c r="D762" s="66" t="inlineStr">
        <is>
          <t>Dijkstra</t>
        </is>
      </c>
      <c r="E762" s="66" t="inlineStr">
        <is>
          <t>Swim in Rising Water</t>
        </is>
      </c>
      <c r="F762" s="66" t="inlineStr">
        <is>
          <t>Hard</t>
        </is>
      </c>
      <c r="G762" s="66" t="inlineStr">
        <is>
          <t>Stretch</t>
        </is>
      </c>
      <c r="H762" s="66" t="inlineStr">
        <is>
          <t>LeetCode</t>
        </is>
      </c>
      <c r="I762" s="66" t="inlineStr">
        <is>
          <t>https://leetcode.com/problems/swim-in-rising-water/</t>
        </is>
      </c>
      <c r="J762" s="66" t="inlineStr">
        <is>
          <t>Not Started</t>
        </is>
      </c>
      <c r="K762" s="66" t="n"/>
      <c r="L762" s="66" t="n"/>
      <c r="M762" s="72" t="n"/>
      <c r="N762" s="72">
        <f>IF($M762="","",$M762+IF($K762="",Dashboard!$M$9,INDEX(Dashboard!$M$5:$M$9,$K762)))</f>
        <v/>
      </c>
      <c r="O762" s="66">
        <f>IF(OR($J762="Attempted",$J762="Revisit"),"DUE",IF($N762="","",IF($N762&lt;=TODAY(),"DUE","")))</f>
        <v/>
      </c>
      <c r="P762" s="66" t="inlineStr">
        <is>
          <t>v3 addition</t>
        </is>
      </c>
    </row>
    <row r="763">
      <c r="A763" s="66" t="n">
        <v>762</v>
      </c>
      <c r="B763" s="66" t="inlineStr">
        <is>
          <t>5. Trees &amp; Graphs - Stretch</t>
        </is>
      </c>
      <c r="C763" s="66" t="inlineStr">
        <is>
          <t>20. Graphs</t>
        </is>
      </c>
      <c r="D763" s="66" t="inlineStr">
        <is>
          <t>Bellman-Ford</t>
        </is>
      </c>
      <c r="E763" s="66" t="inlineStr">
        <is>
          <t>Minimum Cost to Reach Destination in Time</t>
        </is>
      </c>
      <c r="F763" s="66" t="inlineStr">
        <is>
          <t>Hard</t>
        </is>
      </c>
      <c r="G763" s="66" t="inlineStr">
        <is>
          <t>Stretch</t>
        </is>
      </c>
      <c r="H763" s="66" t="inlineStr">
        <is>
          <t>LeetCode</t>
        </is>
      </c>
      <c r="I763" s="66" t="inlineStr">
        <is>
          <t>https://leetcode.com/problems/minimum-cost-to-reach-destination-in-time/</t>
        </is>
      </c>
      <c r="J763" s="66" t="inlineStr">
        <is>
          <t>Not Started</t>
        </is>
      </c>
      <c r="K763" s="66" t="n"/>
      <c r="L763" s="66" t="n"/>
      <c r="M763" s="72" t="n"/>
      <c r="N763" s="72">
        <f>IF($M763="","",$M763+IF($K763="",Dashboard!$M$9,INDEX(Dashboard!$M$5:$M$9,$K763)))</f>
        <v/>
      </c>
      <c r="O763" s="66">
        <f>IF(OR($J763="Attempted",$J763="Revisit"),"DUE",IF($N763="","",IF($N763&lt;=TODAY(),"DUE","")))</f>
        <v/>
      </c>
      <c r="P763" s="66" t="n"/>
    </row>
    <row r="764">
      <c r="A764" s="66" t="n">
        <v>763</v>
      </c>
      <c r="B764" s="66" t="inlineStr">
        <is>
          <t>5. Trees &amp; Graphs - Stretch</t>
        </is>
      </c>
      <c r="C764" s="66" t="inlineStr">
        <is>
          <t>20. Graphs</t>
        </is>
      </c>
      <c r="D764" s="66" t="inlineStr">
        <is>
          <t>MST</t>
        </is>
      </c>
      <c r="E764" s="66" t="inlineStr">
        <is>
          <t>Optimize Water Distribution in a Village</t>
        </is>
      </c>
      <c r="F764" s="66" t="inlineStr">
        <is>
          <t>Hard</t>
        </is>
      </c>
      <c r="G764" s="66" t="inlineStr">
        <is>
          <t>Stretch</t>
        </is>
      </c>
      <c r="H764" s="66" t="inlineStr">
        <is>
          <t>GeeksforGeeks</t>
        </is>
      </c>
      <c r="I764" s="66" t="inlineStr">
        <is>
          <t>https://www.geeksforgeeks.org/search/?q=Optimize+Water+Distribution+in+a+Village</t>
        </is>
      </c>
      <c r="J764" s="66" t="inlineStr">
        <is>
          <t>Not Started</t>
        </is>
      </c>
      <c r="K764" s="66" t="n"/>
      <c r="L764" s="66" t="n"/>
      <c r="M764" s="72" t="n"/>
      <c r="N764" s="72">
        <f>IF($M764="","",$M764+IF($K764="",Dashboard!$M$9,INDEX(Dashboard!$M$5:$M$9,$K764)))</f>
        <v/>
      </c>
      <c r="O764" s="66">
        <f>IF(OR($J764="Attempted",$J764="Revisit"),"DUE",IF($N764="","",IF($N764&lt;=TODAY(),"DUE","")))</f>
        <v/>
      </c>
      <c r="P764" s="66" t="n"/>
    </row>
    <row r="765">
      <c r="A765" s="66" t="n">
        <v>764</v>
      </c>
      <c r="B765" s="66" t="inlineStr">
        <is>
          <t>5. Trees &amp; Graphs - Stretch</t>
        </is>
      </c>
      <c r="C765" s="66" t="inlineStr">
        <is>
          <t>20. Graphs</t>
        </is>
      </c>
      <c r="D765" s="66" t="inlineStr">
        <is>
          <t>MST</t>
        </is>
      </c>
      <c r="E765" s="66" t="inlineStr">
        <is>
          <t>Find Critical and Pseudo-Critical Edges in Minimum Spanning Tree</t>
        </is>
      </c>
      <c r="F765" s="66" t="inlineStr">
        <is>
          <t>Hard</t>
        </is>
      </c>
      <c r="G765" s="66" t="inlineStr">
        <is>
          <t>Stretch</t>
        </is>
      </c>
      <c r="H765" s="66" t="inlineStr">
        <is>
          <t>LeetCode</t>
        </is>
      </c>
      <c r="I765" s="66" t="inlineStr">
        <is>
          <t>https://leetcode.com/problems/find-critical-and-pseudo-critical-edges-in-minimum-spanning-tree/</t>
        </is>
      </c>
      <c r="J765" s="66" t="inlineStr">
        <is>
          <t>Not Started</t>
        </is>
      </c>
      <c r="K765" s="66" t="n"/>
      <c r="L765" s="66" t="n"/>
      <c r="M765" s="72" t="n"/>
      <c r="N765" s="72">
        <f>IF($M765="","",$M765+IF($K765="",Dashboard!$M$9,INDEX(Dashboard!$M$5:$M$9,$K765)))</f>
        <v/>
      </c>
      <c r="O765" s="66">
        <f>IF(OR($J765="Attempted",$J765="Revisit"),"DUE",IF($N765="","",IF($N765&lt;=TODAY(),"DUE","")))</f>
        <v/>
      </c>
      <c r="P765" s="66" t="n"/>
    </row>
    <row r="766">
      <c r="A766" s="66" t="n">
        <v>765</v>
      </c>
      <c r="B766" s="66" t="inlineStr">
        <is>
          <t>5. Trees &amp; Graphs - Stretch</t>
        </is>
      </c>
      <c r="C766" s="66" t="inlineStr">
        <is>
          <t>20. Graphs</t>
        </is>
      </c>
      <c r="D766" s="66" t="inlineStr">
        <is>
          <t>Bridges &amp; APs</t>
        </is>
      </c>
      <c r="E766" s="66" t="inlineStr">
        <is>
          <t>Minimum Number of Days to Disconnect Island</t>
        </is>
      </c>
      <c r="F766" s="66" t="inlineStr">
        <is>
          <t>Hard</t>
        </is>
      </c>
      <c r="G766" s="66" t="inlineStr">
        <is>
          <t>Stretch</t>
        </is>
      </c>
      <c r="H766" s="66" t="inlineStr">
        <is>
          <t>LeetCode</t>
        </is>
      </c>
      <c r="I766" s="66" t="inlineStr">
        <is>
          <t>https://leetcode.com/problems/minimum-number-of-days-to-disconnect-island/</t>
        </is>
      </c>
      <c r="J766" s="66" t="inlineStr">
        <is>
          <t>Not Started</t>
        </is>
      </c>
      <c r="K766" s="66" t="n"/>
      <c r="L766" s="66" t="n"/>
      <c r="M766" s="72" t="n"/>
      <c r="N766" s="72">
        <f>IF($M766="","",$M766+IF($K766="",Dashboard!$M$9,INDEX(Dashboard!$M$5:$M$9,$K766)))</f>
        <v/>
      </c>
      <c r="O766" s="66">
        <f>IF(OR($J766="Attempted",$J766="Revisit"),"DUE",IF($N766="","",IF($N766&lt;=TODAY(),"DUE","")))</f>
        <v/>
      </c>
      <c r="P766" s="66" t="n"/>
    </row>
    <row r="767">
      <c r="A767" s="66" t="n">
        <v>766</v>
      </c>
      <c r="B767" s="66" t="inlineStr">
        <is>
          <t>5. Trees &amp; Graphs - Stretch</t>
        </is>
      </c>
      <c r="C767" s="66" t="inlineStr">
        <is>
          <t>20. Graphs</t>
        </is>
      </c>
      <c r="D767" s="66" t="inlineStr">
        <is>
          <t>Bridges &amp; APs</t>
        </is>
      </c>
      <c r="E767" s="66" t="inlineStr">
        <is>
          <t>Remove Max Number of Edges to Keep Graph Fully Traversable</t>
        </is>
      </c>
      <c r="F767" s="66" t="inlineStr">
        <is>
          <t>Hard</t>
        </is>
      </c>
      <c r="G767" s="66" t="inlineStr">
        <is>
          <t>Stretch</t>
        </is>
      </c>
      <c r="H767" s="66" t="inlineStr">
        <is>
          <t>LeetCode</t>
        </is>
      </c>
      <c r="I767" s="66" t="inlineStr">
        <is>
          <t>https://leetcode.com/problems/remove-max-number-of-edges-to-keep-graph-fully-traversable/</t>
        </is>
      </c>
      <c r="J767" s="66" t="inlineStr">
        <is>
          <t>Not Started</t>
        </is>
      </c>
      <c r="K767" s="66" t="n"/>
      <c r="L767" s="66" t="n"/>
      <c r="M767" s="72" t="n"/>
      <c r="N767" s="72">
        <f>IF($M767="","",$M767+IF($K767="",Dashboard!$M$9,INDEX(Dashboard!$M$5:$M$9,$K767)))</f>
        <v/>
      </c>
      <c r="O767" s="66">
        <f>IF(OR($J767="Attempted",$J767="Revisit"),"DUE",IF($N767="","",IF($N767&lt;=TODAY(),"DUE","")))</f>
        <v/>
      </c>
      <c r="P767" s="66" t="n"/>
    </row>
    <row r="768">
      <c r="A768" s="66" t="n">
        <v>767</v>
      </c>
      <c r="B768" s="66" t="inlineStr">
        <is>
          <t>5. Trees &amp; Graphs - Stretch</t>
        </is>
      </c>
      <c r="C768" s="66" t="inlineStr">
        <is>
          <t>20. Graphs</t>
        </is>
      </c>
      <c r="D768" s="66" t="inlineStr">
        <is>
          <t>SCC</t>
        </is>
      </c>
      <c r="E768" s="66" t="inlineStr">
        <is>
          <t>Strongly Connected Components - Tarjan's Algorithm</t>
        </is>
      </c>
      <c r="F768" s="66" t="inlineStr">
        <is>
          <t>Hard</t>
        </is>
      </c>
      <c r="G768" s="66" t="inlineStr">
        <is>
          <t>Stretch</t>
        </is>
      </c>
      <c r="H768" s="66" t="inlineStr">
        <is>
          <t>GeeksforGeeks</t>
        </is>
      </c>
      <c r="I768" s="66" t="inlineStr">
        <is>
          <t>https://www.geeksforgeeks.org/search/?q=Strongly+Connected+Components</t>
        </is>
      </c>
      <c r="J768" s="66" t="inlineStr">
        <is>
          <t>Not Started</t>
        </is>
      </c>
      <c r="K768" s="66" t="n"/>
      <c r="L768" s="66" t="n"/>
      <c r="M768" s="72" t="n"/>
      <c r="N768" s="72">
        <f>IF($M768="","",$M768+IF($K768="",Dashboard!$M$9,INDEX(Dashboard!$M$5:$M$9,$K768)))</f>
        <v/>
      </c>
      <c r="O768" s="66">
        <f>IF(OR($J768="Attempted",$J768="Revisit"),"DUE",IF($N768="","",IF($N768&lt;=TODAY(),"DUE","")))</f>
        <v/>
      </c>
      <c r="P768" s="66" t="n"/>
    </row>
    <row r="769">
      <c r="A769" s="66" t="n">
        <v>768</v>
      </c>
      <c r="B769" s="66" t="inlineStr">
        <is>
          <t>5. Trees &amp; Graphs - Stretch</t>
        </is>
      </c>
      <c r="C769" s="66" t="inlineStr">
        <is>
          <t>20. Graphs</t>
        </is>
      </c>
      <c r="D769" s="66" t="inlineStr">
        <is>
          <t>SCC</t>
        </is>
      </c>
      <c r="E769" s="66" t="inlineStr">
        <is>
          <t>Redundant Connection II</t>
        </is>
      </c>
      <c r="F769" s="66" t="inlineStr">
        <is>
          <t>Hard</t>
        </is>
      </c>
      <c r="G769" s="66" t="inlineStr">
        <is>
          <t>Stretch</t>
        </is>
      </c>
      <c r="H769" s="66" t="inlineStr">
        <is>
          <t>LeetCode</t>
        </is>
      </c>
      <c r="I769" s="66" t="inlineStr">
        <is>
          <t>https://leetcode.com/problems/redundant-connection-ii/</t>
        </is>
      </c>
      <c r="J769" s="66" t="inlineStr">
        <is>
          <t>Not Started</t>
        </is>
      </c>
      <c r="K769" s="66" t="n"/>
      <c r="L769" s="66" t="n"/>
      <c r="M769" s="72" t="n"/>
      <c r="N769" s="72">
        <f>IF($M769="","",$M769+IF($K769="",Dashboard!$M$9,INDEX(Dashboard!$M$5:$M$9,$K769)))</f>
        <v/>
      </c>
      <c r="O769" s="66">
        <f>IF(OR($J769="Attempted",$J769="Revisit"),"DUE",IF($N769="","",IF($N769&lt;=TODAY(),"DUE","")))</f>
        <v/>
      </c>
      <c r="P769" s="66" t="n"/>
    </row>
    <row r="770">
      <c r="A770" s="66" t="n">
        <v>769</v>
      </c>
      <c r="B770" s="66" t="inlineStr">
        <is>
          <t>5. Trees &amp; Graphs - Stretch</t>
        </is>
      </c>
      <c r="C770" s="66" t="inlineStr">
        <is>
          <t>20. Graphs</t>
        </is>
      </c>
      <c r="D770" s="66" t="inlineStr">
        <is>
          <t>SCC</t>
        </is>
      </c>
      <c r="E770" s="66" t="inlineStr">
        <is>
          <t>Largest Color Value in a Directed Graph</t>
        </is>
      </c>
      <c r="F770" s="66" t="inlineStr">
        <is>
          <t>Hard</t>
        </is>
      </c>
      <c r="G770" s="66" t="inlineStr">
        <is>
          <t>Stretch</t>
        </is>
      </c>
      <c r="H770" s="66" t="inlineStr">
        <is>
          <t>LeetCode</t>
        </is>
      </c>
      <c r="I770" s="66" t="inlineStr">
        <is>
          <t>https://leetcode.com/problems/largest-color-value-in-a-directed-graph/</t>
        </is>
      </c>
      <c r="J770" s="66" t="inlineStr">
        <is>
          <t>Not Started</t>
        </is>
      </c>
      <c r="K770" s="66" t="n"/>
      <c r="L770" s="66" t="n"/>
      <c r="M770" s="72" t="n"/>
      <c r="N770" s="72">
        <f>IF($M770="","",$M770+IF($K770="",Dashboard!$M$9,INDEX(Dashboard!$M$5:$M$9,$K770)))</f>
        <v/>
      </c>
      <c r="O770" s="66">
        <f>IF(OR($J770="Attempted",$J770="Revisit"),"DUE",IF($N770="","",IF($N770&lt;=TODAY(),"DUE","")))</f>
        <v/>
      </c>
      <c r="P770" s="66" t="n"/>
    </row>
    <row r="771">
      <c r="A771" s="66" t="n">
        <v>770</v>
      </c>
      <c r="B771" s="66" t="inlineStr">
        <is>
          <t>5. Trees &amp; Graphs - Stretch</t>
        </is>
      </c>
      <c r="C771" s="66" t="inlineStr">
        <is>
          <t>20. Graphs</t>
        </is>
      </c>
      <c r="D771" s="66" t="inlineStr">
        <is>
          <t>Euler path</t>
        </is>
      </c>
      <c r="E771" s="66" t="inlineStr">
        <is>
          <t>Euler Circuit in an Undirected Graph</t>
        </is>
      </c>
      <c r="F771" s="66" t="inlineStr">
        <is>
          <t>Hard</t>
        </is>
      </c>
      <c r="G771" s="66" t="inlineStr">
        <is>
          <t>Stretch</t>
        </is>
      </c>
      <c r="H771" s="66" t="inlineStr">
        <is>
          <t>GeeksforGeeks</t>
        </is>
      </c>
      <c r="I771" s="66" t="inlineStr">
        <is>
          <t>https://www.geeksforgeeks.org/search/?q=Euler+Circuit+in+an+Undirected+Graph</t>
        </is>
      </c>
      <c r="J771" s="66" t="inlineStr">
        <is>
          <t>Not Started</t>
        </is>
      </c>
      <c r="K771" s="66" t="n"/>
      <c r="L771" s="66" t="n"/>
      <c r="M771" s="72" t="n"/>
      <c r="N771" s="72">
        <f>IF($M771="","",$M771+IF($K771="",Dashboard!$M$9,INDEX(Dashboard!$M$5:$M$9,$K771)))</f>
        <v/>
      </c>
      <c r="O771" s="66">
        <f>IF(OR($J771="Attempted",$J771="Revisit"),"DUE",IF($N771="","",IF($N771&lt;=TODAY(),"DUE","")))</f>
        <v/>
      </c>
      <c r="P771" s="66" t="n"/>
    </row>
    <row r="772">
      <c r="A772" s="66" t="n">
        <v>771</v>
      </c>
      <c r="B772" s="66" t="inlineStr">
        <is>
          <t>5. Trees &amp; Graphs - Stretch</t>
        </is>
      </c>
      <c r="C772" s="66" t="inlineStr">
        <is>
          <t>20. Graphs</t>
        </is>
      </c>
      <c r="D772" s="66" t="inlineStr">
        <is>
          <t>Euler path</t>
        </is>
      </c>
      <c r="E772" s="66" t="inlineStr">
        <is>
          <t>Valid Arrangement of Pairs</t>
        </is>
      </c>
      <c r="F772" s="66" t="inlineStr">
        <is>
          <t>Hard</t>
        </is>
      </c>
      <c r="G772" s="66" t="inlineStr">
        <is>
          <t>Stretch</t>
        </is>
      </c>
      <c r="H772" s="66" t="inlineStr">
        <is>
          <t>LeetCode</t>
        </is>
      </c>
      <c r="I772" s="66" t="inlineStr">
        <is>
          <t>https://leetcode.com/problems/valid-arrangement-of-pairs/</t>
        </is>
      </c>
      <c r="J772" s="66" t="inlineStr">
        <is>
          <t>Not Started</t>
        </is>
      </c>
      <c r="K772" s="66" t="n"/>
      <c r="L772" s="66" t="n"/>
      <c r="M772" s="72" t="n"/>
      <c r="N772" s="72">
        <f>IF($M772="","",$M772+IF($K772="",Dashboard!$M$9,INDEX(Dashboard!$M$5:$M$9,$K772)))</f>
        <v/>
      </c>
      <c r="O772" s="66">
        <f>IF(OR($J772="Attempted",$J772="Revisit"),"DUE",IF($N772="","",IF($N772&lt;=TODAY(),"DUE","")))</f>
        <v/>
      </c>
      <c r="P772" s="66" t="n"/>
    </row>
    <row r="773">
      <c r="A773" s="66" t="n">
        <v>772</v>
      </c>
      <c r="B773" s="66" t="inlineStr">
        <is>
          <t>5. Trees &amp; Graphs - Stretch</t>
        </is>
      </c>
      <c r="C773" s="66" t="inlineStr">
        <is>
          <t>20. Graphs</t>
        </is>
      </c>
      <c r="D773" s="66" t="inlineStr">
        <is>
          <t>Euler path</t>
        </is>
      </c>
      <c r="E773" s="66" t="inlineStr">
        <is>
          <t>Cracking the Safe</t>
        </is>
      </c>
      <c r="F773" s="66" t="inlineStr">
        <is>
          <t>Hard</t>
        </is>
      </c>
      <c r="G773" s="66" t="inlineStr">
        <is>
          <t>Stretch</t>
        </is>
      </c>
      <c r="H773" s="66" t="inlineStr">
        <is>
          <t>LeetCode</t>
        </is>
      </c>
      <c r="I773" s="66" t="inlineStr">
        <is>
          <t>https://leetcode.com/problems/cracking-the-safe/</t>
        </is>
      </c>
      <c r="J773" s="66" t="inlineStr">
        <is>
          <t>Not Started</t>
        </is>
      </c>
      <c r="K773" s="66" t="n"/>
      <c r="L773" s="66" t="n"/>
      <c r="M773" s="72" t="n"/>
      <c r="N773" s="72">
        <f>IF($M773="","",$M773+IF($K773="",Dashboard!$M$9,INDEX(Dashboard!$M$5:$M$9,$K773)))</f>
        <v/>
      </c>
      <c r="O773" s="66">
        <f>IF(OR($J773="Attempted",$J773="Revisit"),"DUE",IF($N773="","",IF($N773&lt;=TODAY(),"DUE","")))</f>
        <v/>
      </c>
      <c r="P773" s="66" t="n"/>
    </row>
    <row r="774">
      <c r="A774" s="66" t="n">
        <v>773</v>
      </c>
      <c r="B774" s="66" t="inlineStr">
        <is>
          <t>5. Trees &amp; Graphs - Stretch</t>
        </is>
      </c>
      <c r="C774" s="66" t="inlineStr">
        <is>
          <t>20. Graphs</t>
        </is>
      </c>
      <c r="D774" s="66" t="inlineStr">
        <is>
          <t>0-1 BFS</t>
        </is>
      </c>
      <c r="E774" s="66" t="inlineStr">
        <is>
          <t>Minimum Cost to Make at Least One Valid Path in a Grid</t>
        </is>
      </c>
      <c r="F774" s="66" t="inlineStr">
        <is>
          <t>Hard</t>
        </is>
      </c>
      <c r="G774" s="66" t="inlineStr">
        <is>
          <t>Stretch</t>
        </is>
      </c>
      <c r="H774" s="66" t="inlineStr">
        <is>
          <t>LeetCode</t>
        </is>
      </c>
      <c r="I774" s="66" t="inlineStr">
        <is>
          <t>https://leetcode.com/problems/minimum-cost-to-make-at-least-one-valid-path-in-a-grid/</t>
        </is>
      </c>
      <c r="J774" s="66" t="inlineStr">
        <is>
          <t>Not Started</t>
        </is>
      </c>
      <c r="K774" s="66" t="n"/>
      <c r="L774" s="66" t="n"/>
      <c r="M774" s="72" t="n"/>
      <c r="N774" s="72">
        <f>IF($M774="","",$M774+IF($K774="",Dashboard!$M$9,INDEX(Dashboard!$M$5:$M$9,$K774)))</f>
        <v/>
      </c>
      <c r="O774" s="66">
        <f>IF(OR($J774="Attempted",$J774="Revisit"),"DUE",IF($N774="","",IF($N774&lt;=TODAY(),"DUE","")))</f>
        <v/>
      </c>
      <c r="P774" s="66" t="inlineStr">
        <is>
          <t>v3 addition</t>
        </is>
      </c>
    </row>
    <row r="775">
      <c r="A775" s="66" t="n">
        <v>774</v>
      </c>
      <c r="B775" s="66" t="inlineStr">
        <is>
          <t>5. Trees &amp; Graphs - Stretch</t>
        </is>
      </c>
      <c r="C775" s="66" t="inlineStr">
        <is>
          <t>20. Graphs</t>
        </is>
      </c>
      <c r="D775" s="66" t="inlineStr">
        <is>
          <t>0-1 BFS</t>
        </is>
      </c>
      <c r="E775" s="66" t="inlineStr">
        <is>
          <t>Minimum Obstacle Removal to Reach Corner</t>
        </is>
      </c>
      <c r="F775" s="66" t="inlineStr">
        <is>
          <t>Hard</t>
        </is>
      </c>
      <c r="G775" s="66" t="inlineStr">
        <is>
          <t>Stretch</t>
        </is>
      </c>
      <c r="H775" s="66" t="inlineStr">
        <is>
          <t>LeetCode</t>
        </is>
      </c>
      <c r="I775" s="66" t="inlineStr">
        <is>
          <t>https://leetcode.com/problems/minimum-obstacle-removal-to-reach-corner/</t>
        </is>
      </c>
      <c r="J775" s="66" t="inlineStr">
        <is>
          <t>Not Started</t>
        </is>
      </c>
      <c r="K775" s="66" t="n"/>
      <c r="L775" s="66" t="n"/>
      <c r="M775" s="72" t="n"/>
      <c r="N775" s="72">
        <f>IF($M775="","",$M775+IF($K775="",Dashboard!$M$9,INDEX(Dashboard!$M$5:$M$9,$K775)))</f>
        <v/>
      </c>
      <c r="O775" s="66">
        <f>IF(OR($J775="Attempted",$J775="Revisit"),"DUE",IF($N775="","",IF($N775&lt;=TODAY(),"DUE","")))</f>
        <v/>
      </c>
      <c r="P775" s="66" t="n"/>
    </row>
    <row r="776">
      <c r="A776" s="66" t="n">
        <v>775</v>
      </c>
      <c r="B776" s="66" t="inlineStr">
        <is>
          <t>5. Trees &amp; Graphs - Stretch</t>
        </is>
      </c>
      <c r="C776" s="66" t="inlineStr">
        <is>
          <t>20. Graphs</t>
        </is>
      </c>
      <c r="D776" s="66" t="inlineStr">
        <is>
          <t>0-1 BFS</t>
        </is>
      </c>
      <c r="E776" s="66" t="inlineStr">
        <is>
          <t>Minimum Moves to Reach Target with Rotations</t>
        </is>
      </c>
      <c r="F776" s="66" t="inlineStr">
        <is>
          <t>Hard</t>
        </is>
      </c>
      <c r="G776" s="66" t="inlineStr">
        <is>
          <t>Stretch</t>
        </is>
      </c>
      <c r="H776" s="66" t="inlineStr">
        <is>
          <t>LeetCode</t>
        </is>
      </c>
      <c r="I776" s="66" t="inlineStr">
        <is>
          <t>https://leetcode.com/problems/minimum-moves-to-reach-target-with-rotations/</t>
        </is>
      </c>
      <c r="J776" s="66" t="inlineStr">
        <is>
          <t>Not Started</t>
        </is>
      </c>
      <c r="K776" s="66" t="n"/>
      <c r="L776" s="66" t="n"/>
      <c r="M776" s="72" t="n"/>
      <c r="N776" s="72">
        <f>IF($M776="","",$M776+IF($K776="",Dashboard!$M$9,INDEX(Dashboard!$M$5:$M$9,$K776)))</f>
        <v/>
      </c>
      <c r="O776" s="66">
        <f>IF(OR($J776="Attempted",$J776="Revisit"),"DUE",IF($N776="","",IF($N776&lt;=TODAY(),"DUE","")))</f>
        <v/>
      </c>
      <c r="P776" s="66" t="n"/>
    </row>
    <row r="777">
      <c r="A777" s="66" t="n">
        <v>776</v>
      </c>
      <c r="B777" s="66" t="inlineStr">
        <is>
          <t>5. Trees &amp; Graphs - Stretch</t>
        </is>
      </c>
      <c r="C777" s="66" t="inlineStr">
        <is>
          <t>20. Graphs</t>
        </is>
      </c>
      <c r="D777" s="66" t="inlineStr">
        <is>
          <t>Binary lifting</t>
        </is>
      </c>
      <c r="E777" s="66" t="inlineStr">
        <is>
          <t>Kth Ancestor of a Tree Node</t>
        </is>
      </c>
      <c r="F777" s="66" t="inlineStr">
        <is>
          <t>Hard</t>
        </is>
      </c>
      <c r="G777" s="66" t="inlineStr">
        <is>
          <t>Stretch</t>
        </is>
      </c>
      <c r="H777" s="66" t="inlineStr">
        <is>
          <t>LeetCode</t>
        </is>
      </c>
      <c r="I777" s="66" t="inlineStr">
        <is>
          <t>https://leetcode.com/problems/kth-ancestor-of-a-tree-node/</t>
        </is>
      </c>
      <c r="J777" s="66" t="inlineStr">
        <is>
          <t>Not Started</t>
        </is>
      </c>
      <c r="K777" s="66" t="n"/>
      <c r="L777" s="66" t="n"/>
      <c r="M777" s="72" t="n"/>
      <c r="N777" s="72">
        <f>IF($M777="","",$M777+IF($K777="",Dashboard!$M$9,INDEX(Dashboard!$M$5:$M$9,$K777)))</f>
        <v/>
      </c>
      <c r="O777" s="66">
        <f>IF(OR($J777="Attempted",$J777="Revisit"),"DUE",IF($N777="","",IF($N777&lt;=TODAY(),"DUE","")))</f>
        <v/>
      </c>
      <c r="P777" s="66" t="n"/>
    </row>
    <row r="778">
      <c r="A778" s="66" t="n">
        <v>777</v>
      </c>
      <c r="B778" s="66" t="inlineStr">
        <is>
          <t>5. Trees &amp; Graphs - Stretch</t>
        </is>
      </c>
      <c r="C778" s="66" t="inlineStr">
        <is>
          <t>20. Graphs</t>
        </is>
      </c>
      <c r="D778" s="66" t="inlineStr">
        <is>
          <t>Binary lifting</t>
        </is>
      </c>
      <c r="E778" s="66" t="inlineStr">
        <is>
          <t>LCA using Binary Lifting</t>
        </is>
      </c>
      <c r="F778" s="66" t="inlineStr">
        <is>
          <t>Hard</t>
        </is>
      </c>
      <c r="G778" s="66" t="inlineStr">
        <is>
          <t>Stretch</t>
        </is>
      </c>
      <c r="H778" s="66" t="inlineStr">
        <is>
          <t>GeeksforGeeks</t>
        </is>
      </c>
      <c r="I778" s="66" t="inlineStr">
        <is>
          <t>https://www.geeksforgeeks.org/search/?q=LCA+using+Binary+Lifting</t>
        </is>
      </c>
      <c r="J778" s="66" t="inlineStr">
        <is>
          <t>Not Started</t>
        </is>
      </c>
      <c r="K778" s="66" t="n"/>
      <c r="L778" s="66" t="n"/>
      <c r="M778" s="72" t="n"/>
      <c r="N778" s="72">
        <f>IF($M778="","",$M778+IF($K778="",Dashboard!$M$9,INDEX(Dashboard!$M$5:$M$9,$K778)))</f>
        <v/>
      </c>
      <c r="O778" s="66">
        <f>IF(OR($J778="Attempted",$J778="Revisit"),"DUE",IF($N778="","",IF($N778&lt;=TODAY(),"DUE","")))</f>
        <v/>
      </c>
      <c r="P778" s="66" t="n"/>
    </row>
    <row r="779">
      <c r="A779" s="66" t="n">
        <v>778</v>
      </c>
      <c r="B779" s="66" t="inlineStr">
        <is>
          <t>5. Trees &amp; Graphs - Stretch</t>
        </is>
      </c>
      <c r="C779" s="66" t="inlineStr">
        <is>
          <t>20. Graphs</t>
        </is>
      </c>
      <c r="D779" s="66" t="inlineStr">
        <is>
          <t>Binary lifting</t>
        </is>
      </c>
      <c r="E779" s="66" t="inlineStr">
        <is>
          <t>Cycle Length Queries in a Tree</t>
        </is>
      </c>
      <c r="F779" s="66" t="inlineStr">
        <is>
          <t>Hard</t>
        </is>
      </c>
      <c r="G779" s="66" t="inlineStr">
        <is>
          <t>Stretch</t>
        </is>
      </c>
      <c r="H779" s="66" t="inlineStr">
        <is>
          <t>LeetCode</t>
        </is>
      </c>
      <c r="I779" s="66" t="inlineStr">
        <is>
          <t>https://leetcode.com/problems/cycle-length-queries-in-a-tree/</t>
        </is>
      </c>
      <c r="J779" s="66" t="inlineStr">
        <is>
          <t>Not Started</t>
        </is>
      </c>
      <c r="K779" s="66" t="n"/>
      <c r="L779" s="66" t="n"/>
      <c r="M779" s="72" t="n"/>
      <c r="N779" s="72">
        <f>IF($M779="","",$M779+IF($K779="",Dashboard!$M$9,INDEX(Dashboard!$M$5:$M$9,$K779)))</f>
        <v/>
      </c>
      <c r="O779" s="66">
        <f>IF(OR($J779="Attempted",$J779="Revisit"),"DUE",IF($N779="","",IF($N779&lt;=TODAY(),"DUE","")))</f>
        <v/>
      </c>
      <c r="P779" s="66" t="n"/>
    </row>
    <row r="780">
      <c r="A780" s="66" t="n">
        <v>779</v>
      </c>
      <c r="B780" s="66" t="inlineStr">
        <is>
          <t>5. Trees &amp; Graphs - Stretch</t>
        </is>
      </c>
      <c r="C780" s="66" t="inlineStr">
        <is>
          <t>20. Graphs</t>
        </is>
      </c>
      <c r="D780" s="66" t="inlineStr">
        <is>
          <t>Binary lifting</t>
        </is>
      </c>
      <c r="E780" s="66" t="inlineStr">
        <is>
          <t>Minimum Edge Weight Equilibrium Queries in a Tree</t>
        </is>
      </c>
      <c r="F780" s="66" t="inlineStr">
        <is>
          <t>Hard</t>
        </is>
      </c>
      <c r="G780" s="66" t="inlineStr">
        <is>
          <t>Stretch</t>
        </is>
      </c>
      <c r="H780" s="66" t="inlineStr">
        <is>
          <t>LeetCode</t>
        </is>
      </c>
      <c r="I780" s="66" t="inlineStr">
        <is>
          <t>https://leetcode.com/problems/minimum-edge-weight-equilibrium-queries-in-a-tree/</t>
        </is>
      </c>
      <c r="J780" s="66" t="inlineStr">
        <is>
          <t>Not Started</t>
        </is>
      </c>
      <c r="K780" s="66" t="n"/>
      <c r="L780" s="66" t="n"/>
      <c r="M780" s="72" t="n"/>
      <c r="N780" s="72">
        <f>IF($M780="","",$M780+IF($K780="",Dashboard!$M$9,INDEX(Dashboard!$M$5:$M$9,$K780)))</f>
        <v/>
      </c>
      <c r="O780" s="66">
        <f>IF(OR($J780="Attempted",$J780="Revisit"),"DUE",IF($N780="","",IF($N780&lt;=TODAY(),"DUE","")))</f>
        <v/>
      </c>
      <c r="P780" s="66" t="n"/>
    </row>
    <row r="781">
      <c r="A781" s="66" t="n">
        <v>780</v>
      </c>
      <c r="B781" s="66" t="inlineStr">
        <is>
          <t>6. DP &amp; Closers - Core</t>
        </is>
      </c>
      <c r="C781" s="66" t="inlineStr">
        <is>
          <t>21. Dynamic Programming</t>
        </is>
      </c>
      <c r="D781" s="66" t="inlineStr">
        <is>
          <t>1D DP</t>
        </is>
      </c>
      <c r="E781" s="66" t="inlineStr">
        <is>
          <t>Climbing Stairs</t>
        </is>
      </c>
      <c r="F781" s="66" t="inlineStr">
        <is>
          <t>Easy</t>
        </is>
      </c>
      <c r="G781" s="66" t="inlineStr">
        <is>
          <t>Core</t>
        </is>
      </c>
      <c r="H781" s="66" t="inlineStr">
        <is>
          <t>LeetCode</t>
        </is>
      </c>
      <c r="I781" s="66" t="inlineStr">
        <is>
          <t>https://leetcode.com/problems/climbing-stairs/</t>
        </is>
      </c>
      <c r="J781" s="66" t="inlineStr">
        <is>
          <t>Not Started</t>
        </is>
      </c>
      <c r="K781" s="66" t="n"/>
      <c r="L781" s="66" t="n"/>
      <c r="M781" s="72" t="n"/>
      <c r="N781" s="72">
        <f>IF($M781="","",$M781+IF($K781="",Dashboard!$M$9,INDEX(Dashboard!$M$5:$M$9,$K781)))</f>
        <v/>
      </c>
      <c r="O781" s="66">
        <f>IF(OR($J781="Attempted",$J781="Revisit"),"DUE",IF($N781="","",IF($N781&lt;=TODAY(),"DUE","")))</f>
        <v/>
      </c>
      <c r="P781" s="66" t="n"/>
    </row>
    <row r="782">
      <c r="A782" s="66" t="n">
        <v>781</v>
      </c>
      <c r="B782" s="66" t="inlineStr">
        <is>
          <t>6. DP &amp; Closers - Core</t>
        </is>
      </c>
      <c r="C782" s="66" t="inlineStr">
        <is>
          <t>21. Dynamic Programming</t>
        </is>
      </c>
      <c r="D782" s="66" t="inlineStr">
        <is>
          <t>1D DP</t>
        </is>
      </c>
      <c r="E782" s="66" t="inlineStr">
        <is>
          <t>Min Cost Climbing Stairs</t>
        </is>
      </c>
      <c r="F782" s="66" t="inlineStr">
        <is>
          <t>Easy</t>
        </is>
      </c>
      <c r="G782" s="66" t="inlineStr">
        <is>
          <t>Core</t>
        </is>
      </c>
      <c r="H782" s="66" t="inlineStr">
        <is>
          <t>LeetCode</t>
        </is>
      </c>
      <c r="I782" s="66" t="inlineStr">
        <is>
          <t>https://leetcode.com/problems/min-cost-climbing-stairs/</t>
        </is>
      </c>
      <c r="J782" s="66" t="inlineStr">
        <is>
          <t>Not Started</t>
        </is>
      </c>
      <c r="K782" s="66" t="n"/>
      <c r="L782" s="66" t="n"/>
      <c r="M782" s="72" t="n"/>
      <c r="N782" s="72">
        <f>IF($M782="","",$M782+IF($K782="",Dashboard!$M$9,INDEX(Dashboard!$M$5:$M$9,$K782)))</f>
        <v/>
      </c>
      <c r="O782" s="66">
        <f>IF(OR($J782="Attempted",$J782="Revisit"),"DUE",IF($N782="","",IF($N782&lt;=TODAY(),"DUE","")))</f>
        <v/>
      </c>
      <c r="P782" s="66" t="n"/>
    </row>
    <row r="783">
      <c r="A783" s="66" t="n">
        <v>782</v>
      </c>
      <c r="B783" s="66" t="inlineStr">
        <is>
          <t>6. DP &amp; Closers - Core</t>
        </is>
      </c>
      <c r="C783" s="66" t="inlineStr">
        <is>
          <t>21. Dynamic Programming</t>
        </is>
      </c>
      <c r="D783" s="66" t="inlineStr">
        <is>
          <t>1D DP</t>
        </is>
      </c>
      <c r="E783" s="66" t="inlineStr">
        <is>
          <t>House Robber</t>
        </is>
      </c>
      <c r="F783" s="66" t="inlineStr">
        <is>
          <t>Medium</t>
        </is>
      </c>
      <c r="G783" s="66" t="inlineStr">
        <is>
          <t>Core</t>
        </is>
      </c>
      <c r="H783" s="66" t="inlineStr">
        <is>
          <t>LeetCode</t>
        </is>
      </c>
      <c r="I783" s="66" t="inlineStr">
        <is>
          <t>https://leetcode.com/problems/house-robber/</t>
        </is>
      </c>
      <c r="J783" s="66" t="inlineStr">
        <is>
          <t>Not Started</t>
        </is>
      </c>
      <c r="K783" s="66" t="n"/>
      <c r="L783" s="66" t="n"/>
      <c r="M783" s="72" t="n"/>
      <c r="N783" s="72">
        <f>IF($M783="","",$M783+IF($K783="",Dashboard!$M$9,INDEX(Dashboard!$M$5:$M$9,$K783)))</f>
        <v/>
      </c>
      <c r="O783" s="66">
        <f>IF(OR($J783="Attempted",$J783="Revisit"),"DUE",IF($N783="","",IF($N783&lt;=TODAY(),"DUE","")))</f>
        <v/>
      </c>
      <c r="P783" s="66" t="n"/>
    </row>
    <row r="784">
      <c r="A784" s="66" t="n">
        <v>783</v>
      </c>
      <c r="B784" s="66" t="inlineStr">
        <is>
          <t>6. DP &amp; Closers - Core</t>
        </is>
      </c>
      <c r="C784" s="66" t="inlineStr">
        <is>
          <t>21. Dynamic Programming</t>
        </is>
      </c>
      <c r="D784" s="66" t="inlineStr">
        <is>
          <t>1D DP</t>
        </is>
      </c>
      <c r="E784" s="66" t="inlineStr">
        <is>
          <t>House Robber II</t>
        </is>
      </c>
      <c r="F784" s="66" t="inlineStr">
        <is>
          <t>Medium</t>
        </is>
      </c>
      <c r="G784" s="66" t="inlineStr">
        <is>
          <t>Core</t>
        </is>
      </c>
      <c r="H784" s="66" t="inlineStr">
        <is>
          <t>LeetCode</t>
        </is>
      </c>
      <c r="I784" s="66" t="inlineStr">
        <is>
          <t>https://leetcode.com/problems/house-robber-ii/</t>
        </is>
      </c>
      <c r="J784" s="66" t="inlineStr">
        <is>
          <t>Not Started</t>
        </is>
      </c>
      <c r="K784" s="66" t="n"/>
      <c r="L784" s="66" t="n"/>
      <c r="M784" s="72" t="n"/>
      <c r="N784" s="72">
        <f>IF($M784="","",$M784+IF($K784="",Dashboard!$M$9,INDEX(Dashboard!$M$5:$M$9,$K784)))</f>
        <v/>
      </c>
      <c r="O784" s="66">
        <f>IF(OR($J784="Attempted",$J784="Revisit"),"DUE",IF($N784="","",IF($N784&lt;=TODAY(),"DUE","")))</f>
        <v/>
      </c>
      <c r="P784" s="66" t="n"/>
    </row>
    <row r="785">
      <c r="A785" s="66" t="n">
        <v>784</v>
      </c>
      <c r="B785" s="66" t="inlineStr">
        <is>
          <t>6. DP &amp; Closers - Core</t>
        </is>
      </c>
      <c r="C785" s="66" t="inlineStr">
        <is>
          <t>21. Dynamic Programming</t>
        </is>
      </c>
      <c r="D785" s="66" t="inlineStr">
        <is>
          <t>1D DP</t>
        </is>
      </c>
      <c r="E785" s="66" t="inlineStr">
        <is>
          <t>Decode Ways</t>
        </is>
      </c>
      <c r="F785" s="66" t="inlineStr">
        <is>
          <t>Medium</t>
        </is>
      </c>
      <c r="G785" s="66" t="inlineStr">
        <is>
          <t>Core</t>
        </is>
      </c>
      <c r="H785" s="66" t="inlineStr">
        <is>
          <t>LeetCode</t>
        </is>
      </c>
      <c r="I785" s="66" t="inlineStr">
        <is>
          <t>https://leetcode.com/problems/decode-ways/</t>
        </is>
      </c>
      <c r="J785" s="66" t="inlineStr">
        <is>
          <t>Not Started</t>
        </is>
      </c>
      <c r="K785" s="66" t="n"/>
      <c r="L785" s="66" t="n"/>
      <c r="M785" s="72" t="n"/>
      <c r="N785" s="72">
        <f>IF($M785="","",$M785+IF($K785="",Dashboard!$M$9,INDEX(Dashboard!$M$5:$M$9,$K785)))</f>
        <v/>
      </c>
      <c r="O785" s="66">
        <f>IF(OR($J785="Attempted",$J785="Revisit"),"DUE",IF($N785="","",IF($N785&lt;=TODAY(),"DUE","")))</f>
        <v/>
      </c>
      <c r="P785" s="66" t="n"/>
    </row>
    <row r="786">
      <c r="A786" s="66" t="n">
        <v>785</v>
      </c>
      <c r="B786" s="66" t="inlineStr">
        <is>
          <t>6. DP &amp; Closers - Core</t>
        </is>
      </c>
      <c r="C786" s="66" t="inlineStr">
        <is>
          <t>21. Dynamic Programming</t>
        </is>
      </c>
      <c r="D786" s="66" t="inlineStr">
        <is>
          <t>1D DP</t>
        </is>
      </c>
      <c r="E786" s="66" t="inlineStr">
        <is>
          <t>Word Break</t>
        </is>
      </c>
      <c r="F786" s="66" t="inlineStr">
        <is>
          <t>Medium</t>
        </is>
      </c>
      <c r="G786" s="66" t="inlineStr">
        <is>
          <t>Core</t>
        </is>
      </c>
      <c r="H786" s="66" t="inlineStr">
        <is>
          <t>LeetCode</t>
        </is>
      </c>
      <c r="I786" s="66" t="inlineStr">
        <is>
          <t>https://leetcode.com/problems/word-break/</t>
        </is>
      </c>
      <c r="J786" s="66" t="inlineStr">
        <is>
          <t>Not Started</t>
        </is>
      </c>
      <c r="K786" s="66" t="n"/>
      <c r="L786" s="66" t="n"/>
      <c r="M786" s="72" t="n"/>
      <c r="N786" s="72">
        <f>IF($M786="","",$M786+IF($K786="",Dashboard!$M$9,INDEX(Dashboard!$M$5:$M$9,$K786)))</f>
        <v/>
      </c>
      <c r="O786" s="66">
        <f>IF(OR($J786="Attempted",$J786="Revisit"),"DUE",IF($N786="","",IF($N786&lt;=TODAY(),"DUE","")))</f>
        <v/>
      </c>
      <c r="P786" s="66" t="n"/>
    </row>
    <row r="787">
      <c r="A787" s="66" t="n">
        <v>786</v>
      </c>
      <c r="B787" s="66" t="inlineStr">
        <is>
          <t>6. DP &amp; Closers - Core</t>
        </is>
      </c>
      <c r="C787" s="66" t="inlineStr">
        <is>
          <t>21. Dynamic Programming</t>
        </is>
      </c>
      <c r="D787" s="66" t="inlineStr">
        <is>
          <t>Grid DP</t>
        </is>
      </c>
      <c r="E787" s="66" t="inlineStr">
        <is>
          <t>Unique Paths</t>
        </is>
      </c>
      <c r="F787" s="66" t="inlineStr">
        <is>
          <t>Medium</t>
        </is>
      </c>
      <c r="G787" s="66" t="inlineStr">
        <is>
          <t>Core</t>
        </is>
      </c>
      <c r="H787" s="66" t="inlineStr">
        <is>
          <t>LeetCode</t>
        </is>
      </c>
      <c r="I787" s="66" t="inlineStr">
        <is>
          <t>https://leetcode.com/problems/unique-paths/</t>
        </is>
      </c>
      <c r="J787" s="66" t="inlineStr">
        <is>
          <t>Not Started</t>
        </is>
      </c>
      <c r="K787" s="66" t="n"/>
      <c r="L787" s="66" t="n"/>
      <c r="M787" s="72" t="n"/>
      <c r="N787" s="72">
        <f>IF($M787="","",$M787+IF($K787="",Dashboard!$M$9,INDEX(Dashboard!$M$5:$M$9,$K787)))</f>
        <v/>
      </c>
      <c r="O787" s="66">
        <f>IF(OR($J787="Attempted",$J787="Revisit"),"DUE",IF($N787="","",IF($N787&lt;=TODAY(),"DUE","")))</f>
        <v/>
      </c>
      <c r="P787" s="66" t="n"/>
    </row>
    <row r="788">
      <c r="A788" s="66" t="n">
        <v>787</v>
      </c>
      <c r="B788" s="66" t="inlineStr">
        <is>
          <t>6. DP &amp; Closers - Core</t>
        </is>
      </c>
      <c r="C788" s="66" t="inlineStr">
        <is>
          <t>21. Dynamic Programming</t>
        </is>
      </c>
      <c r="D788" s="66" t="inlineStr">
        <is>
          <t>Grid DP</t>
        </is>
      </c>
      <c r="E788" s="66" t="inlineStr">
        <is>
          <t>Unique Paths II</t>
        </is>
      </c>
      <c r="F788" s="66" t="inlineStr">
        <is>
          <t>Medium</t>
        </is>
      </c>
      <c r="G788" s="66" t="inlineStr">
        <is>
          <t>Core</t>
        </is>
      </c>
      <c r="H788" s="66" t="inlineStr">
        <is>
          <t>LeetCode</t>
        </is>
      </c>
      <c r="I788" s="66" t="inlineStr">
        <is>
          <t>https://leetcode.com/problems/unique-paths-ii/</t>
        </is>
      </c>
      <c r="J788" s="66" t="inlineStr">
        <is>
          <t>Not Started</t>
        </is>
      </c>
      <c r="K788" s="66" t="n"/>
      <c r="L788" s="66" t="n"/>
      <c r="M788" s="72" t="n"/>
      <c r="N788" s="72">
        <f>IF($M788="","",$M788+IF($K788="",Dashboard!$M$9,INDEX(Dashboard!$M$5:$M$9,$K788)))</f>
        <v/>
      </c>
      <c r="O788" s="66">
        <f>IF(OR($J788="Attempted",$J788="Revisit"),"DUE",IF($N788="","",IF($N788&lt;=TODAY(),"DUE","")))</f>
        <v/>
      </c>
      <c r="P788" s="66" t="n"/>
    </row>
    <row r="789">
      <c r="A789" s="66" t="n">
        <v>788</v>
      </c>
      <c r="B789" s="66" t="inlineStr">
        <is>
          <t>6. DP &amp; Closers - Core</t>
        </is>
      </c>
      <c r="C789" s="66" t="inlineStr">
        <is>
          <t>21. Dynamic Programming</t>
        </is>
      </c>
      <c r="D789" s="66" t="inlineStr">
        <is>
          <t>0/1 Knapsack</t>
        </is>
      </c>
      <c r="E789" s="66" t="inlineStr">
        <is>
          <t>0 - 1 Knapsack Problem</t>
        </is>
      </c>
      <c r="F789" s="66" t="inlineStr">
        <is>
          <t>Medium</t>
        </is>
      </c>
      <c r="G789" s="66" t="inlineStr">
        <is>
          <t>Core</t>
        </is>
      </c>
      <c r="H789" s="66" t="inlineStr">
        <is>
          <t>GeeksforGeeks</t>
        </is>
      </c>
      <c r="I789" s="66" t="inlineStr">
        <is>
          <t>https://www.geeksforgeeks.org/problems/0-1-knapsack-problem0945/1</t>
        </is>
      </c>
      <c r="J789" s="66" t="inlineStr">
        <is>
          <t>Not Started</t>
        </is>
      </c>
      <c r="K789" s="66" t="n"/>
      <c r="L789" s="66" t="n"/>
      <c r="M789" s="72" t="n"/>
      <c r="N789" s="72">
        <f>IF($M789="","",$M789+IF($K789="",Dashboard!$M$9,INDEX(Dashboard!$M$5:$M$9,$K789)))</f>
        <v/>
      </c>
      <c r="O789" s="66">
        <f>IF(OR($J789="Attempted",$J789="Revisit"),"DUE",IF($N789="","",IF($N789&lt;=TODAY(),"DUE","")))</f>
        <v/>
      </c>
      <c r="P789" s="66" t="n"/>
    </row>
    <row r="790">
      <c r="A790" s="66" t="n">
        <v>789</v>
      </c>
      <c r="B790" s="66" t="inlineStr">
        <is>
          <t>6. DP &amp; Closers - Core</t>
        </is>
      </c>
      <c r="C790" s="66" t="inlineStr">
        <is>
          <t>21. Dynamic Programming</t>
        </is>
      </c>
      <c r="D790" s="66" t="inlineStr">
        <is>
          <t>0/1 Knapsack</t>
        </is>
      </c>
      <c r="E790" s="66" t="inlineStr">
        <is>
          <t>Subset Sum Problem</t>
        </is>
      </c>
      <c r="F790" s="66" t="inlineStr">
        <is>
          <t>Medium</t>
        </is>
      </c>
      <c r="G790" s="66" t="inlineStr">
        <is>
          <t>Core</t>
        </is>
      </c>
      <c r="H790" s="66" t="inlineStr">
        <is>
          <t>GeeksforGeeks</t>
        </is>
      </c>
      <c r="I790" s="66" t="inlineStr">
        <is>
          <t>https://www.geeksforgeeks.org/problems/subset-sum-problem-1611555638/1</t>
        </is>
      </c>
      <c r="J790" s="66" t="inlineStr">
        <is>
          <t>Not Started</t>
        </is>
      </c>
      <c r="K790" s="66" t="n"/>
      <c r="L790" s="66" t="n"/>
      <c r="M790" s="72" t="n"/>
      <c r="N790" s="72">
        <f>IF($M790="","",$M790+IF($K790="",Dashboard!$M$9,INDEX(Dashboard!$M$5:$M$9,$K790)))</f>
        <v/>
      </c>
      <c r="O790" s="66">
        <f>IF(OR($J790="Attempted",$J790="Revisit"),"DUE",IF($N790="","",IF($N790&lt;=TODAY(),"DUE","")))</f>
        <v/>
      </c>
      <c r="P790" s="66" t="n"/>
    </row>
    <row r="791">
      <c r="A791" s="66" t="n">
        <v>790</v>
      </c>
      <c r="B791" s="66" t="inlineStr">
        <is>
          <t>6. DP &amp; Closers - Core</t>
        </is>
      </c>
      <c r="C791" s="66" t="inlineStr">
        <is>
          <t>21. Dynamic Programming</t>
        </is>
      </c>
      <c r="D791" s="66" t="inlineStr">
        <is>
          <t>0/1 Knapsack</t>
        </is>
      </c>
      <c r="E791" s="66" t="inlineStr">
        <is>
          <t>Partition Equal Subset Sum</t>
        </is>
      </c>
      <c r="F791" s="66" t="inlineStr">
        <is>
          <t>Medium</t>
        </is>
      </c>
      <c r="G791" s="66" t="inlineStr">
        <is>
          <t>Core</t>
        </is>
      </c>
      <c r="H791" s="66" t="inlineStr">
        <is>
          <t>LeetCode</t>
        </is>
      </c>
      <c r="I791" s="66" t="inlineStr">
        <is>
          <t>https://leetcode.com/problems/partition-equal-subset-sum/</t>
        </is>
      </c>
      <c r="J791" s="66" t="inlineStr">
        <is>
          <t>Not Started</t>
        </is>
      </c>
      <c r="K791" s="66" t="n"/>
      <c r="L791" s="66" t="n"/>
      <c r="M791" s="72" t="n"/>
      <c r="N791" s="72">
        <f>IF($M791="","",$M791+IF($K791="",Dashboard!$M$9,INDEX(Dashboard!$M$5:$M$9,$K791)))</f>
        <v/>
      </c>
      <c r="O791" s="66">
        <f>IF(OR($J791="Attempted",$J791="Revisit"),"DUE",IF($N791="","",IF($N791&lt;=TODAY(),"DUE","")))</f>
        <v/>
      </c>
      <c r="P791" s="66" t="n"/>
    </row>
    <row r="792">
      <c r="A792" s="66" t="n">
        <v>791</v>
      </c>
      <c r="B792" s="66" t="inlineStr">
        <is>
          <t>6. DP &amp; Closers - Core</t>
        </is>
      </c>
      <c r="C792" s="66" t="inlineStr">
        <is>
          <t>21. Dynamic Programming</t>
        </is>
      </c>
      <c r="D792" s="66" t="inlineStr">
        <is>
          <t>Unbounded Knapsack</t>
        </is>
      </c>
      <c r="E792" s="66" t="inlineStr">
        <is>
          <t>Coin Change</t>
        </is>
      </c>
      <c r="F792" s="66" t="inlineStr">
        <is>
          <t>Medium</t>
        </is>
      </c>
      <c r="G792" s="66" t="inlineStr">
        <is>
          <t>Core</t>
        </is>
      </c>
      <c r="H792" s="66" t="inlineStr">
        <is>
          <t>LeetCode</t>
        </is>
      </c>
      <c r="I792" s="66" t="inlineStr">
        <is>
          <t>https://leetcode.com/problems/coin-change/</t>
        </is>
      </c>
      <c r="J792" s="66" t="inlineStr">
        <is>
          <t>Not Started</t>
        </is>
      </c>
      <c r="K792" s="66" t="n"/>
      <c r="L792" s="66" t="n"/>
      <c r="M792" s="72" t="n"/>
      <c r="N792" s="72">
        <f>IF($M792="","",$M792+IF($K792="",Dashboard!$M$9,INDEX(Dashboard!$M$5:$M$9,$K792)))</f>
        <v/>
      </c>
      <c r="O792" s="66">
        <f>IF(OR($J792="Attempted",$J792="Revisit"),"DUE",IF($N792="","",IF($N792&lt;=TODAY(),"DUE","")))</f>
        <v/>
      </c>
      <c r="P792" s="66" t="n"/>
    </row>
    <row r="793">
      <c r="A793" s="66" t="n">
        <v>792</v>
      </c>
      <c r="B793" s="66" t="inlineStr">
        <is>
          <t>6. DP &amp; Closers - Core</t>
        </is>
      </c>
      <c r="C793" s="66" t="inlineStr">
        <is>
          <t>21. Dynamic Programming</t>
        </is>
      </c>
      <c r="D793" s="66" t="inlineStr">
        <is>
          <t>Unbounded Knapsack</t>
        </is>
      </c>
      <c r="E793" s="66" t="inlineStr">
        <is>
          <t>Coin Change II</t>
        </is>
      </c>
      <c r="F793" s="66" t="inlineStr">
        <is>
          <t>Medium</t>
        </is>
      </c>
      <c r="G793" s="66" t="inlineStr">
        <is>
          <t>Core</t>
        </is>
      </c>
      <c r="H793" s="66" t="inlineStr">
        <is>
          <t>LeetCode</t>
        </is>
      </c>
      <c r="I793" s="66" t="inlineStr">
        <is>
          <t>https://leetcode.com/problems/coin-change-ii/</t>
        </is>
      </c>
      <c r="J793" s="66" t="inlineStr">
        <is>
          <t>Not Started</t>
        </is>
      </c>
      <c r="K793" s="66" t="n"/>
      <c r="L793" s="66" t="n"/>
      <c r="M793" s="72" t="n"/>
      <c r="N793" s="72">
        <f>IF($M793="","",$M793+IF($K793="",Dashboard!$M$9,INDEX(Dashboard!$M$5:$M$9,$K793)))</f>
        <v/>
      </c>
      <c r="O793" s="66">
        <f>IF(OR($J793="Attempted",$J793="Revisit"),"DUE",IF($N793="","",IF($N793&lt;=TODAY(),"DUE","")))</f>
        <v/>
      </c>
      <c r="P793" s="66" t="n"/>
    </row>
    <row r="794">
      <c r="A794" s="66" t="n">
        <v>793</v>
      </c>
      <c r="B794" s="66" t="inlineStr">
        <is>
          <t>6. DP &amp; Closers - Core</t>
        </is>
      </c>
      <c r="C794" s="66" t="inlineStr">
        <is>
          <t>21. Dynamic Programming</t>
        </is>
      </c>
      <c r="D794" s="66" t="inlineStr">
        <is>
          <t>Unbounded Knapsack</t>
        </is>
      </c>
      <c r="E794" s="66" t="inlineStr">
        <is>
          <t>Unbounded Knapsack</t>
        </is>
      </c>
      <c r="F794" s="66" t="inlineStr">
        <is>
          <t>Medium</t>
        </is>
      </c>
      <c r="G794" s="66" t="inlineStr">
        <is>
          <t>Core</t>
        </is>
      </c>
      <c r="H794" s="66" t="inlineStr">
        <is>
          <t>GeeksforGeeks</t>
        </is>
      </c>
      <c r="I794" s="66" t="inlineStr">
        <is>
          <t>https://www.geeksforgeeks.org/problems/knapsack-with-duplicate-items4201/1</t>
        </is>
      </c>
      <c r="J794" s="66" t="inlineStr">
        <is>
          <t>Not Started</t>
        </is>
      </c>
      <c r="K794" s="66" t="n"/>
      <c r="L794" s="66" t="n"/>
      <c r="M794" s="72" t="n"/>
      <c r="N794" s="72">
        <f>IF($M794="","",$M794+IF($K794="",Dashboard!$M$9,INDEX(Dashboard!$M$5:$M$9,$K794)))</f>
        <v/>
      </c>
      <c r="O794" s="66">
        <f>IF(OR($J794="Attempted",$J794="Revisit"),"DUE",IF($N794="","",IF($N794&lt;=TODAY(),"DUE","")))</f>
        <v/>
      </c>
      <c r="P794" s="66" t="n"/>
    </row>
    <row r="795">
      <c r="A795" s="66" t="n">
        <v>794</v>
      </c>
      <c r="B795" s="66" t="inlineStr">
        <is>
          <t>6. DP &amp; Closers - Core</t>
        </is>
      </c>
      <c r="C795" s="66" t="inlineStr">
        <is>
          <t>21. Dynamic Programming</t>
        </is>
      </c>
      <c r="D795" s="66" t="inlineStr">
        <is>
          <t>Unbounded Knapsack</t>
        </is>
      </c>
      <c r="E795" s="66" t="inlineStr">
        <is>
          <t>Rod Cutting</t>
        </is>
      </c>
      <c r="F795" s="66" t="inlineStr">
        <is>
          <t>Medium</t>
        </is>
      </c>
      <c r="G795" s="66" t="inlineStr">
        <is>
          <t>Core</t>
        </is>
      </c>
      <c r="H795" s="66" t="inlineStr">
        <is>
          <t>GeeksforGeeks</t>
        </is>
      </c>
      <c r="I795" s="66" t="inlineStr">
        <is>
          <t>https://www.geeksforgeeks.org/problems/rod-cutting0840/1</t>
        </is>
      </c>
      <c r="J795" s="66" t="inlineStr">
        <is>
          <t>Not Started</t>
        </is>
      </c>
      <c r="K795" s="66" t="n"/>
      <c r="L795" s="66" t="n"/>
      <c r="M795" s="72" t="n"/>
      <c r="N795" s="72">
        <f>IF($M795="","",$M795+IF($K795="",Dashboard!$M$9,INDEX(Dashboard!$M$5:$M$9,$K795)))</f>
        <v/>
      </c>
      <c r="O795" s="66">
        <f>IF(OR($J795="Attempted",$J795="Revisit"),"DUE",IF($N795="","",IF($N795&lt;=TODAY(),"DUE","")))</f>
        <v/>
      </c>
      <c r="P795" s="66" t="n"/>
    </row>
    <row r="796">
      <c r="A796" s="66" t="n">
        <v>795</v>
      </c>
      <c r="B796" s="66" t="inlineStr">
        <is>
          <t>6. DP &amp; Closers - Core</t>
        </is>
      </c>
      <c r="C796" s="66" t="inlineStr">
        <is>
          <t>21. Dynamic Programming</t>
        </is>
      </c>
      <c r="D796" s="66" t="inlineStr">
        <is>
          <t>LIS</t>
        </is>
      </c>
      <c r="E796" s="66" t="inlineStr">
        <is>
          <t>Longest Increasing Subsequence</t>
        </is>
      </c>
      <c r="F796" s="66" t="inlineStr">
        <is>
          <t>Medium</t>
        </is>
      </c>
      <c r="G796" s="66" t="inlineStr">
        <is>
          <t>Core</t>
        </is>
      </c>
      <c r="H796" s="66" t="inlineStr">
        <is>
          <t>LeetCode</t>
        </is>
      </c>
      <c r="I796" s="66" t="inlineStr">
        <is>
          <t>https://leetcode.com/problems/longest-increasing-subsequence/</t>
        </is>
      </c>
      <c r="J796" s="66" t="inlineStr">
        <is>
          <t>Not Started</t>
        </is>
      </c>
      <c r="K796" s="66" t="n"/>
      <c r="L796" s="66" t="n"/>
      <c r="M796" s="72" t="n"/>
      <c r="N796" s="72">
        <f>IF($M796="","",$M796+IF($K796="",Dashboard!$M$9,INDEX(Dashboard!$M$5:$M$9,$K796)))</f>
        <v/>
      </c>
      <c r="O796" s="66">
        <f>IF(OR($J796="Attempted",$J796="Revisit"),"DUE",IF($N796="","",IF($N796&lt;=TODAY(),"DUE","")))</f>
        <v/>
      </c>
      <c r="P796" s="66" t="n"/>
    </row>
    <row r="797">
      <c r="A797" s="66" t="n">
        <v>796</v>
      </c>
      <c r="B797" s="66" t="inlineStr">
        <is>
          <t>6. DP &amp; Closers - Core</t>
        </is>
      </c>
      <c r="C797" s="66" t="inlineStr">
        <is>
          <t>21. Dynamic Programming</t>
        </is>
      </c>
      <c r="D797" s="66" t="inlineStr">
        <is>
          <t>LIS</t>
        </is>
      </c>
      <c r="E797" s="66" t="inlineStr">
        <is>
          <t>Number of Longest Increasing Subsequence</t>
        </is>
      </c>
      <c r="F797" s="66" t="inlineStr">
        <is>
          <t>Medium</t>
        </is>
      </c>
      <c r="G797" s="66" t="inlineStr">
        <is>
          <t>Core</t>
        </is>
      </c>
      <c r="H797" s="66" t="inlineStr">
        <is>
          <t>LeetCode</t>
        </is>
      </c>
      <c r="I797" s="66" t="inlineStr">
        <is>
          <t>https://leetcode.com/problems/number-of-longest-increasing-subsequence/</t>
        </is>
      </c>
      <c r="J797" s="66" t="inlineStr">
        <is>
          <t>Not Started</t>
        </is>
      </c>
      <c r="K797" s="66" t="n"/>
      <c r="L797" s="66" t="n"/>
      <c r="M797" s="72" t="n"/>
      <c r="N797" s="72">
        <f>IF($M797="","",$M797+IF($K797="",Dashboard!$M$9,INDEX(Dashboard!$M$5:$M$9,$K797)))</f>
        <v/>
      </c>
      <c r="O797" s="66">
        <f>IF(OR($J797="Attempted",$J797="Revisit"),"DUE",IF($N797="","",IF($N797&lt;=TODAY(),"DUE","")))</f>
        <v/>
      </c>
      <c r="P797" s="66" t="n"/>
    </row>
    <row r="798">
      <c r="A798" s="66" t="n">
        <v>797</v>
      </c>
      <c r="B798" s="66" t="inlineStr">
        <is>
          <t>6. DP &amp; Closers - Core</t>
        </is>
      </c>
      <c r="C798" s="66" t="inlineStr">
        <is>
          <t>21. Dynamic Programming</t>
        </is>
      </c>
      <c r="D798" s="66" t="inlineStr">
        <is>
          <t>Stocks DP</t>
        </is>
      </c>
      <c r="E798" s="66" t="inlineStr">
        <is>
          <t>Best Time to Buy and Sell Stock II</t>
        </is>
      </c>
      <c r="F798" s="66" t="inlineStr">
        <is>
          <t>Medium</t>
        </is>
      </c>
      <c r="G798" s="66" t="inlineStr">
        <is>
          <t>Core</t>
        </is>
      </c>
      <c r="H798" s="66" t="inlineStr">
        <is>
          <t>LeetCode</t>
        </is>
      </c>
      <c r="I798" s="66" t="inlineStr">
        <is>
          <t>https://leetcode.com/problems/best-time-to-buy-and-sell-stock-ii/</t>
        </is>
      </c>
      <c r="J798" s="66" t="inlineStr">
        <is>
          <t>Not Started</t>
        </is>
      </c>
      <c r="K798" s="66" t="n"/>
      <c r="L798" s="66" t="n"/>
      <c r="M798" s="72" t="n"/>
      <c r="N798" s="72">
        <f>IF($M798="","",$M798+IF($K798="",Dashboard!$M$9,INDEX(Dashboard!$M$5:$M$9,$K798)))</f>
        <v/>
      </c>
      <c r="O798" s="66">
        <f>IF(OR($J798="Attempted",$J798="Revisit"),"DUE",IF($N798="","",IF($N798&lt;=TODAY(),"DUE","")))</f>
        <v/>
      </c>
      <c r="P798" s="66" t="n"/>
    </row>
    <row r="799">
      <c r="A799" s="66" t="n">
        <v>798</v>
      </c>
      <c r="B799" s="66" t="inlineStr">
        <is>
          <t>6. DP &amp; Closers - Core</t>
        </is>
      </c>
      <c r="C799" s="66" t="inlineStr">
        <is>
          <t>21. Dynamic Programming</t>
        </is>
      </c>
      <c r="D799" s="66" t="inlineStr">
        <is>
          <t>Stocks DP</t>
        </is>
      </c>
      <c r="E799" s="66" t="inlineStr">
        <is>
          <t>Best Time to Buy and Sell Stock with Transaction Fee</t>
        </is>
      </c>
      <c r="F799" s="66" t="inlineStr">
        <is>
          <t>Medium</t>
        </is>
      </c>
      <c r="G799" s="66" t="inlineStr">
        <is>
          <t>Core</t>
        </is>
      </c>
      <c r="H799" s="66" t="inlineStr">
        <is>
          <t>LeetCode</t>
        </is>
      </c>
      <c r="I799" s="66" t="inlineStr">
        <is>
          <t>https://leetcode.com/problems/best-time-to-buy-and-sell-stock-with-transaction-fee/</t>
        </is>
      </c>
      <c r="J799" s="66" t="inlineStr">
        <is>
          <t>Not Started</t>
        </is>
      </c>
      <c r="K799" s="66" t="n"/>
      <c r="L799" s="66" t="n"/>
      <c r="M799" s="72" t="n"/>
      <c r="N799" s="72">
        <f>IF($M799="","",$M799+IF($K799="",Dashboard!$M$9,INDEX(Dashboard!$M$5:$M$9,$K799)))</f>
        <v/>
      </c>
      <c r="O799" s="66">
        <f>IF(OR($J799="Attempted",$J799="Revisit"),"DUE",IF($N799="","",IF($N799&lt;=TODAY(),"DUE","")))</f>
        <v/>
      </c>
      <c r="P799" s="66" t="n"/>
    </row>
    <row r="800">
      <c r="A800" s="66" t="n">
        <v>799</v>
      </c>
      <c r="B800" s="66" t="inlineStr">
        <is>
          <t>6. DP &amp; Closers - Core</t>
        </is>
      </c>
      <c r="C800" s="66" t="inlineStr">
        <is>
          <t>21. Dynamic Programming</t>
        </is>
      </c>
      <c r="D800" s="66" t="inlineStr">
        <is>
          <t>Stocks DP</t>
        </is>
      </c>
      <c r="E800" s="66" t="inlineStr">
        <is>
          <t>Best Time to Buy and Sell Stock with Cooldown</t>
        </is>
      </c>
      <c r="F800" s="66" t="inlineStr">
        <is>
          <t>Medium</t>
        </is>
      </c>
      <c r="G800" s="66" t="inlineStr">
        <is>
          <t>Core</t>
        </is>
      </c>
      <c r="H800" s="66" t="inlineStr">
        <is>
          <t>LeetCode</t>
        </is>
      </c>
      <c r="I800" s="66" t="inlineStr">
        <is>
          <t>https://leetcode.com/problems/best-time-to-buy-and-sell-stock-with-cooldown/</t>
        </is>
      </c>
      <c r="J800" s="66" t="inlineStr">
        <is>
          <t>Not Started</t>
        </is>
      </c>
      <c r="K800" s="66" t="n"/>
      <c r="L800" s="66" t="n"/>
      <c r="M800" s="72" t="n"/>
      <c r="N800" s="72">
        <f>IF($M800="","",$M800+IF($K800="",Dashboard!$M$9,INDEX(Dashboard!$M$5:$M$9,$K800)))</f>
        <v/>
      </c>
      <c r="O800" s="66">
        <f>IF(OR($J800="Attempted",$J800="Revisit"),"DUE",IF($N800="","",IF($N800&lt;=TODAY(),"DUE","")))</f>
        <v/>
      </c>
      <c r="P800" s="66" t="n"/>
    </row>
    <row r="801">
      <c r="A801" s="66" t="n">
        <v>800</v>
      </c>
      <c r="B801" s="66" t="inlineStr">
        <is>
          <t>6. DP &amp; Closers - Core</t>
        </is>
      </c>
      <c r="C801" s="66" t="inlineStr">
        <is>
          <t>21. Dynamic Programming</t>
        </is>
      </c>
      <c r="D801" s="66" t="inlineStr">
        <is>
          <t>Squares in matrix</t>
        </is>
      </c>
      <c r="E801" s="66" t="inlineStr">
        <is>
          <t>Maximal Square</t>
        </is>
      </c>
      <c r="F801" s="66" t="inlineStr">
        <is>
          <t>Medium</t>
        </is>
      </c>
      <c r="G801" s="66" t="inlineStr">
        <is>
          <t>Core</t>
        </is>
      </c>
      <c r="H801" s="66" t="inlineStr">
        <is>
          <t>LeetCode</t>
        </is>
      </c>
      <c r="I801" s="66" t="inlineStr">
        <is>
          <t>https://leetcode.com/problems/maximal-square/</t>
        </is>
      </c>
      <c r="J801" s="66" t="inlineStr">
        <is>
          <t>Not Started</t>
        </is>
      </c>
      <c r="K801" s="66" t="n"/>
      <c r="L801" s="66" t="n"/>
      <c r="M801" s="72" t="n"/>
      <c r="N801" s="72">
        <f>IF($M801="","",$M801+IF($K801="",Dashboard!$M$9,INDEX(Dashboard!$M$5:$M$9,$K801)))</f>
        <v/>
      </c>
      <c r="O801" s="66">
        <f>IF(OR($J801="Attempted",$J801="Revisit"),"DUE",IF($N801="","",IF($N801&lt;=TODAY(),"DUE","")))</f>
        <v/>
      </c>
      <c r="P801" s="66" t="n"/>
    </row>
    <row r="802">
      <c r="A802" s="66" t="n">
        <v>801</v>
      </c>
      <c r="B802" s="66" t="inlineStr">
        <is>
          <t>6. DP &amp; Closers - Core</t>
        </is>
      </c>
      <c r="C802" s="66" t="inlineStr">
        <is>
          <t>21. Dynamic Programming</t>
        </is>
      </c>
      <c r="D802" s="66" t="inlineStr">
        <is>
          <t>Squares in matrix</t>
        </is>
      </c>
      <c r="E802" s="66" t="inlineStr">
        <is>
          <t>Count Square Submatrices with All Ones</t>
        </is>
      </c>
      <c r="F802" s="66" t="inlineStr">
        <is>
          <t>Medium</t>
        </is>
      </c>
      <c r="G802" s="66" t="inlineStr">
        <is>
          <t>Core</t>
        </is>
      </c>
      <c r="H802" s="66" t="inlineStr">
        <is>
          <t>LeetCode</t>
        </is>
      </c>
      <c r="I802" s="66" t="inlineStr">
        <is>
          <t>https://leetcode.com/problems/count-square-submatrices-with-all-ones/</t>
        </is>
      </c>
      <c r="J802" s="66" t="inlineStr">
        <is>
          <t>Not Started</t>
        </is>
      </c>
      <c r="K802" s="66" t="n"/>
      <c r="L802" s="66" t="n"/>
      <c r="M802" s="72" t="n"/>
      <c r="N802" s="72">
        <f>IF($M802="","",$M802+IF($K802="",Dashboard!$M$9,INDEX(Dashboard!$M$5:$M$9,$K802)))</f>
        <v/>
      </c>
      <c r="O802" s="66">
        <f>IF(OR($J802="Attempted",$J802="Revisit"),"DUE",IF($N802="","",IF($N802&lt;=TODAY(),"DUE","")))</f>
        <v/>
      </c>
      <c r="P802" s="66" t="inlineStr">
        <is>
          <t>v3 addition</t>
        </is>
      </c>
    </row>
    <row r="803">
      <c r="A803" s="66" t="n">
        <v>802</v>
      </c>
      <c r="B803" s="66" t="inlineStr">
        <is>
          <t>6. DP &amp; Closers - Core</t>
        </is>
      </c>
      <c r="C803" s="66" t="inlineStr">
        <is>
          <t>21. Dynamic Programming</t>
        </is>
      </c>
      <c r="D803" s="66" t="inlineStr">
        <is>
          <t>String DP</t>
        </is>
      </c>
      <c r="E803" s="66" t="inlineStr">
        <is>
          <t>Longest Common Subsequence</t>
        </is>
      </c>
      <c r="F803" s="66" t="inlineStr">
        <is>
          <t>Medium</t>
        </is>
      </c>
      <c r="G803" s="66" t="inlineStr">
        <is>
          <t>Core</t>
        </is>
      </c>
      <c r="H803" s="66" t="inlineStr">
        <is>
          <t>LeetCode</t>
        </is>
      </c>
      <c r="I803" s="66" t="inlineStr">
        <is>
          <t>https://leetcode.com/problems/longest-common-subsequence/</t>
        </is>
      </c>
      <c r="J803" s="66" t="inlineStr">
        <is>
          <t>Not Started</t>
        </is>
      </c>
      <c r="K803" s="66" t="n"/>
      <c r="L803" s="66" t="n"/>
      <c r="M803" s="72" t="n"/>
      <c r="N803" s="72">
        <f>IF($M803="","",$M803+IF($K803="",Dashboard!$M$9,INDEX(Dashboard!$M$5:$M$9,$K803)))</f>
        <v/>
      </c>
      <c r="O803" s="66">
        <f>IF(OR($J803="Attempted",$J803="Revisit"),"DUE",IF($N803="","",IF($N803&lt;=TODAY(),"DUE","")))</f>
        <v/>
      </c>
      <c r="P803" s="66" t="inlineStr">
        <is>
          <t>v3 addition</t>
        </is>
      </c>
    </row>
    <row r="804">
      <c r="A804" s="66" t="n">
        <v>803</v>
      </c>
      <c r="B804" s="66" t="inlineStr">
        <is>
          <t>6. DP &amp; Closers - Core</t>
        </is>
      </c>
      <c r="C804" s="66" t="inlineStr">
        <is>
          <t>21. Dynamic Programming</t>
        </is>
      </c>
      <c r="D804" s="66" t="inlineStr">
        <is>
          <t>String DP</t>
        </is>
      </c>
      <c r="E804" s="66" t="inlineStr">
        <is>
          <t>Longest Common Substring</t>
        </is>
      </c>
      <c r="F804" s="66" t="inlineStr">
        <is>
          <t>Medium</t>
        </is>
      </c>
      <c r="G804" s="66" t="inlineStr">
        <is>
          <t>Core</t>
        </is>
      </c>
      <c r="H804" s="66" t="inlineStr">
        <is>
          <t>GeeksforGeeks</t>
        </is>
      </c>
      <c r="I804" s="66" t="inlineStr">
        <is>
          <t>https://www.geeksforgeeks.org/problems/longest-common-substring1452/1</t>
        </is>
      </c>
      <c r="J804" s="66" t="inlineStr">
        <is>
          <t>Not Started</t>
        </is>
      </c>
      <c r="K804" s="66" t="n"/>
      <c r="L804" s="66" t="n"/>
      <c r="M804" s="72" t="n"/>
      <c r="N804" s="72">
        <f>IF($M804="","",$M804+IF($K804="",Dashboard!$M$9,INDEX(Dashboard!$M$5:$M$9,$K804)))</f>
        <v/>
      </c>
      <c r="O804" s="66">
        <f>IF(OR($J804="Attempted",$J804="Revisit"),"DUE",IF($N804="","",IF($N804&lt;=TODAY(),"DUE","")))</f>
        <v/>
      </c>
      <c r="P804" s="66" t="inlineStr">
        <is>
          <t>v3 addition</t>
        </is>
      </c>
    </row>
    <row r="805">
      <c r="A805" s="66" t="n">
        <v>804</v>
      </c>
      <c r="B805" s="66" t="inlineStr">
        <is>
          <t>6. DP &amp; Closers - Core</t>
        </is>
      </c>
      <c r="C805" s="66" t="inlineStr">
        <is>
          <t>21. Dynamic Programming</t>
        </is>
      </c>
      <c r="D805" s="66" t="inlineStr">
        <is>
          <t>String DP</t>
        </is>
      </c>
      <c r="E805" s="66" t="inlineStr">
        <is>
          <t>Edit Distance</t>
        </is>
      </c>
      <c r="F805" s="66" t="inlineStr">
        <is>
          <t>Medium</t>
        </is>
      </c>
      <c r="G805" s="66" t="inlineStr">
        <is>
          <t>Core</t>
        </is>
      </c>
      <c r="H805" s="66" t="inlineStr">
        <is>
          <t>LeetCode</t>
        </is>
      </c>
      <c r="I805" s="66" t="inlineStr">
        <is>
          <t>https://leetcode.com/problems/edit-distance/</t>
        </is>
      </c>
      <c r="J805" s="66" t="inlineStr">
        <is>
          <t>Not Started</t>
        </is>
      </c>
      <c r="K805" s="66" t="n"/>
      <c r="L805" s="66" t="n"/>
      <c r="M805" s="72" t="n"/>
      <c r="N805" s="72">
        <f>IF($M805="","",$M805+IF($K805="",Dashboard!$M$9,INDEX(Dashboard!$M$5:$M$9,$K805)))</f>
        <v/>
      </c>
      <c r="O805" s="66">
        <f>IF(OR($J805="Attempted",$J805="Revisit"),"DUE",IF($N805="","",IF($N805&lt;=TODAY(),"DUE","")))</f>
        <v/>
      </c>
      <c r="P805" s="66" t="n"/>
    </row>
    <row r="806">
      <c r="A806" s="66" t="n">
        <v>805</v>
      </c>
      <c r="B806" s="66" t="inlineStr">
        <is>
          <t>6. DP &amp; Closers - Core</t>
        </is>
      </c>
      <c r="C806" s="66" t="inlineStr">
        <is>
          <t>21. Dynamic Programming</t>
        </is>
      </c>
      <c r="D806" s="66" t="inlineStr">
        <is>
          <t>Partition DP</t>
        </is>
      </c>
      <c r="E806" s="66" t="inlineStr">
        <is>
          <t>Partition Array for Maximum Sum</t>
        </is>
      </c>
      <c r="F806" s="66" t="inlineStr">
        <is>
          <t>Medium</t>
        </is>
      </c>
      <c r="G806" s="66" t="inlineStr">
        <is>
          <t>Core</t>
        </is>
      </c>
      <c r="H806" s="66" t="inlineStr">
        <is>
          <t>LeetCode</t>
        </is>
      </c>
      <c r="I806" s="66" t="inlineStr">
        <is>
          <t>https://leetcode.com/problems/partition-array-for-maximum-sum/</t>
        </is>
      </c>
      <c r="J806" s="66" t="inlineStr">
        <is>
          <t>Not Started</t>
        </is>
      </c>
      <c r="K806" s="66" t="n"/>
      <c r="L806" s="66" t="n"/>
      <c r="M806" s="72" t="n"/>
      <c r="N806" s="72">
        <f>IF($M806="","",$M806+IF($K806="",Dashboard!$M$9,INDEX(Dashboard!$M$5:$M$9,$K806)))</f>
        <v/>
      </c>
      <c r="O806" s="66">
        <f>IF(OR($J806="Attempted",$J806="Revisit"),"DUE",IF($N806="","",IF($N806&lt;=TODAY(),"DUE","")))</f>
        <v/>
      </c>
      <c r="P806" s="66" t="n"/>
    </row>
    <row r="807">
      <c r="A807" s="66" t="n">
        <v>806</v>
      </c>
      <c r="B807" s="66" t="inlineStr">
        <is>
          <t>6. DP &amp; Closers - Core</t>
        </is>
      </c>
      <c r="C807" s="66" t="inlineStr">
        <is>
          <t>21. Dynamic Programming</t>
        </is>
      </c>
      <c r="D807" s="66" t="inlineStr">
        <is>
          <t>DP on trees</t>
        </is>
      </c>
      <c r="E807" s="66" t="inlineStr">
        <is>
          <t>House Robber III</t>
        </is>
      </c>
      <c r="F807" s="66" t="inlineStr">
        <is>
          <t>Medium</t>
        </is>
      </c>
      <c r="G807" s="66" t="inlineStr">
        <is>
          <t>Core</t>
        </is>
      </c>
      <c r="H807" s="66" t="inlineStr">
        <is>
          <t>LeetCode</t>
        </is>
      </c>
      <c r="I807" s="66" t="inlineStr">
        <is>
          <t>https://leetcode.com/problems/house-robber-iii/</t>
        </is>
      </c>
      <c r="J807" s="66" t="inlineStr">
        <is>
          <t>Not Started</t>
        </is>
      </c>
      <c r="K807" s="66" t="n"/>
      <c r="L807" s="66" t="n"/>
      <c r="M807" s="72" t="n"/>
      <c r="N807" s="72">
        <f>IF($M807="","",$M807+IF($K807="",Dashboard!$M$9,INDEX(Dashboard!$M$5:$M$9,$K807)))</f>
        <v/>
      </c>
      <c r="O807" s="66">
        <f>IF(OR($J807="Attempted",$J807="Revisit"),"DUE",IF($N807="","",IF($N807&lt;=TODAY(),"DUE","")))</f>
        <v/>
      </c>
      <c r="P807" s="66" t="n"/>
    </row>
    <row r="808">
      <c r="A808" s="66" t="n">
        <v>807</v>
      </c>
      <c r="B808" s="66" t="inlineStr">
        <is>
          <t>6. DP &amp; Closers - Core</t>
        </is>
      </c>
      <c r="C808" s="66" t="inlineStr">
        <is>
          <t>21. Dynamic Programming</t>
        </is>
      </c>
      <c r="D808" s="66" t="inlineStr">
        <is>
          <t>Game DP</t>
        </is>
      </c>
      <c r="E808" s="66" t="inlineStr">
        <is>
          <t>Nim Game</t>
        </is>
      </c>
      <c r="F808" s="66" t="inlineStr">
        <is>
          <t>Easy</t>
        </is>
      </c>
      <c r="G808" s="66" t="inlineStr">
        <is>
          <t>Core</t>
        </is>
      </c>
      <c r="H808" s="66" t="inlineStr">
        <is>
          <t>LeetCode</t>
        </is>
      </c>
      <c r="I808" s="66" t="inlineStr">
        <is>
          <t>https://leetcode.com/problems/nim-game/</t>
        </is>
      </c>
      <c r="J808" s="66" t="inlineStr">
        <is>
          <t>Not Started</t>
        </is>
      </c>
      <c r="K808" s="66" t="n"/>
      <c r="L808" s="66" t="n"/>
      <c r="M808" s="72" t="n"/>
      <c r="N808" s="72">
        <f>IF($M808="","",$M808+IF($K808="",Dashboard!$M$9,INDEX(Dashboard!$M$5:$M$9,$K808)))</f>
        <v/>
      </c>
      <c r="O808" s="66">
        <f>IF(OR($J808="Attempted",$J808="Revisit"),"DUE",IF($N808="","",IF($N808&lt;=TODAY(),"DUE","")))</f>
        <v/>
      </c>
      <c r="P808" s="66" t="n"/>
    </row>
    <row r="809">
      <c r="A809" s="66" t="n">
        <v>808</v>
      </c>
      <c r="B809" s="66" t="inlineStr">
        <is>
          <t>6. DP &amp; Closers - Core</t>
        </is>
      </c>
      <c r="C809" s="66" t="inlineStr">
        <is>
          <t>21. Dynamic Programming</t>
        </is>
      </c>
      <c r="D809" s="66" t="inlineStr">
        <is>
          <t>Game DP</t>
        </is>
      </c>
      <c r="E809" s="66" t="inlineStr">
        <is>
          <t>Stone Game</t>
        </is>
      </c>
      <c r="F809" s="66" t="inlineStr">
        <is>
          <t>Medium</t>
        </is>
      </c>
      <c r="G809" s="66" t="inlineStr">
        <is>
          <t>Core</t>
        </is>
      </c>
      <c r="H809" s="66" t="inlineStr">
        <is>
          <t>LeetCode</t>
        </is>
      </c>
      <c r="I809" s="66" t="inlineStr">
        <is>
          <t>https://leetcode.com/problems/stone-game/</t>
        </is>
      </c>
      <c r="J809" s="66" t="inlineStr">
        <is>
          <t>Not Started</t>
        </is>
      </c>
      <c r="K809" s="66" t="n"/>
      <c r="L809" s="66" t="n"/>
      <c r="M809" s="72" t="n"/>
      <c r="N809" s="72">
        <f>IF($M809="","",$M809+IF($K809="",Dashboard!$M$9,INDEX(Dashboard!$M$5:$M$9,$K809)))</f>
        <v/>
      </c>
      <c r="O809" s="66">
        <f>IF(OR($J809="Attempted",$J809="Revisit"),"DUE",IF($N809="","",IF($N809&lt;=TODAY(),"DUE","")))</f>
        <v/>
      </c>
      <c r="P809" s="66" t="inlineStr">
        <is>
          <t>v3 addition</t>
        </is>
      </c>
    </row>
    <row r="810">
      <c r="A810" s="66" t="n">
        <v>809</v>
      </c>
      <c r="B810" s="66" t="inlineStr">
        <is>
          <t>6. DP &amp; Closers - Core</t>
        </is>
      </c>
      <c r="C810" s="66" t="inlineStr">
        <is>
          <t>21. Dynamic Programming</t>
        </is>
      </c>
      <c r="D810" s="66" t="inlineStr">
        <is>
          <t>Game DP</t>
        </is>
      </c>
      <c r="E810" s="66" t="inlineStr">
        <is>
          <t>Predict the Winner</t>
        </is>
      </c>
      <c r="F810" s="66" t="inlineStr">
        <is>
          <t>Medium</t>
        </is>
      </c>
      <c r="G810" s="66" t="inlineStr">
        <is>
          <t>Core</t>
        </is>
      </c>
      <c r="H810" s="66" t="inlineStr">
        <is>
          <t>LeetCode</t>
        </is>
      </c>
      <c r="I810" s="66" t="inlineStr">
        <is>
          <t>https://leetcode.com/problems/predict-the-winner/</t>
        </is>
      </c>
      <c r="J810" s="66" t="inlineStr">
        <is>
          <t>Not Started</t>
        </is>
      </c>
      <c r="K810" s="66" t="n"/>
      <c r="L810" s="66" t="n"/>
      <c r="M810" s="72" t="n"/>
      <c r="N810" s="72">
        <f>IF($M810="","",$M810+IF($K810="",Dashboard!$M$9,INDEX(Dashboard!$M$5:$M$9,$K810)))</f>
        <v/>
      </c>
      <c r="O810" s="66">
        <f>IF(OR($J810="Attempted",$J810="Revisit"),"DUE",IF($N810="","",IF($N810&lt;=TODAY(),"DUE","")))</f>
        <v/>
      </c>
      <c r="P810" s="66" t="inlineStr">
        <is>
          <t>v3 addition</t>
        </is>
      </c>
    </row>
    <row r="811">
      <c r="A811" s="66" t="n">
        <v>810</v>
      </c>
      <c r="B811" s="66" t="inlineStr">
        <is>
          <t>6. DP &amp; Closers - Core</t>
        </is>
      </c>
      <c r="C811" s="66" t="inlineStr">
        <is>
          <t>21. Dynamic Programming</t>
        </is>
      </c>
      <c r="D811" s="66" t="inlineStr">
        <is>
          <t>Counting DP</t>
        </is>
      </c>
      <c r="E811" s="66" t="inlineStr">
        <is>
          <t>Number of Dice Rolls With Target Sum</t>
        </is>
      </c>
      <c r="F811" s="66" t="inlineStr">
        <is>
          <t>Medium</t>
        </is>
      </c>
      <c r="G811" s="66" t="inlineStr">
        <is>
          <t>Core</t>
        </is>
      </c>
      <c r="H811" s="66" t="inlineStr">
        <is>
          <t>LeetCode</t>
        </is>
      </c>
      <c r="I811" s="66" t="inlineStr">
        <is>
          <t>https://leetcode.com/problems/number-of-dice-rolls-with-target-sum/</t>
        </is>
      </c>
      <c r="J811" s="66" t="inlineStr">
        <is>
          <t>Not Started</t>
        </is>
      </c>
      <c r="K811" s="66" t="n"/>
      <c r="L811" s="66" t="n"/>
      <c r="M811" s="72" t="n"/>
      <c r="N811" s="72">
        <f>IF($M811="","",$M811+IF($K811="",Dashboard!$M$9,INDEX(Dashboard!$M$5:$M$9,$K811)))</f>
        <v/>
      </c>
      <c r="O811" s="66">
        <f>IF(OR($J811="Attempted",$J811="Revisit"),"DUE",IF($N811="","",IF($N811&lt;=TODAY(),"DUE","")))</f>
        <v/>
      </c>
      <c r="P811" s="66" t="inlineStr">
        <is>
          <t>v3 addition</t>
        </is>
      </c>
    </row>
    <row r="812">
      <c r="A812" s="66" t="n">
        <v>811</v>
      </c>
      <c r="B812" s="66" t="inlineStr">
        <is>
          <t>6. DP &amp; Closers - Core</t>
        </is>
      </c>
      <c r="C812" s="66" t="inlineStr">
        <is>
          <t>21. Dynamic Programming</t>
        </is>
      </c>
      <c r="D812" s="66" t="inlineStr">
        <is>
          <t>Counting DP</t>
        </is>
      </c>
      <c r="E812" s="66" t="inlineStr">
        <is>
          <t>Knight Probability in Chessboard</t>
        </is>
      </c>
      <c r="F812" s="66" t="inlineStr">
        <is>
          <t>Medium</t>
        </is>
      </c>
      <c r="G812" s="66" t="inlineStr">
        <is>
          <t>Core</t>
        </is>
      </c>
      <c r="H812" s="66" t="inlineStr">
        <is>
          <t>LeetCode</t>
        </is>
      </c>
      <c r="I812" s="66" t="inlineStr">
        <is>
          <t>https://leetcode.com/problems/knight-probability-in-chessboard/</t>
        </is>
      </c>
      <c r="J812" s="66" t="inlineStr">
        <is>
          <t>Not Started</t>
        </is>
      </c>
      <c r="K812" s="66" t="n"/>
      <c r="L812" s="66" t="n"/>
      <c r="M812" s="72" t="n"/>
      <c r="N812" s="72">
        <f>IF($M812="","",$M812+IF($K812="",Dashboard!$M$9,INDEX(Dashboard!$M$5:$M$9,$K812)))</f>
        <v/>
      </c>
      <c r="O812" s="66">
        <f>IF(OR($J812="Attempted",$J812="Revisit"),"DUE",IF($N812="","",IF($N812&lt;=TODAY(),"DUE","")))</f>
        <v/>
      </c>
      <c r="P812" s="66" t="inlineStr">
        <is>
          <t>v3 addition</t>
        </is>
      </c>
    </row>
    <row r="813">
      <c r="A813" s="66" t="n">
        <v>812</v>
      </c>
      <c r="B813" s="66" t="inlineStr">
        <is>
          <t>6. DP &amp; Closers - Core</t>
        </is>
      </c>
      <c r="C813" s="66" t="inlineStr">
        <is>
          <t>22. Design</t>
        </is>
      </c>
      <c r="D813" s="66" t="inlineStr">
        <is>
          <t>Hash structures</t>
        </is>
      </c>
      <c r="E813" s="66" t="inlineStr">
        <is>
          <t>Design HashMap</t>
        </is>
      </c>
      <c r="F813" s="66" t="inlineStr">
        <is>
          <t>Easy</t>
        </is>
      </c>
      <c r="G813" s="66" t="inlineStr">
        <is>
          <t>Core</t>
        </is>
      </c>
      <c r="H813" s="66" t="inlineStr">
        <is>
          <t>LeetCode</t>
        </is>
      </c>
      <c r="I813" s="66" t="inlineStr">
        <is>
          <t>https://leetcode.com/problems/design-hashmap/</t>
        </is>
      </c>
      <c r="J813" s="66" t="inlineStr">
        <is>
          <t>Not Started</t>
        </is>
      </c>
      <c r="K813" s="66" t="n"/>
      <c r="L813" s="66" t="n"/>
      <c r="M813" s="72" t="n"/>
      <c r="N813" s="72">
        <f>IF($M813="","",$M813+IF($K813="",Dashboard!$M$9,INDEX(Dashboard!$M$5:$M$9,$K813)))</f>
        <v/>
      </c>
      <c r="O813" s="66">
        <f>IF(OR($J813="Attempted",$J813="Revisit"),"DUE",IF($N813="","",IF($N813&lt;=TODAY(),"DUE","")))</f>
        <v/>
      </c>
      <c r="P813" s="66" t="n"/>
    </row>
    <row r="814">
      <c r="A814" s="66" t="n">
        <v>813</v>
      </c>
      <c r="B814" s="66" t="inlineStr">
        <is>
          <t>6. DP &amp; Closers - Core</t>
        </is>
      </c>
      <c r="C814" s="66" t="inlineStr">
        <is>
          <t>22. Design</t>
        </is>
      </c>
      <c r="D814" s="66" t="inlineStr">
        <is>
          <t>Hash structures</t>
        </is>
      </c>
      <c r="E814" s="66" t="inlineStr">
        <is>
          <t>Design HashSet</t>
        </is>
      </c>
      <c r="F814" s="66" t="inlineStr">
        <is>
          <t>Easy</t>
        </is>
      </c>
      <c r="G814" s="66" t="inlineStr">
        <is>
          <t>Core</t>
        </is>
      </c>
      <c r="H814" s="66" t="inlineStr">
        <is>
          <t>LeetCode</t>
        </is>
      </c>
      <c r="I814" s="66" t="inlineStr">
        <is>
          <t>https://leetcode.com/problems/design-hashset/</t>
        </is>
      </c>
      <c r="J814" s="66" t="inlineStr">
        <is>
          <t>Not Started</t>
        </is>
      </c>
      <c r="K814" s="66" t="n"/>
      <c r="L814" s="66" t="n"/>
      <c r="M814" s="72" t="n"/>
      <c r="N814" s="72">
        <f>IF($M814="","",$M814+IF($K814="",Dashboard!$M$9,INDEX(Dashboard!$M$5:$M$9,$K814)))</f>
        <v/>
      </c>
      <c r="O814" s="66">
        <f>IF(OR($J814="Attempted",$J814="Revisit"),"DUE",IF($N814="","",IF($N814&lt;=TODAY(),"DUE","")))</f>
        <v/>
      </c>
      <c r="P814" s="66" t="n"/>
    </row>
    <row r="815">
      <c r="A815" s="66" t="n">
        <v>814</v>
      </c>
      <c r="B815" s="66" t="inlineStr">
        <is>
          <t>6. DP &amp; Closers - Core</t>
        </is>
      </c>
      <c r="C815" s="66" t="inlineStr">
        <is>
          <t>22. Design</t>
        </is>
      </c>
      <c r="D815" s="66" t="inlineStr">
        <is>
          <t>Cache</t>
        </is>
      </c>
      <c r="E815" s="66" t="inlineStr">
        <is>
          <t>LRU Cache</t>
        </is>
      </c>
      <c r="F815" s="66" t="inlineStr">
        <is>
          <t>Medium</t>
        </is>
      </c>
      <c r="G815" s="66" t="inlineStr">
        <is>
          <t>Core</t>
        </is>
      </c>
      <c r="H815" s="66" t="inlineStr">
        <is>
          <t>LeetCode</t>
        </is>
      </c>
      <c r="I815" s="66" t="inlineStr">
        <is>
          <t>https://leetcode.com/problems/lru-cache/</t>
        </is>
      </c>
      <c r="J815" s="66" t="inlineStr">
        <is>
          <t>Not Started</t>
        </is>
      </c>
      <c r="K815" s="66" t="n"/>
      <c r="L815" s="66" t="n"/>
      <c r="M815" s="72" t="n"/>
      <c r="N815" s="72">
        <f>IF($M815="","",$M815+IF($K815="",Dashboard!$M$9,INDEX(Dashboard!$M$5:$M$9,$K815)))</f>
        <v/>
      </c>
      <c r="O815" s="66">
        <f>IF(OR($J815="Attempted",$J815="Revisit"),"DUE",IF($N815="","",IF($N815&lt;=TODAY(),"DUE","")))</f>
        <v/>
      </c>
      <c r="P815" s="66" t="n"/>
    </row>
    <row r="816">
      <c r="A816" s="66" t="n">
        <v>815</v>
      </c>
      <c r="B816" s="66" t="inlineStr">
        <is>
          <t>6. DP &amp; Closers - Core</t>
        </is>
      </c>
      <c r="C816" s="66" t="inlineStr">
        <is>
          <t>22. Design</t>
        </is>
      </c>
      <c r="D816" s="66" t="inlineStr">
        <is>
          <t>Systems</t>
        </is>
      </c>
      <c r="E816" s="66" t="inlineStr">
        <is>
          <t>Design Parking System</t>
        </is>
      </c>
      <c r="F816" s="66" t="inlineStr">
        <is>
          <t>Easy</t>
        </is>
      </c>
      <c r="G816" s="66" t="inlineStr">
        <is>
          <t>Core</t>
        </is>
      </c>
      <c r="H816" s="66" t="inlineStr">
        <is>
          <t>LeetCode</t>
        </is>
      </c>
      <c r="I816" s="66" t="inlineStr">
        <is>
          <t>https://leetcode.com/problems/design-parking-system/</t>
        </is>
      </c>
      <c r="J816" s="66" t="inlineStr">
        <is>
          <t>Not Started</t>
        </is>
      </c>
      <c r="K816" s="66" t="n"/>
      <c r="L816" s="66" t="n"/>
      <c r="M816" s="72" t="n"/>
      <c r="N816" s="72">
        <f>IF($M816="","",$M816+IF($K816="",Dashboard!$M$9,INDEX(Dashboard!$M$5:$M$9,$K816)))</f>
        <v/>
      </c>
      <c r="O816" s="66">
        <f>IF(OR($J816="Attempted",$J816="Revisit"),"DUE",IF($N816="","",IF($N816&lt;=TODAY(),"DUE","")))</f>
        <v/>
      </c>
      <c r="P816" s="66" t="n"/>
    </row>
    <row r="817">
      <c r="A817" s="66" t="n">
        <v>816</v>
      </c>
      <c r="B817" s="66" t="inlineStr">
        <is>
          <t>6. DP &amp; Closers - Core</t>
        </is>
      </c>
      <c r="C817" s="66" t="inlineStr">
        <is>
          <t>22. Design</t>
        </is>
      </c>
      <c r="D817" s="66" t="inlineStr">
        <is>
          <t>Systems</t>
        </is>
      </c>
      <c r="E817" s="66" t="inlineStr">
        <is>
          <t>Design Twitter</t>
        </is>
      </c>
      <c r="F817" s="66" t="inlineStr">
        <is>
          <t>Medium</t>
        </is>
      </c>
      <c r="G817" s="66" t="inlineStr">
        <is>
          <t>Core</t>
        </is>
      </c>
      <c r="H817" s="66" t="inlineStr">
        <is>
          <t>LeetCode</t>
        </is>
      </c>
      <c r="I817" s="66" t="inlineStr">
        <is>
          <t>https://leetcode.com/problems/design-twitter/</t>
        </is>
      </c>
      <c r="J817" s="66" t="inlineStr">
        <is>
          <t>Not Started</t>
        </is>
      </c>
      <c r="K817" s="66" t="n"/>
      <c r="L817" s="66" t="n"/>
      <c r="M817" s="72" t="n"/>
      <c r="N817" s="72">
        <f>IF($M817="","",$M817+IF($K817="",Dashboard!$M$9,INDEX(Dashboard!$M$5:$M$9,$K817)))</f>
        <v/>
      </c>
      <c r="O817" s="66">
        <f>IF(OR($J817="Attempted",$J817="Revisit"),"DUE",IF($N817="","",IF($N817&lt;=TODAY(),"DUE","")))</f>
        <v/>
      </c>
      <c r="P817" s="66" t="n"/>
    </row>
    <row r="818">
      <c r="A818" s="66" t="n">
        <v>817</v>
      </c>
      <c r="B818" s="66" t="inlineStr">
        <is>
          <t>6. DP &amp; Closers - Core</t>
        </is>
      </c>
      <c r="C818" s="66" t="inlineStr">
        <is>
          <t>22. Design</t>
        </is>
      </c>
      <c r="D818" s="66" t="inlineStr">
        <is>
          <t>Systems</t>
        </is>
      </c>
      <c r="E818" s="66" t="inlineStr">
        <is>
          <t>Design Underground System</t>
        </is>
      </c>
      <c r="F818" s="66" t="inlineStr">
        <is>
          <t>Medium</t>
        </is>
      </c>
      <c r="G818" s="66" t="inlineStr">
        <is>
          <t>Core</t>
        </is>
      </c>
      <c r="H818" s="66" t="inlineStr">
        <is>
          <t>LeetCode</t>
        </is>
      </c>
      <c r="I818" s="66" t="inlineStr">
        <is>
          <t>https://leetcode.com/problems/design-underground-system/</t>
        </is>
      </c>
      <c r="J818" s="66" t="inlineStr">
        <is>
          <t>Not Started</t>
        </is>
      </c>
      <c r="K818" s="66" t="n"/>
      <c r="L818" s="66" t="n"/>
      <c r="M818" s="72" t="n"/>
      <c r="N818" s="72">
        <f>IF($M818="","",$M818+IF($K818="",Dashboard!$M$9,INDEX(Dashboard!$M$5:$M$9,$K818)))</f>
        <v/>
      </c>
      <c r="O818" s="66">
        <f>IF(OR($J818="Attempted",$J818="Revisit"),"DUE",IF($N818="","",IF($N818&lt;=TODAY(),"DUE","")))</f>
        <v/>
      </c>
      <c r="P818" s="66" t="n"/>
    </row>
    <row r="819">
      <c r="A819" s="66" t="n">
        <v>818</v>
      </c>
      <c r="B819" s="66" t="inlineStr">
        <is>
          <t>6. DP &amp; Closers - Core</t>
        </is>
      </c>
      <c r="C819" s="66" t="inlineStr">
        <is>
          <t>22. Design</t>
        </is>
      </c>
      <c r="D819" s="66" t="inlineStr">
        <is>
          <t>Versioned data</t>
        </is>
      </c>
      <c r="E819" s="66" t="inlineStr">
        <is>
          <t>Time Based Key-Value Store</t>
        </is>
      </c>
      <c r="F819" s="66" t="inlineStr">
        <is>
          <t>Medium</t>
        </is>
      </c>
      <c r="G819" s="66" t="inlineStr">
        <is>
          <t>Core</t>
        </is>
      </c>
      <c r="H819" s="66" t="inlineStr">
        <is>
          <t>LeetCode</t>
        </is>
      </c>
      <c r="I819" s="66" t="inlineStr">
        <is>
          <t>https://leetcode.com/problems/time-based-key-value-store/</t>
        </is>
      </c>
      <c r="J819" s="66" t="inlineStr">
        <is>
          <t>Not Started</t>
        </is>
      </c>
      <c r="K819" s="66" t="n"/>
      <c r="L819" s="66" t="n"/>
      <c r="M819" s="72" t="n"/>
      <c r="N819" s="72">
        <f>IF($M819="","",$M819+IF($K819="",Dashboard!$M$9,INDEX(Dashboard!$M$5:$M$9,$K819)))</f>
        <v/>
      </c>
      <c r="O819" s="66">
        <f>IF(OR($J819="Attempted",$J819="Revisit"),"DUE",IF($N819="","",IF($N819&lt;=TODAY(),"DUE","")))</f>
        <v/>
      </c>
      <c r="P819" s="66" t="n"/>
    </row>
    <row r="820">
      <c r="A820" s="66" t="n">
        <v>819</v>
      </c>
      <c r="B820" s="66" t="inlineStr">
        <is>
          <t>6. DP &amp; Closers - Core</t>
        </is>
      </c>
      <c r="C820" s="66" t="inlineStr">
        <is>
          <t>22. Design</t>
        </is>
      </c>
      <c r="D820" s="66" t="inlineStr">
        <is>
          <t>Versioned data</t>
        </is>
      </c>
      <c r="E820" s="66" t="inlineStr">
        <is>
          <t>Snapshot Array</t>
        </is>
      </c>
      <c r="F820" s="66" t="inlineStr">
        <is>
          <t>Medium</t>
        </is>
      </c>
      <c r="G820" s="66" t="inlineStr">
        <is>
          <t>Core</t>
        </is>
      </c>
      <c r="H820" s="66" t="inlineStr">
        <is>
          <t>LeetCode</t>
        </is>
      </c>
      <c r="I820" s="66" t="inlineStr">
        <is>
          <t>https://leetcode.com/problems/snapshot-array/</t>
        </is>
      </c>
      <c r="J820" s="66" t="inlineStr">
        <is>
          <t>Not Started</t>
        </is>
      </c>
      <c r="K820" s="66" t="n"/>
      <c r="L820" s="66" t="n"/>
      <c r="M820" s="72" t="n"/>
      <c r="N820" s="72">
        <f>IF($M820="","",$M820+IF($K820="",Dashboard!$M$9,INDEX(Dashboard!$M$5:$M$9,$K820)))</f>
        <v/>
      </c>
      <c r="O820" s="66">
        <f>IF(OR($J820="Attempted",$J820="Revisit"),"DUE",IF($N820="","",IF($N820&lt;=TODAY(),"DUE","")))</f>
        <v/>
      </c>
      <c r="P820" s="66" t="n"/>
    </row>
    <row r="821">
      <c r="A821" s="66" t="n">
        <v>820</v>
      </c>
      <c r="B821" s="66" t="inlineStr">
        <is>
          <t>6. DP &amp; Closers - Depth</t>
        </is>
      </c>
      <c r="C821" s="66" t="inlineStr">
        <is>
          <t>21. Dynamic Programming</t>
        </is>
      </c>
      <c r="D821" s="66" t="inlineStr">
        <is>
          <t>1D DP</t>
        </is>
      </c>
      <c r="E821" s="66" t="inlineStr">
        <is>
          <t>Frog Jump</t>
        </is>
      </c>
      <c r="F821" s="66" t="inlineStr">
        <is>
          <t>Medium</t>
        </is>
      </c>
      <c r="G821" s="66" t="inlineStr">
        <is>
          <t>Depth</t>
        </is>
      </c>
      <c r="H821" s="66" t="inlineStr">
        <is>
          <t>GeeksforGeeks</t>
        </is>
      </c>
      <c r="I821" s="66" t="inlineStr">
        <is>
          <t>https://www.geeksforgeeks.org/problems/geek-jump/1</t>
        </is>
      </c>
      <c r="J821" s="66" t="inlineStr">
        <is>
          <t>Not Started</t>
        </is>
      </c>
      <c r="K821" s="66" t="n"/>
      <c r="L821" s="66" t="n"/>
      <c r="M821" s="72" t="n"/>
      <c r="N821" s="72">
        <f>IF($M821="","",$M821+IF($K821="",Dashboard!$M$9,INDEX(Dashboard!$M$5:$M$9,$K821)))</f>
        <v/>
      </c>
      <c r="O821" s="66">
        <f>IF(OR($J821="Attempted",$J821="Revisit"),"DUE",IF($N821="","",IF($N821&lt;=TODAY(),"DUE","")))</f>
        <v/>
      </c>
      <c r="P821" s="66" t="n"/>
    </row>
    <row r="822">
      <c r="A822" s="66" t="n">
        <v>821</v>
      </c>
      <c r="B822" s="66" t="inlineStr">
        <is>
          <t>6. DP &amp; Closers - Depth</t>
        </is>
      </c>
      <c r="C822" s="66" t="inlineStr">
        <is>
          <t>21. Dynamic Programming</t>
        </is>
      </c>
      <c r="D822" s="66" t="inlineStr">
        <is>
          <t>1D DP</t>
        </is>
      </c>
      <c r="E822" s="66" t="inlineStr">
        <is>
          <t>Maximum Sum of Non-Adjacent Elements</t>
        </is>
      </c>
      <c r="F822" s="66" t="inlineStr">
        <is>
          <t>Medium</t>
        </is>
      </c>
      <c r="G822" s="66" t="inlineStr">
        <is>
          <t>Depth</t>
        </is>
      </c>
      <c r="H822" s="66" t="inlineStr">
        <is>
          <t>GeeksforGeeks</t>
        </is>
      </c>
      <c r="I822" s="66" t="inlineStr">
        <is>
          <t>https://www.geeksforgeeks.org/problems/max-sum-without-adjacents2430/1</t>
        </is>
      </c>
      <c r="J822" s="66" t="inlineStr">
        <is>
          <t>Not Started</t>
        </is>
      </c>
      <c r="K822" s="66" t="n"/>
      <c r="L822" s="66" t="n"/>
      <c r="M822" s="72" t="n"/>
      <c r="N822" s="72">
        <f>IF($M822="","",$M822+IF($K822="",Dashboard!$M$9,INDEX(Dashboard!$M$5:$M$9,$K822)))</f>
        <v/>
      </c>
      <c r="O822" s="66">
        <f>IF(OR($J822="Attempted",$J822="Revisit"),"DUE",IF($N822="","",IF($N822&lt;=TODAY(),"DUE","")))</f>
        <v/>
      </c>
      <c r="P822" s="66" t="n"/>
    </row>
    <row r="823">
      <c r="A823" s="66" t="n">
        <v>822</v>
      </c>
      <c r="B823" s="66" t="inlineStr">
        <is>
          <t>6. DP &amp; Closers - Depth</t>
        </is>
      </c>
      <c r="C823" s="66" t="inlineStr">
        <is>
          <t>21. Dynamic Programming</t>
        </is>
      </c>
      <c r="D823" s="66" t="inlineStr">
        <is>
          <t>1D DP</t>
        </is>
      </c>
      <c r="E823" s="66" t="inlineStr">
        <is>
          <t>Delete and Earn</t>
        </is>
      </c>
      <c r="F823" s="66" t="inlineStr">
        <is>
          <t>Medium</t>
        </is>
      </c>
      <c r="G823" s="66" t="inlineStr">
        <is>
          <t>Depth</t>
        </is>
      </c>
      <c r="H823" s="66" t="inlineStr">
        <is>
          <t>LeetCode</t>
        </is>
      </c>
      <c r="I823" s="66" t="inlineStr">
        <is>
          <t>https://leetcode.com/problems/delete-and-earn/</t>
        </is>
      </c>
      <c r="J823" s="66" t="inlineStr">
        <is>
          <t>Not Started</t>
        </is>
      </c>
      <c r="K823" s="66" t="n"/>
      <c r="L823" s="66" t="n"/>
      <c r="M823" s="72" t="n"/>
      <c r="N823" s="72">
        <f>IF($M823="","",$M823+IF($K823="",Dashboard!$M$9,INDEX(Dashboard!$M$5:$M$9,$K823)))</f>
        <v/>
      </c>
      <c r="O823" s="66">
        <f>IF(OR($J823="Attempted",$J823="Revisit"),"DUE",IF($N823="","",IF($N823&lt;=TODAY(),"DUE","")))</f>
        <v/>
      </c>
      <c r="P823" s="66" t="n"/>
    </row>
    <row r="824">
      <c r="A824" s="66" t="n">
        <v>823</v>
      </c>
      <c r="B824" s="66" t="inlineStr">
        <is>
          <t>6. DP &amp; Closers - Depth</t>
        </is>
      </c>
      <c r="C824" s="66" t="inlineStr">
        <is>
          <t>21. Dynamic Programming</t>
        </is>
      </c>
      <c r="D824" s="66" t="inlineStr">
        <is>
          <t>Grid DP</t>
        </is>
      </c>
      <c r="E824" s="66" t="inlineStr">
        <is>
          <t>Minimum Path Sum</t>
        </is>
      </c>
      <c r="F824" s="66" t="inlineStr">
        <is>
          <t>Medium</t>
        </is>
      </c>
      <c r="G824" s="66" t="inlineStr">
        <is>
          <t>Depth</t>
        </is>
      </c>
      <c r="H824" s="66" t="inlineStr">
        <is>
          <t>LeetCode</t>
        </is>
      </c>
      <c r="I824" s="66" t="inlineStr">
        <is>
          <t>https://leetcode.com/problems/minimum-path-sum/</t>
        </is>
      </c>
      <c r="J824" s="66" t="inlineStr">
        <is>
          <t>Not Started</t>
        </is>
      </c>
      <c r="K824" s="66" t="n"/>
      <c r="L824" s="66" t="n"/>
      <c r="M824" s="72" t="n"/>
      <c r="N824" s="72">
        <f>IF($M824="","",$M824+IF($K824="",Dashboard!$M$9,INDEX(Dashboard!$M$5:$M$9,$K824)))</f>
        <v/>
      </c>
      <c r="O824" s="66">
        <f>IF(OR($J824="Attempted",$J824="Revisit"),"DUE",IF($N824="","",IF($N824&lt;=TODAY(),"DUE","")))</f>
        <v/>
      </c>
      <c r="P824" s="66" t="inlineStr">
        <is>
          <t>v3 addition</t>
        </is>
      </c>
    </row>
    <row r="825">
      <c r="A825" s="66" t="n">
        <v>824</v>
      </c>
      <c r="B825" s="66" t="inlineStr">
        <is>
          <t>6. DP &amp; Closers - Depth</t>
        </is>
      </c>
      <c r="C825" s="66" t="inlineStr">
        <is>
          <t>21. Dynamic Programming</t>
        </is>
      </c>
      <c r="D825" s="66" t="inlineStr">
        <is>
          <t>Grid DP</t>
        </is>
      </c>
      <c r="E825" s="66" t="inlineStr">
        <is>
          <t>Triangle</t>
        </is>
      </c>
      <c r="F825" s="66" t="inlineStr">
        <is>
          <t>Medium</t>
        </is>
      </c>
      <c r="G825" s="66" t="inlineStr">
        <is>
          <t>Depth</t>
        </is>
      </c>
      <c r="H825" s="66" t="inlineStr">
        <is>
          <t>LeetCode</t>
        </is>
      </c>
      <c r="I825" s="66" t="inlineStr">
        <is>
          <t>https://leetcode.com/problems/triangle/</t>
        </is>
      </c>
      <c r="J825" s="66" t="inlineStr">
        <is>
          <t>Not Started</t>
        </is>
      </c>
      <c r="K825" s="66" t="n"/>
      <c r="L825" s="66" t="n"/>
      <c r="M825" s="72" t="n"/>
      <c r="N825" s="72">
        <f>IF($M825="","",$M825+IF($K825="",Dashboard!$M$9,INDEX(Dashboard!$M$5:$M$9,$K825)))</f>
        <v/>
      </c>
      <c r="O825" s="66">
        <f>IF(OR($J825="Attempted",$J825="Revisit"),"DUE",IF($N825="","",IF($N825&lt;=TODAY(),"DUE","")))</f>
        <v/>
      </c>
      <c r="P825" s="66" t="inlineStr">
        <is>
          <t>v3 addition</t>
        </is>
      </c>
    </row>
    <row r="826">
      <c r="A826" s="66" t="n">
        <v>825</v>
      </c>
      <c r="B826" s="66" t="inlineStr">
        <is>
          <t>6. DP &amp; Closers - Depth</t>
        </is>
      </c>
      <c r="C826" s="66" t="inlineStr">
        <is>
          <t>21. Dynamic Programming</t>
        </is>
      </c>
      <c r="D826" s="66" t="inlineStr">
        <is>
          <t>Grid DP</t>
        </is>
      </c>
      <c r="E826" s="66" t="inlineStr">
        <is>
          <t>Minimum Falling Path Sum</t>
        </is>
      </c>
      <c r="F826" s="66" t="inlineStr">
        <is>
          <t>Medium</t>
        </is>
      </c>
      <c r="G826" s="66" t="inlineStr">
        <is>
          <t>Depth</t>
        </is>
      </c>
      <c r="H826" s="66" t="inlineStr">
        <is>
          <t>LeetCode</t>
        </is>
      </c>
      <c r="I826" s="66" t="inlineStr">
        <is>
          <t>https://leetcode.com/problems/minimum-falling-path-sum/</t>
        </is>
      </c>
      <c r="J826" s="66" t="inlineStr">
        <is>
          <t>Not Started</t>
        </is>
      </c>
      <c r="K826" s="66" t="n"/>
      <c r="L826" s="66" t="n"/>
      <c r="M826" s="72" t="n"/>
      <c r="N826" s="72">
        <f>IF($M826="","",$M826+IF($K826="",Dashboard!$M$9,INDEX(Dashboard!$M$5:$M$9,$K826)))</f>
        <v/>
      </c>
      <c r="O826" s="66">
        <f>IF(OR($J826="Attempted",$J826="Revisit"),"DUE",IF($N826="","",IF($N826&lt;=TODAY(),"DUE","")))</f>
        <v/>
      </c>
      <c r="P826" s="66" t="inlineStr">
        <is>
          <t>v3 addition</t>
        </is>
      </c>
    </row>
    <row r="827">
      <c r="A827" s="66" t="n">
        <v>826</v>
      </c>
      <c r="B827" s="66" t="inlineStr">
        <is>
          <t>6. DP &amp; Closers - Depth</t>
        </is>
      </c>
      <c r="C827" s="66" t="inlineStr">
        <is>
          <t>21. Dynamic Programming</t>
        </is>
      </c>
      <c r="D827" s="66" t="inlineStr">
        <is>
          <t>0/1 Knapsack</t>
        </is>
      </c>
      <c r="E827" s="66" t="inlineStr">
        <is>
          <t>Target Sum</t>
        </is>
      </c>
      <c r="F827" s="66" t="inlineStr">
        <is>
          <t>Medium</t>
        </is>
      </c>
      <c r="G827" s="66" t="inlineStr">
        <is>
          <t>Depth</t>
        </is>
      </c>
      <c r="H827" s="66" t="inlineStr">
        <is>
          <t>LeetCode</t>
        </is>
      </c>
      <c r="I827" s="66" t="inlineStr">
        <is>
          <t>https://leetcode.com/problems/target-sum/</t>
        </is>
      </c>
      <c r="J827" s="66" t="inlineStr">
        <is>
          <t>Not Started</t>
        </is>
      </c>
      <c r="K827" s="66" t="n"/>
      <c r="L827" s="66" t="n"/>
      <c r="M827" s="72" t="n"/>
      <c r="N827" s="72">
        <f>IF($M827="","",$M827+IF($K827="",Dashboard!$M$9,INDEX(Dashboard!$M$5:$M$9,$K827)))</f>
        <v/>
      </c>
      <c r="O827" s="66">
        <f>IF(OR($J827="Attempted",$J827="Revisit"),"DUE",IF($N827="","",IF($N827&lt;=TODAY(),"DUE","")))</f>
        <v/>
      </c>
      <c r="P827" s="66" t="n"/>
    </row>
    <row r="828">
      <c r="A828" s="66" t="n">
        <v>827</v>
      </c>
      <c r="B828" s="66" t="inlineStr">
        <is>
          <t>6. DP &amp; Closers - Depth</t>
        </is>
      </c>
      <c r="C828" s="66" t="inlineStr">
        <is>
          <t>21. Dynamic Programming</t>
        </is>
      </c>
      <c r="D828" s="66" t="inlineStr">
        <is>
          <t>0/1 Knapsack</t>
        </is>
      </c>
      <c r="E828" s="66" t="inlineStr">
        <is>
          <t>Count Subsets with Sum K</t>
        </is>
      </c>
      <c r="F828" s="66" t="inlineStr">
        <is>
          <t>Medium</t>
        </is>
      </c>
      <c r="G828" s="66" t="inlineStr">
        <is>
          <t>Depth</t>
        </is>
      </c>
      <c r="H828" s="66" t="inlineStr">
        <is>
          <t>GeeksforGeeks</t>
        </is>
      </c>
      <c r="I828" s="66" t="inlineStr">
        <is>
          <t>https://www.geeksforgeeks.org/problems/perfect-sum-problem5633/1</t>
        </is>
      </c>
      <c r="J828" s="66" t="inlineStr">
        <is>
          <t>Not Started</t>
        </is>
      </c>
      <c r="K828" s="66" t="n"/>
      <c r="L828" s="66" t="n"/>
      <c r="M828" s="72" t="n"/>
      <c r="N828" s="72">
        <f>IF($M828="","",$M828+IF($K828="",Dashboard!$M$9,INDEX(Dashboard!$M$5:$M$9,$K828)))</f>
        <v/>
      </c>
      <c r="O828" s="66">
        <f>IF(OR($J828="Attempted",$J828="Revisit"),"DUE",IF($N828="","",IF($N828&lt;=TODAY(),"DUE","")))</f>
        <v/>
      </c>
      <c r="P828" s="66" t="inlineStr">
        <is>
          <t>v3 addition</t>
        </is>
      </c>
    </row>
    <row r="829">
      <c r="A829" s="66" t="n">
        <v>828</v>
      </c>
      <c r="B829" s="66" t="inlineStr">
        <is>
          <t>6. DP &amp; Closers - Depth</t>
        </is>
      </c>
      <c r="C829" s="66" t="inlineStr">
        <is>
          <t>21. Dynamic Programming</t>
        </is>
      </c>
      <c r="D829" s="66" t="inlineStr">
        <is>
          <t>0/1 Knapsack</t>
        </is>
      </c>
      <c r="E829" s="66" t="inlineStr">
        <is>
          <t>Ones and Zeroes</t>
        </is>
      </c>
      <c r="F829" s="66" t="inlineStr">
        <is>
          <t>Medium</t>
        </is>
      </c>
      <c r="G829" s="66" t="inlineStr">
        <is>
          <t>Depth</t>
        </is>
      </c>
      <c r="H829" s="66" t="inlineStr">
        <is>
          <t>LeetCode</t>
        </is>
      </c>
      <c r="I829" s="66" t="inlineStr">
        <is>
          <t>https://leetcode.com/problems/ones-and-zeroes/</t>
        </is>
      </c>
      <c r="J829" s="66" t="inlineStr">
        <is>
          <t>Not Started</t>
        </is>
      </c>
      <c r="K829" s="66" t="n"/>
      <c r="L829" s="66" t="n"/>
      <c r="M829" s="72" t="n"/>
      <c r="N829" s="72">
        <f>IF($M829="","",$M829+IF($K829="",Dashboard!$M$9,INDEX(Dashboard!$M$5:$M$9,$K829)))</f>
        <v/>
      </c>
      <c r="O829" s="66">
        <f>IF(OR($J829="Attempted",$J829="Revisit"),"DUE",IF($N829="","",IF($N829&lt;=TODAY(),"DUE","")))</f>
        <v/>
      </c>
      <c r="P829" s="66" t="inlineStr">
        <is>
          <t>v3 addition</t>
        </is>
      </c>
    </row>
    <row r="830">
      <c r="A830" s="66" t="n">
        <v>829</v>
      </c>
      <c r="B830" s="66" t="inlineStr">
        <is>
          <t>6. DP &amp; Closers - Depth</t>
        </is>
      </c>
      <c r="C830" s="66" t="inlineStr">
        <is>
          <t>21. Dynamic Programming</t>
        </is>
      </c>
      <c r="D830" s="66" t="inlineStr">
        <is>
          <t>Unbounded Knapsack</t>
        </is>
      </c>
      <c r="E830" s="66" t="inlineStr">
        <is>
          <t>Combination Sum IV</t>
        </is>
      </c>
      <c r="F830" s="66" t="inlineStr">
        <is>
          <t>Medium</t>
        </is>
      </c>
      <c r="G830" s="66" t="inlineStr">
        <is>
          <t>Depth</t>
        </is>
      </c>
      <c r="H830" s="66" t="inlineStr">
        <is>
          <t>LeetCode</t>
        </is>
      </c>
      <c r="I830" s="66" t="inlineStr">
        <is>
          <t>https://leetcode.com/problems/combination-sum-iv/</t>
        </is>
      </c>
      <c r="J830" s="66" t="inlineStr">
        <is>
          <t>Not Started</t>
        </is>
      </c>
      <c r="K830" s="66" t="n"/>
      <c r="L830" s="66" t="n"/>
      <c r="M830" s="72" t="n"/>
      <c r="N830" s="72">
        <f>IF($M830="","",$M830+IF($K830="",Dashboard!$M$9,INDEX(Dashboard!$M$5:$M$9,$K830)))</f>
        <v/>
      </c>
      <c r="O830" s="66">
        <f>IF(OR($J830="Attempted",$J830="Revisit"),"DUE",IF($N830="","",IF($N830&lt;=TODAY(),"DUE","")))</f>
        <v/>
      </c>
      <c r="P830" s="66" t="n"/>
    </row>
    <row r="831">
      <c r="A831" s="66" t="n">
        <v>830</v>
      </c>
      <c r="B831" s="66" t="inlineStr">
        <is>
          <t>6. DP &amp; Closers - Depth</t>
        </is>
      </c>
      <c r="C831" s="66" t="inlineStr">
        <is>
          <t>21. Dynamic Programming</t>
        </is>
      </c>
      <c r="D831" s="66" t="inlineStr">
        <is>
          <t>Unbounded Knapsack</t>
        </is>
      </c>
      <c r="E831" s="66" t="inlineStr">
        <is>
          <t>Perfect Squares</t>
        </is>
      </c>
      <c r="F831" s="66" t="inlineStr">
        <is>
          <t>Medium</t>
        </is>
      </c>
      <c r="G831" s="66" t="inlineStr">
        <is>
          <t>Depth</t>
        </is>
      </c>
      <c r="H831" s="66" t="inlineStr">
        <is>
          <t>LeetCode</t>
        </is>
      </c>
      <c r="I831" s="66" t="inlineStr">
        <is>
          <t>https://leetcode.com/problems/perfect-squares/</t>
        </is>
      </c>
      <c r="J831" s="66" t="inlineStr">
        <is>
          <t>Not Started</t>
        </is>
      </c>
      <c r="K831" s="66" t="n"/>
      <c r="L831" s="66" t="n"/>
      <c r="M831" s="72" t="n"/>
      <c r="N831" s="72">
        <f>IF($M831="","",$M831+IF($K831="",Dashboard!$M$9,INDEX(Dashboard!$M$5:$M$9,$K831)))</f>
        <v/>
      </c>
      <c r="O831" s="66">
        <f>IF(OR($J831="Attempted",$J831="Revisit"),"DUE",IF($N831="","",IF($N831&lt;=TODAY(),"DUE","")))</f>
        <v/>
      </c>
      <c r="P831" s="66" t="inlineStr">
        <is>
          <t>v3 addition</t>
        </is>
      </c>
    </row>
    <row r="832">
      <c r="A832" s="66" t="n">
        <v>831</v>
      </c>
      <c r="B832" s="66" t="inlineStr">
        <is>
          <t>6. DP &amp; Closers - Depth</t>
        </is>
      </c>
      <c r="C832" s="66" t="inlineStr">
        <is>
          <t>21. Dynamic Programming</t>
        </is>
      </c>
      <c r="D832" s="66" t="inlineStr">
        <is>
          <t>LIS</t>
        </is>
      </c>
      <c r="E832" s="66" t="inlineStr">
        <is>
          <t>Largest Divisible Subset</t>
        </is>
      </c>
      <c r="F832" s="66" t="inlineStr">
        <is>
          <t>Medium</t>
        </is>
      </c>
      <c r="G832" s="66" t="inlineStr">
        <is>
          <t>Depth</t>
        </is>
      </c>
      <c r="H832" s="66" t="inlineStr">
        <is>
          <t>LeetCode</t>
        </is>
      </c>
      <c r="I832" s="66" t="inlineStr">
        <is>
          <t>https://leetcode.com/problems/largest-divisible-subset/</t>
        </is>
      </c>
      <c r="J832" s="66" t="inlineStr">
        <is>
          <t>Not Started</t>
        </is>
      </c>
      <c r="K832" s="66" t="n"/>
      <c r="L832" s="66" t="n"/>
      <c r="M832" s="72" t="n"/>
      <c r="N832" s="72">
        <f>IF($M832="","",$M832+IF($K832="",Dashboard!$M$9,INDEX(Dashboard!$M$5:$M$9,$K832)))</f>
        <v/>
      </c>
      <c r="O832" s="66">
        <f>IF(OR($J832="Attempted",$J832="Revisit"),"DUE",IF($N832="","",IF($N832&lt;=TODAY(),"DUE","")))</f>
        <v/>
      </c>
      <c r="P832" s="66" t="inlineStr">
        <is>
          <t>v3 addition</t>
        </is>
      </c>
    </row>
    <row r="833">
      <c r="A833" s="66" t="n">
        <v>832</v>
      </c>
      <c r="B833" s="66" t="inlineStr">
        <is>
          <t>6. DP &amp; Closers - Depth</t>
        </is>
      </c>
      <c r="C833" s="66" t="inlineStr">
        <is>
          <t>21. Dynamic Programming</t>
        </is>
      </c>
      <c r="D833" s="66" t="inlineStr">
        <is>
          <t>LIS</t>
        </is>
      </c>
      <c r="E833" s="66" t="inlineStr">
        <is>
          <t>Longest String Chain</t>
        </is>
      </c>
      <c r="F833" s="66" t="inlineStr">
        <is>
          <t>Medium</t>
        </is>
      </c>
      <c r="G833" s="66" t="inlineStr">
        <is>
          <t>Depth</t>
        </is>
      </c>
      <c r="H833" s="66" t="inlineStr">
        <is>
          <t>LeetCode</t>
        </is>
      </c>
      <c r="I833" s="66" t="inlineStr">
        <is>
          <t>https://leetcode.com/problems/longest-string-chain/</t>
        </is>
      </c>
      <c r="J833" s="66" t="inlineStr">
        <is>
          <t>Not Started</t>
        </is>
      </c>
      <c r="K833" s="66" t="n"/>
      <c r="L833" s="66" t="n"/>
      <c r="M833" s="72" t="n"/>
      <c r="N833" s="72">
        <f>IF($M833="","",$M833+IF($K833="",Dashboard!$M$9,INDEX(Dashboard!$M$5:$M$9,$K833)))</f>
        <v/>
      </c>
      <c r="O833" s="66">
        <f>IF(OR($J833="Attempted",$J833="Revisit"),"DUE",IF($N833="","",IF($N833&lt;=TODAY(),"DUE","")))</f>
        <v/>
      </c>
      <c r="P833" s="66" t="inlineStr">
        <is>
          <t>v3 addition</t>
        </is>
      </c>
    </row>
    <row r="834">
      <c r="A834" s="66" t="n">
        <v>833</v>
      </c>
      <c r="B834" s="66" t="inlineStr">
        <is>
          <t>6. DP &amp; Closers - Depth</t>
        </is>
      </c>
      <c r="C834" s="66" t="inlineStr">
        <is>
          <t>21. Dynamic Programming</t>
        </is>
      </c>
      <c r="D834" s="66" t="inlineStr">
        <is>
          <t>LIS</t>
        </is>
      </c>
      <c r="E834" s="66" t="inlineStr">
        <is>
          <t>Maximum Sum Increasing Subsequence</t>
        </is>
      </c>
      <c r="F834" s="66" t="inlineStr">
        <is>
          <t>Medium</t>
        </is>
      </c>
      <c r="G834" s="66" t="inlineStr">
        <is>
          <t>Depth</t>
        </is>
      </c>
      <c r="H834" s="66" t="inlineStr">
        <is>
          <t>GeeksforGeeks</t>
        </is>
      </c>
      <c r="I834" s="66" t="inlineStr">
        <is>
          <t>https://www.geeksforgeeks.org/problems/maximum-sum-increasing-subsequence4749/1</t>
        </is>
      </c>
      <c r="J834" s="66" t="inlineStr">
        <is>
          <t>Not Started</t>
        </is>
      </c>
      <c r="K834" s="66" t="n"/>
      <c r="L834" s="66" t="n"/>
      <c r="M834" s="72" t="n"/>
      <c r="N834" s="72">
        <f>IF($M834="","",$M834+IF($K834="",Dashboard!$M$9,INDEX(Dashboard!$M$5:$M$9,$K834)))</f>
        <v/>
      </c>
      <c r="O834" s="66">
        <f>IF(OR($J834="Attempted",$J834="Revisit"),"DUE",IF($N834="","",IF($N834&lt;=TODAY(),"DUE","")))</f>
        <v/>
      </c>
      <c r="P834" s="66" t="inlineStr">
        <is>
          <t>v3 addition</t>
        </is>
      </c>
    </row>
    <row r="835">
      <c r="A835" s="66" t="n">
        <v>834</v>
      </c>
      <c r="B835" s="66" t="inlineStr">
        <is>
          <t>6. DP &amp; Closers - Depth</t>
        </is>
      </c>
      <c r="C835" s="66" t="inlineStr">
        <is>
          <t>21. Dynamic Programming</t>
        </is>
      </c>
      <c r="D835" s="66" t="inlineStr">
        <is>
          <t>LIS</t>
        </is>
      </c>
      <c r="E835" s="66" t="inlineStr">
        <is>
          <t>Longest Bitonic Subsequence</t>
        </is>
      </c>
      <c r="F835" s="66" t="inlineStr">
        <is>
          <t>Medium</t>
        </is>
      </c>
      <c r="G835" s="66" t="inlineStr">
        <is>
          <t>Depth</t>
        </is>
      </c>
      <c r="H835" s="66" t="inlineStr">
        <is>
          <t>GeeksforGeeks</t>
        </is>
      </c>
      <c r="I835" s="66" t="inlineStr">
        <is>
          <t>https://www.geeksforgeeks.org/problems/longest-bitonic-subsequence0824/1</t>
        </is>
      </c>
      <c r="J835" s="66" t="inlineStr">
        <is>
          <t>Not Started</t>
        </is>
      </c>
      <c r="K835" s="66" t="n"/>
      <c r="L835" s="66" t="n"/>
      <c r="M835" s="72" t="n"/>
      <c r="N835" s="72">
        <f>IF($M835="","",$M835+IF($K835="",Dashboard!$M$9,INDEX(Dashboard!$M$5:$M$9,$K835)))</f>
        <v/>
      </c>
      <c r="O835" s="66">
        <f>IF(OR($J835="Attempted",$J835="Revisit"),"DUE",IF($N835="","",IF($N835&lt;=TODAY(),"DUE","")))</f>
        <v/>
      </c>
      <c r="P835" s="66" t="inlineStr">
        <is>
          <t>v3 addition</t>
        </is>
      </c>
    </row>
    <row r="836">
      <c r="A836" s="66" t="n">
        <v>835</v>
      </c>
      <c r="B836" s="66" t="inlineStr">
        <is>
          <t>6. DP &amp; Closers - Depth</t>
        </is>
      </c>
      <c r="C836" s="66" t="inlineStr">
        <is>
          <t>21. Dynamic Programming</t>
        </is>
      </c>
      <c r="D836" s="66" t="inlineStr">
        <is>
          <t>Squares in matrix</t>
        </is>
      </c>
      <c r="E836" s="66" t="inlineStr">
        <is>
          <t>Count Submatrices With All Ones</t>
        </is>
      </c>
      <c r="F836" s="66" t="inlineStr">
        <is>
          <t>Medium</t>
        </is>
      </c>
      <c r="G836" s="66" t="inlineStr">
        <is>
          <t>Depth</t>
        </is>
      </c>
      <c r="H836" s="66" t="inlineStr">
        <is>
          <t>LeetCode</t>
        </is>
      </c>
      <c r="I836" s="66" t="inlineStr">
        <is>
          <t>https://leetcode.com/problems/count-submatrices-with-all-ones/</t>
        </is>
      </c>
      <c r="J836" s="66" t="inlineStr">
        <is>
          <t>Not Started</t>
        </is>
      </c>
      <c r="K836" s="66" t="n"/>
      <c r="L836" s="66" t="n"/>
      <c r="M836" s="72" t="n"/>
      <c r="N836" s="72">
        <f>IF($M836="","",$M836+IF($K836="",Dashboard!$M$9,INDEX(Dashboard!$M$5:$M$9,$K836)))</f>
        <v/>
      </c>
      <c r="O836" s="66">
        <f>IF(OR($J836="Attempted",$J836="Revisit"),"DUE",IF($N836="","",IF($N836&lt;=TODAY(),"DUE","")))</f>
        <v/>
      </c>
      <c r="P836" s="66" t="inlineStr">
        <is>
          <t>v3 addition</t>
        </is>
      </c>
    </row>
    <row r="837">
      <c r="A837" s="66" t="n">
        <v>836</v>
      </c>
      <c r="B837" s="66" t="inlineStr">
        <is>
          <t>6. DP &amp; Closers - Depth</t>
        </is>
      </c>
      <c r="C837" s="66" t="inlineStr">
        <is>
          <t>21. Dynamic Programming</t>
        </is>
      </c>
      <c r="D837" s="66" t="inlineStr">
        <is>
          <t>Squares in matrix</t>
        </is>
      </c>
      <c r="E837" s="66" t="inlineStr">
        <is>
          <t>Largest Plus Sign</t>
        </is>
      </c>
      <c r="F837" s="66" t="inlineStr">
        <is>
          <t>Medium</t>
        </is>
      </c>
      <c r="G837" s="66" t="inlineStr">
        <is>
          <t>Depth</t>
        </is>
      </c>
      <c r="H837" s="66" t="inlineStr">
        <is>
          <t>LeetCode</t>
        </is>
      </c>
      <c r="I837" s="66" t="inlineStr">
        <is>
          <t>https://leetcode.com/problems/largest-plus-sign/</t>
        </is>
      </c>
      <c r="J837" s="66" t="inlineStr">
        <is>
          <t>Not Started</t>
        </is>
      </c>
      <c r="K837" s="66" t="n"/>
      <c r="L837" s="66" t="n"/>
      <c r="M837" s="72" t="n"/>
      <c r="N837" s="72">
        <f>IF($M837="","",$M837+IF($K837="",Dashboard!$M$9,INDEX(Dashboard!$M$5:$M$9,$K837)))</f>
        <v/>
      </c>
      <c r="O837" s="66">
        <f>IF(OR($J837="Attempted",$J837="Revisit"),"DUE",IF($N837="","",IF($N837&lt;=TODAY(),"DUE","")))</f>
        <v/>
      </c>
      <c r="P837" s="66" t="inlineStr">
        <is>
          <t>v3 addition</t>
        </is>
      </c>
    </row>
    <row r="838">
      <c r="A838" s="66" t="n">
        <v>837</v>
      </c>
      <c r="B838" s="66" t="inlineStr">
        <is>
          <t>6. DP &amp; Closers - Depth</t>
        </is>
      </c>
      <c r="C838" s="66" t="inlineStr">
        <is>
          <t>21. Dynamic Programming</t>
        </is>
      </c>
      <c r="D838" s="66" t="inlineStr">
        <is>
          <t>Squares in matrix</t>
        </is>
      </c>
      <c r="E838" s="66" t="inlineStr">
        <is>
          <t>Largest 1-Bordered Square</t>
        </is>
      </c>
      <c r="F838" s="66" t="inlineStr">
        <is>
          <t>Medium</t>
        </is>
      </c>
      <c r="G838" s="66" t="inlineStr">
        <is>
          <t>Depth</t>
        </is>
      </c>
      <c r="H838" s="66" t="inlineStr">
        <is>
          <t>LeetCode</t>
        </is>
      </c>
      <c r="I838" s="66" t="inlineStr">
        <is>
          <t>https://leetcode.com/problems/largest-1-bordered-square/</t>
        </is>
      </c>
      <c r="J838" s="66" t="inlineStr">
        <is>
          <t>Not Started</t>
        </is>
      </c>
      <c r="K838" s="66" t="n"/>
      <c r="L838" s="66" t="n"/>
      <c r="M838" s="72" t="n"/>
      <c r="N838" s="72">
        <f>IF($M838="","",$M838+IF($K838="",Dashboard!$M$9,INDEX(Dashboard!$M$5:$M$9,$K838)))</f>
        <v/>
      </c>
      <c r="O838" s="66">
        <f>IF(OR($J838="Attempted",$J838="Revisit"),"DUE",IF($N838="","",IF($N838&lt;=TODAY(),"DUE","")))</f>
        <v/>
      </c>
      <c r="P838" s="66" t="inlineStr">
        <is>
          <t>v3 addition</t>
        </is>
      </c>
    </row>
    <row r="839">
      <c r="A839" s="66" t="n">
        <v>838</v>
      </c>
      <c r="B839" s="66" t="inlineStr">
        <is>
          <t>6. DP &amp; Closers - Depth</t>
        </is>
      </c>
      <c r="C839" s="66" t="inlineStr">
        <is>
          <t>21. Dynamic Programming</t>
        </is>
      </c>
      <c r="D839" s="66" t="inlineStr">
        <is>
          <t>String DP</t>
        </is>
      </c>
      <c r="E839" s="66" t="inlineStr">
        <is>
          <t>Delete Operation for Two Strings</t>
        </is>
      </c>
      <c r="F839" s="66" t="inlineStr">
        <is>
          <t>Medium</t>
        </is>
      </c>
      <c r="G839" s="66" t="inlineStr">
        <is>
          <t>Depth</t>
        </is>
      </c>
      <c r="H839" s="66" t="inlineStr">
        <is>
          <t>LeetCode</t>
        </is>
      </c>
      <c r="I839" s="66" t="inlineStr">
        <is>
          <t>https://leetcode.com/problems/delete-operation-for-two-strings/</t>
        </is>
      </c>
      <c r="J839" s="66" t="inlineStr">
        <is>
          <t>Not Started</t>
        </is>
      </c>
      <c r="K839" s="66" t="n"/>
      <c r="L839" s="66" t="n"/>
      <c r="M839" s="72" t="n"/>
      <c r="N839" s="72">
        <f>IF($M839="","",$M839+IF($K839="",Dashboard!$M$9,INDEX(Dashboard!$M$5:$M$9,$K839)))</f>
        <v/>
      </c>
      <c r="O839" s="66">
        <f>IF(OR($J839="Attempted",$J839="Revisit"),"DUE",IF($N839="","",IF($N839&lt;=TODAY(),"DUE","")))</f>
        <v/>
      </c>
      <c r="P839" s="66" t="inlineStr">
        <is>
          <t>v3 addition</t>
        </is>
      </c>
    </row>
    <row r="840">
      <c r="A840" s="66" t="n">
        <v>839</v>
      </c>
      <c r="B840" s="66" t="inlineStr">
        <is>
          <t>6. DP &amp; Closers - Depth</t>
        </is>
      </c>
      <c r="C840" s="66" t="inlineStr">
        <is>
          <t>21. Dynamic Programming</t>
        </is>
      </c>
      <c r="D840" s="66" t="inlineStr">
        <is>
          <t>String DP</t>
        </is>
      </c>
      <c r="E840" s="66" t="inlineStr">
        <is>
          <t>Interleaving String</t>
        </is>
      </c>
      <c r="F840" s="66" t="inlineStr">
        <is>
          <t>Medium</t>
        </is>
      </c>
      <c r="G840" s="66" t="inlineStr">
        <is>
          <t>Depth</t>
        </is>
      </c>
      <c r="H840" s="66" t="inlineStr">
        <is>
          <t>LeetCode</t>
        </is>
      </c>
      <c r="I840" s="66" t="inlineStr">
        <is>
          <t>https://leetcode.com/problems/interleaving-string/</t>
        </is>
      </c>
      <c r="J840" s="66" t="inlineStr">
        <is>
          <t>Not Started</t>
        </is>
      </c>
      <c r="K840" s="66" t="n"/>
      <c r="L840" s="66" t="n"/>
      <c r="M840" s="72" t="n"/>
      <c r="N840" s="72">
        <f>IF($M840="","",$M840+IF($K840="",Dashboard!$M$9,INDEX(Dashboard!$M$5:$M$9,$K840)))</f>
        <v/>
      </c>
      <c r="O840" s="66">
        <f>IF(OR($J840="Attempted",$J840="Revisit"),"DUE",IF($N840="","",IF($N840&lt;=TODAY(),"DUE","")))</f>
        <v/>
      </c>
      <c r="P840" s="66" t="inlineStr">
        <is>
          <t>v3 addition</t>
        </is>
      </c>
    </row>
    <row r="841">
      <c r="A841" s="66" t="n">
        <v>840</v>
      </c>
      <c r="B841" s="66" t="inlineStr">
        <is>
          <t>6. DP &amp; Closers - Depth</t>
        </is>
      </c>
      <c r="C841" s="66" t="inlineStr">
        <is>
          <t>21. Dynamic Programming</t>
        </is>
      </c>
      <c r="D841" s="66" t="inlineStr">
        <is>
          <t>String DP</t>
        </is>
      </c>
      <c r="E841" s="66" t="inlineStr">
        <is>
          <t>Longest Palindromic Subsequence</t>
        </is>
      </c>
      <c r="F841" s="66" t="inlineStr">
        <is>
          <t>Medium</t>
        </is>
      </c>
      <c r="G841" s="66" t="inlineStr">
        <is>
          <t>Depth</t>
        </is>
      </c>
      <c r="H841" s="66" t="inlineStr">
        <is>
          <t>LeetCode</t>
        </is>
      </c>
      <c r="I841" s="66" t="inlineStr">
        <is>
          <t>https://leetcode.com/problems/longest-palindromic-subsequence/</t>
        </is>
      </c>
      <c r="J841" s="66" t="inlineStr">
        <is>
          <t>Not Started</t>
        </is>
      </c>
      <c r="K841" s="66" t="n"/>
      <c r="L841" s="66" t="n"/>
      <c r="M841" s="72" t="n"/>
      <c r="N841" s="72">
        <f>IF($M841="","",$M841+IF($K841="",Dashboard!$M$9,INDEX(Dashboard!$M$5:$M$9,$K841)))</f>
        <v/>
      </c>
      <c r="O841" s="66">
        <f>IF(OR($J841="Attempted",$J841="Revisit"),"DUE",IF($N841="","",IF($N841&lt;=TODAY(),"DUE","")))</f>
        <v/>
      </c>
      <c r="P841" s="66" t="n"/>
    </row>
    <row r="842">
      <c r="A842" s="66" t="n">
        <v>841</v>
      </c>
      <c r="B842" s="66" t="inlineStr">
        <is>
          <t>6. DP &amp; Closers - Depth</t>
        </is>
      </c>
      <c r="C842" s="66" t="inlineStr">
        <is>
          <t>21. Dynamic Programming</t>
        </is>
      </c>
      <c r="D842" s="66" t="inlineStr">
        <is>
          <t>Partition DP</t>
        </is>
      </c>
      <c r="E842" s="66" t="inlineStr">
        <is>
          <t>Matrix Chain Multiplication</t>
        </is>
      </c>
      <c r="F842" s="66" t="inlineStr">
        <is>
          <t>Hard</t>
        </is>
      </c>
      <c r="G842" s="66" t="inlineStr">
        <is>
          <t>Depth</t>
        </is>
      </c>
      <c r="H842" s="66" t="inlineStr">
        <is>
          <t>GeeksforGeeks</t>
        </is>
      </c>
      <c r="I842" s="66" t="inlineStr">
        <is>
          <t>https://www.geeksforgeeks.org/problems/matrix-chain-multiplication0303/1</t>
        </is>
      </c>
      <c r="J842" s="66" t="inlineStr">
        <is>
          <t>Not Started</t>
        </is>
      </c>
      <c r="K842" s="66" t="n"/>
      <c r="L842" s="66" t="n"/>
      <c r="M842" s="72" t="n"/>
      <c r="N842" s="72">
        <f>IF($M842="","",$M842+IF($K842="",Dashboard!$M$9,INDEX(Dashboard!$M$5:$M$9,$K842)))</f>
        <v/>
      </c>
      <c r="O842" s="66">
        <f>IF(OR($J842="Attempted",$J842="Revisit"),"DUE",IF($N842="","",IF($N842&lt;=TODAY(),"DUE","")))</f>
        <v/>
      </c>
      <c r="P842" s="66" t="n"/>
    </row>
    <row r="843">
      <c r="A843" s="66" t="n">
        <v>842</v>
      </c>
      <c r="B843" s="66" t="inlineStr">
        <is>
          <t>6. DP &amp; Closers - Depth</t>
        </is>
      </c>
      <c r="C843" s="66" t="inlineStr">
        <is>
          <t>21. Dynamic Programming</t>
        </is>
      </c>
      <c r="D843" s="66" t="inlineStr">
        <is>
          <t>DP on trees</t>
        </is>
      </c>
      <c r="E843" s="66" t="inlineStr">
        <is>
          <t>Distribute Coins in Binary Tree</t>
        </is>
      </c>
      <c r="F843" s="66" t="inlineStr">
        <is>
          <t>Medium</t>
        </is>
      </c>
      <c r="G843" s="66" t="inlineStr">
        <is>
          <t>Depth</t>
        </is>
      </c>
      <c r="H843" s="66" t="inlineStr">
        <is>
          <t>LeetCode</t>
        </is>
      </c>
      <c r="I843" s="66" t="inlineStr">
        <is>
          <t>https://leetcode.com/problems/distribute-coins-in-binary-tree/</t>
        </is>
      </c>
      <c r="J843" s="66" t="inlineStr">
        <is>
          <t>Not Started</t>
        </is>
      </c>
      <c r="K843" s="66" t="n"/>
      <c r="L843" s="66" t="n"/>
      <c r="M843" s="72" t="n"/>
      <c r="N843" s="72">
        <f>IF($M843="","",$M843+IF($K843="",Dashboard!$M$9,INDEX(Dashboard!$M$5:$M$9,$K843)))</f>
        <v/>
      </c>
      <c r="O843" s="66">
        <f>IF(OR($J843="Attempted",$J843="Revisit"),"DUE",IF($N843="","",IF($N843&lt;=TODAY(),"DUE","")))</f>
        <v/>
      </c>
      <c r="P843" s="66" t="inlineStr">
        <is>
          <t>v3 addition</t>
        </is>
      </c>
    </row>
    <row r="844">
      <c r="A844" s="66" t="n">
        <v>843</v>
      </c>
      <c r="B844" s="66" t="inlineStr">
        <is>
          <t>6. DP &amp; Closers - Depth</t>
        </is>
      </c>
      <c r="C844" s="66" t="inlineStr">
        <is>
          <t>21. Dynamic Programming</t>
        </is>
      </c>
      <c r="D844" s="66" t="inlineStr">
        <is>
          <t>Game DP</t>
        </is>
      </c>
      <c r="E844" s="66" t="inlineStr">
        <is>
          <t>Stone Game II</t>
        </is>
      </c>
      <c r="F844" s="66" t="inlineStr">
        <is>
          <t>Medium</t>
        </is>
      </c>
      <c r="G844" s="66" t="inlineStr">
        <is>
          <t>Depth</t>
        </is>
      </c>
      <c r="H844" s="66" t="inlineStr">
        <is>
          <t>LeetCode</t>
        </is>
      </c>
      <c r="I844" s="66" t="inlineStr">
        <is>
          <t>https://leetcode.com/problems/stone-game-ii/</t>
        </is>
      </c>
      <c r="J844" s="66" t="inlineStr">
        <is>
          <t>Not Started</t>
        </is>
      </c>
      <c r="K844" s="66" t="n"/>
      <c r="L844" s="66" t="n"/>
      <c r="M844" s="72" t="n"/>
      <c r="N844" s="72">
        <f>IF($M844="","",$M844+IF($K844="",Dashboard!$M$9,INDEX(Dashboard!$M$5:$M$9,$K844)))</f>
        <v/>
      </c>
      <c r="O844" s="66">
        <f>IF(OR($J844="Attempted",$J844="Revisit"),"DUE",IF($N844="","",IF($N844&lt;=TODAY(),"DUE","")))</f>
        <v/>
      </c>
      <c r="P844" s="66" t="inlineStr">
        <is>
          <t>v3 addition</t>
        </is>
      </c>
    </row>
    <row r="845">
      <c r="A845" s="66" t="n">
        <v>844</v>
      </c>
      <c r="B845" s="66" t="inlineStr">
        <is>
          <t>6. DP &amp; Closers - Depth</t>
        </is>
      </c>
      <c r="C845" s="66" t="inlineStr">
        <is>
          <t>21. Dynamic Programming</t>
        </is>
      </c>
      <c r="D845" s="66" t="inlineStr">
        <is>
          <t>Game DP</t>
        </is>
      </c>
      <c r="E845" s="66" t="inlineStr">
        <is>
          <t>Can I Win</t>
        </is>
      </c>
      <c r="F845" s="66" t="inlineStr">
        <is>
          <t>Medium</t>
        </is>
      </c>
      <c r="G845" s="66" t="inlineStr">
        <is>
          <t>Depth</t>
        </is>
      </c>
      <c r="H845" s="66" t="inlineStr">
        <is>
          <t>LeetCode</t>
        </is>
      </c>
      <c r="I845" s="66" t="inlineStr">
        <is>
          <t>https://leetcode.com/problems/can-i-win/</t>
        </is>
      </c>
      <c r="J845" s="66" t="inlineStr">
        <is>
          <t>Not Started</t>
        </is>
      </c>
      <c r="K845" s="66" t="n"/>
      <c r="L845" s="66" t="n"/>
      <c r="M845" s="72" t="n"/>
      <c r="N845" s="72">
        <f>IF($M845="","",$M845+IF($K845="",Dashboard!$M$9,INDEX(Dashboard!$M$5:$M$9,$K845)))</f>
        <v/>
      </c>
      <c r="O845" s="66">
        <f>IF(OR($J845="Attempted",$J845="Revisit"),"DUE",IF($N845="","",IF($N845&lt;=TODAY(),"DUE","")))</f>
        <v/>
      </c>
      <c r="P845" s="66" t="n"/>
    </row>
    <row r="846">
      <c r="A846" s="66" t="n">
        <v>845</v>
      </c>
      <c r="B846" s="66" t="inlineStr">
        <is>
          <t>6. DP &amp; Closers - Depth</t>
        </is>
      </c>
      <c r="C846" s="66" t="inlineStr">
        <is>
          <t>21. Dynamic Programming</t>
        </is>
      </c>
      <c r="D846" s="66" t="inlineStr">
        <is>
          <t>Counting DP</t>
        </is>
      </c>
      <c r="E846" s="66" t="inlineStr">
        <is>
          <t>Unique Binary Search Trees</t>
        </is>
      </c>
      <c r="F846" s="66" t="inlineStr">
        <is>
          <t>Medium</t>
        </is>
      </c>
      <c r="G846" s="66" t="inlineStr">
        <is>
          <t>Depth</t>
        </is>
      </c>
      <c r="H846" s="66" t="inlineStr">
        <is>
          <t>LeetCode</t>
        </is>
      </c>
      <c r="I846" s="66" t="inlineStr">
        <is>
          <t>https://leetcode.com/problems/unique-binary-search-trees/</t>
        </is>
      </c>
      <c r="J846" s="66" t="inlineStr">
        <is>
          <t>Not Started</t>
        </is>
      </c>
      <c r="K846" s="66" t="n"/>
      <c r="L846" s="66" t="n"/>
      <c r="M846" s="72" t="n"/>
      <c r="N846" s="72">
        <f>IF($M846="","",$M846+IF($K846="",Dashboard!$M$9,INDEX(Dashboard!$M$5:$M$9,$K846)))</f>
        <v/>
      </c>
      <c r="O846" s="66">
        <f>IF(OR($J846="Attempted",$J846="Revisit"),"DUE",IF($N846="","",IF($N846&lt;=TODAY(),"DUE","")))</f>
        <v/>
      </c>
      <c r="P846" s="66" t="inlineStr">
        <is>
          <t>v3 addition</t>
        </is>
      </c>
    </row>
    <row r="847">
      <c r="A847" s="66" t="n">
        <v>846</v>
      </c>
      <c r="B847" s="66" t="inlineStr">
        <is>
          <t>6. DP &amp; Closers - Depth</t>
        </is>
      </c>
      <c r="C847" s="66" t="inlineStr">
        <is>
          <t>22. Design</t>
        </is>
      </c>
      <c r="D847" s="66" t="inlineStr">
        <is>
          <t>Hash structures</t>
        </is>
      </c>
      <c r="E847" s="66" t="inlineStr">
        <is>
          <t>Insert Delete GetRandom O(1)</t>
        </is>
      </c>
      <c r="F847" s="66" t="inlineStr">
        <is>
          <t>Medium</t>
        </is>
      </c>
      <c r="G847" s="66" t="inlineStr">
        <is>
          <t>Depth</t>
        </is>
      </c>
      <c r="H847" s="66" t="inlineStr">
        <is>
          <t>LeetCode</t>
        </is>
      </c>
      <c r="I847" s="66" t="inlineStr">
        <is>
          <t>https://leetcode.com/problems/insert-delete-getrandom-o1/</t>
        </is>
      </c>
      <c r="J847" s="66" t="inlineStr">
        <is>
          <t>Not Started</t>
        </is>
      </c>
      <c r="K847" s="66" t="n"/>
      <c r="L847" s="66" t="n"/>
      <c r="M847" s="72" t="n"/>
      <c r="N847" s="72">
        <f>IF($M847="","",$M847+IF($K847="",Dashboard!$M$9,INDEX(Dashboard!$M$5:$M$9,$K847)))</f>
        <v/>
      </c>
      <c r="O847" s="66">
        <f>IF(OR($J847="Attempted",$J847="Revisit"),"DUE",IF($N847="","",IF($N847&lt;=TODAY(),"DUE","")))</f>
        <v/>
      </c>
      <c r="P847" s="66" t="inlineStr">
        <is>
          <t>v3 addition</t>
        </is>
      </c>
    </row>
    <row r="848">
      <c r="A848" s="66" t="n">
        <v>847</v>
      </c>
      <c r="B848" s="66" t="inlineStr">
        <is>
          <t>6. DP &amp; Closers - Depth</t>
        </is>
      </c>
      <c r="C848" s="66" t="inlineStr">
        <is>
          <t>22. Design</t>
        </is>
      </c>
      <c r="D848" s="66" t="inlineStr">
        <is>
          <t>Hash structures</t>
        </is>
      </c>
      <c r="E848" s="66" t="inlineStr">
        <is>
          <t>Encode and Decode TinyURL</t>
        </is>
      </c>
      <c r="F848" s="66" t="inlineStr">
        <is>
          <t>Medium</t>
        </is>
      </c>
      <c r="G848" s="66" t="inlineStr">
        <is>
          <t>Depth</t>
        </is>
      </c>
      <c r="H848" s="66" t="inlineStr">
        <is>
          <t>LeetCode</t>
        </is>
      </c>
      <c r="I848" s="66" t="inlineStr">
        <is>
          <t>https://leetcode.com/problems/encode-and-decode-tinyurl/</t>
        </is>
      </c>
      <c r="J848" s="66" t="inlineStr">
        <is>
          <t>Not Started</t>
        </is>
      </c>
      <c r="K848" s="66" t="n"/>
      <c r="L848" s="66" t="n"/>
      <c r="M848" s="72" t="n"/>
      <c r="N848" s="72">
        <f>IF($M848="","",$M848+IF($K848="",Dashboard!$M$9,INDEX(Dashboard!$M$5:$M$9,$K848)))</f>
        <v/>
      </c>
      <c r="O848" s="66">
        <f>IF(OR($J848="Attempted",$J848="Revisit"),"DUE",IF($N848="","",IF($N848&lt;=TODAY(),"DUE","")))</f>
        <v/>
      </c>
      <c r="P848" s="66" t="inlineStr">
        <is>
          <t>v3 addition</t>
        </is>
      </c>
    </row>
    <row r="849">
      <c r="A849" s="66" t="n">
        <v>848</v>
      </c>
      <c r="B849" s="66" t="inlineStr">
        <is>
          <t>6. DP &amp; Closers - Depth</t>
        </is>
      </c>
      <c r="C849" s="66" t="inlineStr">
        <is>
          <t>22. Design</t>
        </is>
      </c>
      <c r="D849" s="66" t="inlineStr">
        <is>
          <t>Cache</t>
        </is>
      </c>
      <c r="E849" s="66" t="inlineStr">
        <is>
          <t>Design a Food Rating System</t>
        </is>
      </c>
      <c r="F849" s="66" t="inlineStr">
        <is>
          <t>Medium</t>
        </is>
      </c>
      <c r="G849" s="66" t="inlineStr">
        <is>
          <t>Depth</t>
        </is>
      </c>
      <c r="H849" s="66" t="inlineStr">
        <is>
          <t>LeetCode</t>
        </is>
      </c>
      <c r="I849" s="66" t="inlineStr">
        <is>
          <t>https://leetcode.com/problems/design-a-food-rating-system/</t>
        </is>
      </c>
      <c r="J849" s="66" t="inlineStr">
        <is>
          <t>Not Started</t>
        </is>
      </c>
      <c r="K849" s="66" t="n"/>
      <c r="L849" s="66" t="n"/>
      <c r="M849" s="72" t="n"/>
      <c r="N849" s="72">
        <f>IF($M849="","",$M849+IF($K849="",Dashboard!$M$9,INDEX(Dashboard!$M$5:$M$9,$K849)))</f>
        <v/>
      </c>
      <c r="O849" s="66">
        <f>IF(OR($J849="Attempted",$J849="Revisit"),"DUE",IF($N849="","",IF($N849&lt;=TODAY(),"DUE","")))</f>
        <v/>
      </c>
      <c r="P849" s="66" t="inlineStr">
        <is>
          <t>v3 addition</t>
        </is>
      </c>
    </row>
    <row r="850">
      <c r="A850" s="66" t="n">
        <v>849</v>
      </c>
      <c r="B850" s="66" t="inlineStr">
        <is>
          <t>6. DP &amp; Closers - Depth</t>
        </is>
      </c>
      <c r="C850" s="66" t="inlineStr">
        <is>
          <t>22. Design</t>
        </is>
      </c>
      <c r="D850" s="66" t="inlineStr">
        <is>
          <t>Cache</t>
        </is>
      </c>
      <c r="E850" s="66" t="inlineStr">
        <is>
          <t>Design Memory Allocator</t>
        </is>
      </c>
      <c r="F850" s="66" t="inlineStr">
        <is>
          <t>Medium</t>
        </is>
      </c>
      <c r="G850" s="66" t="inlineStr">
        <is>
          <t>Depth</t>
        </is>
      </c>
      <c r="H850" s="66" t="inlineStr">
        <is>
          <t>LeetCode</t>
        </is>
      </c>
      <c r="I850" s="66" t="inlineStr">
        <is>
          <t>https://leetcode.com/problems/design-memory-allocator/</t>
        </is>
      </c>
      <c r="J850" s="66" t="inlineStr">
        <is>
          <t>Not Started</t>
        </is>
      </c>
      <c r="K850" s="66" t="n"/>
      <c r="L850" s="66" t="n"/>
      <c r="M850" s="72" t="n"/>
      <c r="N850" s="72">
        <f>IF($M850="","",$M850+IF($K850="",Dashboard!$M$9,INDEX(Dashboard!$M$5:$M$9,$K850)))</f>
        <v/>
      </c>
      <c r="O850" s="66">
        <f>IF(OR($J850="Attempted",$J850="Revisit"),"DUE",IF($N850="","",IF($N850&lt;=TODAY(),"DUE","")))</f>
        <v/>
      </c>
      <c r="P850" s="66" t="n"/>
    </row>
    <row r="851">
      <c r="A851" s="66" t="n">
        <v>850</v>
      </c>
      <c r="B851" s="66" t="inlineStr">
        <is>
          <t>6. DP &amp; Closers - Depth</t>
        </is>
      </c>
      <c r="C851" s="66" t="inlineStr">
        <is>
          <t>22. Design</t>
        </is>
      </c>
      <c r="D851" s="66" t="inlineStr">
        <is>
          <t>Cache</t>
        </is>
      </c>
      <c r="E851" s="66" t="inlineStr">
        <is>
          <t>Design Authentication Manager</t>
        </is>
      </c>
      <c r="F851" s="66" t="inlineStr">
        <is>
          <t>Medium</t>
        </is>
      </c>
      <c r="G851" s="66" t="inlineStr">
        <is>
          <t>Depth</t>
        </is>
      </c>
      <c r="H851" s="66" t="inlineStr">
        <is>
          <t>LeetCode</t>
        </is>
      </c>
      <c r="I851" s="66" t="inlineStr">
        <is>
          <t>https://leetcode.com/problems/design-authentication-manager/</t>
        </is>
      </c>
      <c r="J851" s="66" t="inlineStr">
        <is>
          <t>Not Started</t>
        </is>
      </c>
      <c r="K851" s="66" t="n"/>
      <c r="L851" s="66" t="n"/>
      <c r="M851" s="72" t="n"/>
      <c r="N851" s="72">
        <f>IF($M851="","",$M851+IF($K851="",Dashboard!$M$9,INDEX(Dashboard!$M$5:$M$9,$K851)))</f>
        <v/>
      </c>
      <c r="O851" s="66">
        <f>IF(OR($J851="Attempted",$J851="Revisit"),"DUE",IF($N851="","",IF($N851&lt;=TODAY(),"DUE","")))</f>
        <v/>
      </c>
      <c r="P851" s="66" t="inlineStr">
        <is>
          <t>v3 addition</t>
        </is>
      </c>
    </row>
    <row r="852">
      <c r="A852" s="66" t="n">
        <v>851</v>
      </c>
      <c r="B852" s="66" t="inlineStr">
        <is>
          <t>6. DP &amp; Closers - Depth</t>
        </is>
      </c>
      <c r="C852" s="66" t="inlineStr">
        <is>
          <t>22. Design</t>
        </is>
      </c>
      <c r="D852" s="66" t="inlineStr">
        <is>
          <t>Cache</t>
        </is>
      </c>
      <c r="E852" s="66" t="inlineStr">
        <is>
          <t>LFU Cache</t>
        </is>
      </c>
      <c r="F852" s="66" t="inlineStr">
        <is>
          <t>Hard</t>
        </is>
      </c>
      <c r="G852" s="66" t="inlineStr">
        <is>
          <t>Depth</t>
        </is>
      </c>
      <c r="H852" s="66" t="inlineStr">
        <is>
          <t>LeetCode</t>
        </is>
      </c>
      <c r="I852" s="66" t="inlineStr">
        <is>
          <t>https://leetcode.com/problems/lfu-cache/</t>
        </is>
      </c>
      <c r="J852" s="66" t="inlineStr">
        <is>
          <t>Not Started</t>
        </is>
      </c>
      <c r="K852" s="66" t="n"/>
      <c r="L852" s="66" t="n"/>
      <c r="M852" s="72" t="n"/>
      <c r="N852" s="72">
        <f>IF($M852="","",$M852+IF($K852="",Dashboard!$M$9,INDEX(Dashboard!$M$5:$M$9,$K852)))</f>
        <v/>
      </c>
      <c r="O852" s="66">
        <f>IF(OR($J852="Attempted",$J852="Revisit"),"DUE",IF($N852="","",IF($N852&lt;=TODAY(),"DUE","")))</f>
        <v/>
      </c>
      <c r="P852" s="66" t="inlineStr">
        <is>
          <t>v3 addition</t>
        </is>
      </c>
    </row>
    <row r="853">
      <c r="A853" s="66" t="n">
        <v>852</v>
      </c>
      <c r="B853" s="66" t="inlineStr">
        <is>
          <t>6. DP &amp; Closers - Depth</t>
        </is>
      </c>
      <c r="C853" s="66" t="inlineStr">
        <is>
          <t>22. Design</t>
        </is>
      </c>
      <c r="D853" s="66" t="inlineStr">
        <is>
          <t>Systems</t>
        </is>
      </c>
      <c r="E853" s="66" t="inlineStr">
        <is>
          <t>Design Browser History</t>
        </is>
      </c>
      <c r="F853" s="66" t="inlineStr">
        <is>
          <t>Medium</t>
        </is>
      </c>
      <c r="G853" s="66" t="inlineStr">
        <is>
          <t>Depth</t>
        </is>
      </c>
      <c r="H853" s="66" t="inlineStr">
        <is>
          <t>LeetCode</t>
        </is>
      </c>
      <c r="I853" s="66" t="inlineStr">
        <is>
          <t>https://leetcode.com/problems/design-browser-history/</t>
        </is>
      </c>
      <c r="J853" s="66" t="inlineStr">
        <is>
          <t>Not Started</t>
        </is>
      </c>
      <c r="K853" s="66" t="n"/>
      <c r="L853" s="66" t="n"/>
      <c r="M853" s="72" t="n"/>
      <c r="N853" s="72">
        <f>IF($M853="","",$M853+IF($K853="",Dashboard!$M$9,INDEX(Dashboard!$M$5:$M$9,$K853)))</f>
        <v/>
      </c>
      <c r="O853" s="66">
        <f>IF(OR($J853="Attempted",$J853="Revisit"),"DUE",IF($N853="","",IF($N853&lt;=TODAY(),"DUE","")))</f>
        <v/>
      </c>
      <c r="P853" s="66" t="inlineStr">
        <is>
          <t>v3 addition</t>
        </is>
      </c>
    </row>
    <row r="854">
      <c r="A854" s="66" t="n">
        <v>853</v>
      </c>
      <c r="B854" s="66" t="inlineStr">
        <is>
          <t>6. DP &amp; Closers - Depth</t>
        </is>
      </c>
      <c r="C854" s="66" t="inlineStr">
        <is>
          <t>22. Design</t>
        </is>
      </c>
      <c r="D854" s="66" t="inlineStr">
        <is>
          <t>Systems</t>
        </is>
      </c>
      <c r="E854" s="66" t="inlineStr">
        <is>
          <t>Design an ATM Machine</t>
        </is>
      </c>
      <c r="F854" s="66" t="inlineStr">
        <is>
          <t>Medium</t>
        </is>
      </c>
      <c r="G854" s="66" t="inlineStr">
        <is>
          <t>Depth</t>
        </is>
      </c>
      <c r="H854" s="66" t="inlineStr">
        <is>
          <t>LeetCode</t>
        </is>
      </c>
      <c r="I854" s="66" t="inlineStr">
        <is>
          <t>https://leetcode.com/problems/design-an-atm-machine/</t>
        </is>
      </c>
      <c r="J854" s="66" t="inlineStr">
        <is>
          <t>Not Started</t>
        </is>
      </c>
      <c r="K854" s="66" t="n"/>
      <c r="L854" s="66" t="n"/>
      <c r="M854" s="72" t="n"/>
      <c r="N854" s="72">
        <f>IF($M854="","",$M854+IF($K854="",Dashboard!$M$9,INDEX(Dashboard!$M$5:$M$9,$K854)))</f>
        <v/>
      </c>
      <c r="O854" s="66">
        <f>IF(OR($J854="Attempted",$J854="Revisit"),"DUE",IF($N854="","",IF($N854&lt;=TODAY(),"DUE","")))</f>
        <v/>
      </c>
      <c r="P854" s="66" t="inlineStr">
        <is>
          <t>v3 addition</t>
        </is>
      </c>
    </row>
    <row r="855">
      <c r="A855" s="66" t="n">
        <v>854</v>
      </c>
      <c r="B855" s="66" t="inlineStr">
        <is>
          <t>6. DP &amp; Closers - Depth</t>
        </is>
      </c>
      <c r="C855" s="66" t="inlineStr">
        <is>
          <t>22. Design</t>
        </is>
      </c>
      <c r="D855" s="66" t="inlineStr">
        <is>
          <t>Versioned data</t>
        </is>
      </c>
      <c r="E855" s="66" t="inlineStr">
        <is>
          <t>Implement Magic Dictionary</t>
        </is>
      </c>
      <c r="F855" s="66" t="inlineStr">
        <is>
          <t>Medium</t>
        </is>
      </c>
      <c r="G855" s="66" t="inlineStr">
        <is>
          <t>Depth</t>
        </is>
      </c>
      <c r="H855" s="66" t="inlineStr">
        <is>
          <t>LeetCode</t>
        </is>
      </c>
      <c r="I855" s="66" t="inlineStr">
        <is>
          <t>https://leetcode.com/problems/implement-magic-dictionary/</t>
        </is>
      </c>
      <c r="J855" s="66" t="inlineStr">
        <is>
          <t>Not Started</t>
        </is>
      </c>
      <c r="K855" s="66" t="n"/>
      <c r="L855" s="66" t="n"/>
      <c r="M855" s="72" t="n"/>
      <c r="N855" s="72">
        <f>IF($M855="","",$M855+IF($K855="",Dashboard!$M$9,INDEX(Dashboard!$M$5:$M$9,$K855)))</f>
        <v/>
      </c>
      <c r="O855" s="66">
        <f>IF(OR($J855="Attempted",$J855="Revisit"),"DUE",IF($N855="","",IF($N855&lt;=TODAY(),"DUE","")))</f>
        <v/>
      </c>
      <c r="P855" s="66" t="inlineStr">
        <is>
          <t>v3 addition</t>
        </is>
      </c>
    </row>
    <row r="856">
      <c r="A856" s="66" t="n">
        <v>855</v>
      </c>
      <c r="B856" s="66" t="inlineStr">
        <is>
          <t>6. DP &amp; Closers - Depth</t>
        </is>
      </c>
      <c r="C856" s="66" t="inlineStr">
        <is>
          <t>22. Design</t>
        </is>
      </c>
      <c r="D856" s="66" t="inlineStr">
        <is>
          <t>Randomized / sampling</t>
        </is>
      </c>
      <c r="E856" s="66" t="inlineStr">
        <is>
          <t>Random Pick with Weight</t>
        </is>
      </c>
      <c r="F856" s="66" t="inlineStr">
        <is>
          <t>Medium</t>
        </is>
      </c>
      <c r="G856" s="66" t="inlineStr">
        <is>
          <t>Depth</t>
        </is>
      </c>
      <c r="H856" s="66" t="inlineStr">
        <is>
          <t>LeetCode</t>
        </is>
      </c>
      <c r="I856" s="66" t="inlineStr">
        <is>
          <t>https://leetcode.com/problems/random-pick-with-weight/</t>
        </is>
      </c>
      <c r="J856" s="66" t="inlineStr">
        <is>
          <t>Not Started</t>
        </is>
      </c>
      <c r="K856" s="66" t="n"/>
      <c r="L856" s="66" t="n"/>
      <c r="M856" s="72" t="n"/>
      <c r="N856" s="72">
        <f>IF($M856="","",$M856+IF($K856="",Dashboard!$M$9,INDEX(Dashboard!$M$5:$M$9,$K856)))</f>
        <v/>
      </c>
      <c r="O856" s="66">
        <f>IF(OR($J856="Attempted",$J856="Revisit"),"DUE",IF($N856="","",IF($N856&lt;=TODAY(),"DUE","")))</f>
        <v/>
      </c>
      <c r="P856" s="66" t="inlineStr">
        <is>
          <t>v3 addition</t>
        </is>
      </c>
    </row>
    <row r="857">
      <c r="A857" s="66" t="n">
        <v>856</v>
      </c>
      <c r="B857" s="66" t="inlineStr">
        <is>
          <t>6. DP &amp; Closers - Depth</t>
        </is>
      </c>
      <c r="C857" s="66" t="inlineStr">
        <is>
          <t>22. Design</t>
        </is>
      </c>
      <c r="D857" s="66" t="inlineStr">
        <is>
          <t>Randomized / sampling</t>
        </is>
      </c>
      <c r="E857" s="66" t="inlineStr">
        <is>
          <t>Shuffle an Array</t>
        </is>
      </c>
      <c r="F857" s="66" t="inlineStr">
        <is>
          <t>Medium</t>
        </is>
      </c>
      <c r="G857" s="66" t="inlineStr">
        <is>
          <t>Depth</t>
        </is>
      </c>
      <c r="H857" s="66" t="inlineStr">
        <is>
          <t>LeetCode</t>
        </is>
      </c>
      <c r="I857" s="66" t="inlineStr">
        <is>
          <t>https://leetcode.com/problems/shuffle-an-array/</t>
        </is>
      </c>
      <c r="J857" s="66" t="inlineStr">
        <is>
          <t>Not Started</t>
        </is>
      </c>
      <c r="K857" s="66" t="n"/>
      <c r="L857" s="66" t="n"/>
      <c r="M857" s="72" t="n"/>
      <c r="N857" s="72">
        <f>IF($M857="","",$M857+IF($K857="",Dashboard!$M$9,INDEX(Dashboard!$M$5:$M$9,$K857)))</f>
        <v/>
      </c>
      <c r="O857" s="66">
        <f>IF(OR($J857="Attempted",$J857="Revisit"),"DUE",IF($N857="","",IF($N857&lt;=TODAY(),"DUE","")))</f>
        <v/>
      </c>
      <c r="P857" s="66" t="inlineStr">
        <is>
          <t>v3 addition</t>
        </is>
      </c>
    </row>
    <row r="858">
      <c r="A858" s="66" t="n">
        <v>857</v>
      </c>
      <c r="B858" s="66" t="inlineStr">
        <is>
          <t>6. DP &amp; Closers - Depth</t>
        </is>
      </c>
      <c r="C858" s="66" t="inlineStr">
        <is>
          <t>22. Design</t>
        </is>
      </c>
      <c r="D858" s="66" t="inlineStr">
        <is>
          <t>Randomized / sampling</t>
        </is>
      </c>
      <c r="E858" s="66" t="inlineStr">
        <is>
          <t>Linked List Random Node</t>
        </is>
      </c>
      <c r="F858" s="66" t="inlineStr">
        <is>
          <t>Medium</t>
        </is>
      </c>
      <c r="G858" s="66" t="inlineStr">
        <is>
          <t>Depth</t>
        </is>
      </c>
      <c r="H858" s="66" t="inlineStr">
        <is>
          <t>LeetCode</t>
        </is>
      </c>
      <c r="I858" s="66" t="inlineStr">
        <is>
          <t>https://leetcode.com/problems/linked-list-random-node/</t>
        </is>
      </c>
      <c r="J858" s="66" t="inlineStr">
        <is>
          <t>Not Started</t>
        </is>
      </c>
      <c r="K858" s="66" t="n"/>
      <c r="L858" s="66" t="n"/>
      <c r="M858" s="72" t="n"/>
      <c r="N858" s="72">
        <f>IF($M858="","",$M858+IF($K858="",Dashboard!$M$9,INDEX(Dashboard!$M$5:$M$9,$K858)))</f>
        <v/>
      </c>
      <c r="O858" s="66">
        <f>IF(OR($J858="Attempted",$J858="Revisit"),"DUE",IF($N858="","",IF($N858&lt;=TODAY(),"DUE","")))</f>
        <v/>
      </c>
      <c r="P858" s="66" t="inlineStr">
        <is>
          <t>v3 addition</t>
        </is>
      </c>
    </row>
    <row r="859">
      <c r="A859" s="66" t="n">
        <v>858</v>
      </c>
      <c r="B859" s="66" t="inlineStr">
        <is>
          <t>6. DP &amp; Closers - Depth</t>
        </is>
      </c>
      <c r="C859" s="66" t="inlineStr">
        <is>
          <t>22. Design</t>
        </is>
      </c>
      <c r="D859" s="66" t="inlineStr">
        <is>
          <t>Randomized / sampling</t>
        </is>
      </c>
      <c r="E859" s="66" t="inlineStr">
        <is>
          <t>Random Pick Index</t>
        </is>
      </c>
      <c r="F859" s="66" t="inlineStr">
        <is>
          <t>Medium</t>
        </is>
      </c>
      <c r="G859" s="66" t="inlineStr">
        <is>
          <t>Depth</t>
        </is>
      </c>
      <c r="H859" s="66" t="inlineStr">
        <is>
          <t>LeetCode</t>
        </is>
      </c>
      <c r="I859" s="66" t="inlineStr">
        <is>
          <t>https://leetcode.com/problems/random-pick-index/</t>
        </is>
      </c>
      <c r="J859" s="66" t="inlineStr">
        <is>
          <t>Not Started</t>
        </is>
      </c>
      <c r="K859" s="66" t="n"/>
      <c r="L859" s="66" t="n"/>
      <c r="M859" s="72" t="n"/>
      <c r="N859" s="72">
        <f>IF($M859="","",$M859+IF($K859="",Dashboard!$M$9,INDEX(Dashboard!$M$5:$M$9,$K859)))</f>
        <v/>
      </c>
      <c r="O859" s="66">
        <f>IF(OR($J859="Attempted",$J859="Revisit"),"DUE",IF($N859="","",IF($N859&lt;=TODAY(),"DUE","")))</f>
        <v/>
      </c>
      <c r="P859" s="66" t="inlineStr">
        <is>
          <t>v3 addition</t>
        </is>
      </c>
    </row>
    <row r="860">
      <c r="A860" s="66" t="n">
        <v>859</v>
      </c>
      <c r="B860" s="66" t="inlineStr">
        <is>
          <t>6. DP &amp; Closers - Depth</t>
        </is>
      </c>
      <c r="C860" s="66" t="inlineStr">
        <is>
          <t>23. Advanced DS</t>
        </is>
      </c>
      <c r="D860" s="66" t="inlineStr">
        <is>
          <t>Fenwick tree</t>
        </is>
      </c>
      <c r="E860" s="66" t="inlineStr">
        <is>
          <t>Binary Indexed Tree (Fenwick Tree)</t>
        </is>
      </c>
      <c r="F860" s="66" t="inlineStr">
        <is>
          <t>Medium</t>
        </is>
      </c>
      <c r="G860" s="66" t="inlineStr">
        <is>
          <t>Depth</t>
        </is>
      </c>
      <c r="H860" s="66" t="inlineStr">
        <is>
          <t>GeeksforGeeks</t>
        </is>
      </c>
      <c r="I860" s="66" t="inlineStr">
        <is>
          <t>https://www.geeksforgeeks.org/dsa/binary-indexed-tree-or-fenwick-tree-2/</t>
        </is>
      </c>
      <c r="J860" s="66" t="inlineStr">
        <is>
          <t>Not Started</t>
        </is>
      </c>
      <c r="K860" s="66" t="n"/>
      <c r="L860" s="66" t="n"/>
      <c r="M860" s="72" t="n"/>
      <c r="N860" s="72">
        <f>IF($M860="","",$M860+IF($K860="",Dashboard!$M$9,INDEX(Dashboard!$M$5:$M$9,$K860)))</f>
        <v/>
      </c>
      <c r="O860" s="66">
        <f>IF(OR($J860="Attempted",$J860="Revisit"),"DUE",IF($N860="","",IF($N860&lt;=TODAY(),"DUE","")))</f>
        <v/>
      </c>
      <c r="P860" s="66" t="inlineStr">
        <is>
          <t>v3 addition</t>
        </is>
      </c>
    </row>
    <row r="861">
      <c r="A861" s="66" t="n">
        <v>860</v>
      </c>
      <c r="B861" s="66" t="inlineStr">
        <is>
          <t>6. DP &amp; Closers - Depth</t>
        </is>
      </c>
      <c r="C861" s="66" t="inlineStr">
        <is>
          <t>23. Advanced DS</t>
        </is>
      </c>
      <c r="D861" s="66" t="inlineStr">
        <is>
          <t>Fenwick tree</t>
        </is>
      </c>
      <c r="E861" s="66" t="inlineStr">
        <is>
          <t>Inversion Count using BIT</t>
        </is>
      </c>
      <c r="F861" s="66" t="inlineStr">
        <is>
          <t>Medium</t>
        </is>
      </c>
      <c r="G861" s="66" t="inlineStr">
        <is>
          <t>Depth</t>
        </is>
      </c>
      <c r="H861" s="66" t="inlineStr">
        <is>
          <t>GeeksforGeeks</t>
        </is>
      </c>
      <c r="I861" s="66" t="inlineStr">
        <is>
          <t>https://www.geeksforgeeks.org/search/?q=Inversion+Count+using+BIT</t>
        </is>
      </c>
      <c r="J861" s="66" t="inlineStr">
        <is>
          <t>Not Started</t>
        </is>
      </c>
      <c r="K861" s="66" t="n"/>
      <c r="L861" s="66" t="n"/>
      <c r="M861" s="72" t="n"/>
      <c r="N861" s="72">
        <f>IF($M861="","",$M861+IF($K861="",Dashboard!$M$9,INDEX(Dashboard!$M$5:$M$9,$K861)))</f>
        <v/>
      </c>
      <c r="O861" s="66">
        <f>IF(OR($J861="Attempted",$J861="Revisit"),"DUE",IF($N861="","",IF($N861&lt;=TODAY(),"DUE","")))</f>
        <v/>
      </c>
      <c r="P861" s="66" t="inlineStr">
        <is>
          <t>v3 addition</t>
        </is>
      </c>
    </row>
    <row r="862">
      <c r="A862" s="66" t="n">
        <v>861</v>
      </c>
      <c r="B862" s="66" t="inlineStr">
        <is>
          <t>6. DP &amp; Closers - Depth</t>
        </is>
      </c>
      <c r="C862" s="66" t="inlineStr">
        <is>
          <t>23. Advanced DS</t>
        </is>
      </c>
      <c r="D862" s="66" t="inlineStr">
        <is>
          <t>Fenwick tree</t>
        </is>
      </c>
      <c r="E862" s="66" t="inlineStr">
        <is>
          <t>Queries on a Permutation With Key</t>
        </is>
      </c>
      <c r="F862" s="66" t="inlineStr">
        <is>
          <t>Medium</t>
        </is>
      </c>
      <c r="G862" s="66" t="inlineStr">
        <is>
          <t>Depth</t>
        </is>
      </c>
      <c r="H862" s="66" t="inlineStr">
        <is>
          <t>LeetCode</t>
        </is>
      </c>
      <c r="I862" s="66" t="inlineStr">
        <is>
          <t>https://leetcode.com/problems/queries-on-a-permutation-with-key/</t>
        </is>
      </c>
      <c r="J862" s="66" t="inlineStr">
        <is>
          <t>Not Started</t>
        </is>
      </c>
      <c r="K862" s="66" t="n"/>
      <c r="L862" s="66" t="n"/>
      <c r="M862" s="72" t="n"/>
      <c r="N862" s="72">
        <f>IF($M862="","",$M862+IF($K862="",Dashboard!$M$9,INDEX(Dashboard!$M$5:$M$9,$K862)))</f>
        <v/>
      </c>
      <c r="O862" s="66">
        <f>IF(OR($J862="Attempted",$J862="Revisit"),"DUE",IF($N862="","",IF($N862&lt;=TODAY(),"DUE","")))</f>
        <v/>
      </c>
      <c r="P862" s="66" t="inlineStr">
        <is>
          <t>v3 addition</t>
        </is>
      </c>
    </row>
    <row r="863">
      <c r="A863" s="66" t="n">
        <v>862</v>
      </c>
      <c r="B863" s="66" t="inlineStr">
        <is>
          <t>6. DP &amp; Closers - Depth</t>
        </is>
      </c>
      <c r="C863" s="66" t="inlineStr">
        <is>
          <t>23. Advanced DS</t>
        </is>
      </c>
      <c r="D863" s="66" t="inlineStr">
        <is>
          <t>Segment tree</t>
        </is>
      </c>
      <c r="E863" s="66" t="inlineStr">
        <is>
          <t>Range Sum Query - Mutable</t>
        </is>
      </c>
      <c r="F863" s="66" t="inlineStr">
        <is>
          <t>Medium</t>
        </is>
      </c>
      <c r="G863" s="66" t="inlineStr">
        <is>
          <t>Depth</t>
        </is>
      </c>
      <c r="H863" s="66" t="inlineStr">
        <is>
          <t>LeetCode</t>
        </is>
      </c>
      <c r="I863" s="66" t="inlineStr">
        <is>
          <t>https://leetcode.com/problems/range-sum-query-mutable/</t>
        </is>
      </c>
      <c r="J863" s="66" t="inlineStr">
        <is>
          <t>Not Started</t>
        </is>
      </c>
      <c r="K863" s="66" t="n"/>
      <c r="L863" s="66" t="n"/>
      <c r="M863" s="72" t="n"/>
      <c r="N863" s="72">
        <f>IF($M863="","",$M863+IF($K863="",Dashboard!$M$9,INDEX(Dashboard!$M$5:$M$9,$K863)))</f>
        <v/>
      </c>
      <c r="O863" s="66">
        <f>IF(OR($J863="Attempted",$J863="Revisit"),"DUE",IF($N863="","",IF($N863&lt;=TODAY(),"DUE","")))</f>
        <v/>
      </c>
      <c r="P863" s="66" t="n"/>
    </row>
    <row r="864">
      <c r="A864" s="66" t="n">
        <v>863</v>
      </c>
      <c r="B864" s="66" t="inlineStr">
        <is>
          <t>6. DP &amp; Closers - Depth</t>
        </is>
      </c>
      <c r="C864" s="66" t="inlineStr">
        <is>
          <t>23. Advanced DS</t>
        </is>
      </c>
      <c r="D864" s="66" t="inlineStr">
        <is>
          <t>Segment tree</t>
        </is>
      </c>
      <c r="E864" s="66" t="inlineStr">
        <is>
          <t>Range Minimum Query (Segment Tree)</t>
        </is>
      </c>
      <c r="F864" s="66" t="inlineStr">
        <is>
          <t>Medium</t>
        </is>
      </c>
      <c r="G864" s="66" t="inlineStr">
        <is>
          <t>Depth</t>
        </is>
      </c>
      <c r="H864" s="66" t="inlineStr">
        <is>
          <t>GeeksforGeeks</t>
        </is>
      </c>
      <c r="I864" s="66" t="inlineStr">
        <is>
          <t>https://www.geeksforgeeks.org/problems/range-minimum-query/1</t>
        </is>
      </c>
      <c r="J864" s="66" t="inlineStr">
        <is>
          <t>Not Started</t>
        </is>
      </c>
      <c r="K864" s="66" t="n"/>
      <c r="L864" s="66" t="n"/>
      <c r="M864" s="72" t="n"/>
      <c r="N864" s="72">
        <f>IF($M864="","",$M864+IF($K864="",Dashboard!$M$9,INDEX(Dashboard!$M$5:$M$9,$K864)))</f>
        <v/>
      </c>
      <c r="O864" s="66">
        <f>IF(OR($J864="Attempted",$J864="Revisit"),"DUE",IF($N864="","",IF($N864&lt;=TODAY(),"DUE","")))</f>
        <v/>
      </c>
      <c r="P864" s="66" t="n"/>
    </row>
    <row r="865">
      <c r="A865" s="66" t="n">
        <v>864</v>
      </c>
      <c r="B865" s="66" t="inlineStr">
        <is>
          <t>6. DP &amp; Closers - Depth</t>
        </is>
      </c>
      <c r="C865" s="66" t="inlineStr">
        <is>
          <t>23. Advanced DS</t>
        </is>
      </c>
      <c r="D865" s="66" t="inlineStr">
        <is>
          <t>Segment tree</t>
        </is>
      </c>
      <c r="E865" s="66" t="inlineStr">
        <is>
          <t>Range Frequency Queries</t>
        </is>
      </c>
      <c r="F865" s="66" t="inlineStr">
        <is>
          <t>Medium</t>
        </is>
      </c>
      <c r="G865" s="66" t="inlineStr">
        <is>
          <t>Depth</t>
        </is>
      </c>
      <c r="H865" s="66" t="inlineStr">
        <is>
          <t>LeetCode</t>
        </is>
      </c>
      <c r="I865" s="66" t="inlineStr">
        <is>
          <t>https://leetcode.com/problems/range-frequency-queries/</t>
        </is>
      </c>
      <c r="J865" s="66" t="inlineStr">
        <is>
          <t>Not Started</t>
        </is>
      </c>
      <c r="K865" s="66" t="n"/>
      <c r="L865" s="66" t="n"/>
      <c r="M865" s="72" t="n"/>
      <c r="N865" s="72">
        <f>IF($M865="","",$M865+IF($K865="",Dashboard!$M$9,INDEX(Dashboard!$M$5:$M$9,$K865)))</f>
        <v/>
      </c>
      <c r="O865" s="66">
        <f>IF(OR($J865="Attempted",$J865="Revisit"),"DUE",IF($N865="","",IF($N865&lt;=TODAY(),"DUE","")))</f>
        <v/>
      </c>
      <c r="P865" s="66" t="n"/>
    </row>
    <row r="866">
      <c r="A866" s="66" t="n">
        <v>865</v>
      </c>
      <c r="B866" s="66" t="inlineStr">
        <is>
          <t>6. DP &amp; Closers - Depth</t>
        </is>
      </c>
      <c r="C866" s="66" t="inlineStr">
        <is>
          <t>23. Advanced DS</t>
        </is>
      </c>
      <c r="D866" s="66" t="inlineStr">
        <is>
          <t>Sparse table</t>
        </is>
      </c>
      <c r="E866" s="66" t="inlineStr">
        <is>
          <t>Range Minimum Query using Sparse Table</t>
        </is>
      </c>
      <c r="F866" s="66" t="inlineStr">
        <is>
          <t>Hard</t>
        </is>
      </c>
      <c r="G866" s="66" t="inlineStr">
        <is>
          <t>Depth</t>
        </is>
      </c>
      <c r="H866" s="66" t="inlineStr">
        <is>
          <t>GeeksforGeeks</t>
        </is>
      </c>
      <c r="I866" s="66" t="inlineStr">
        <is>
          <t>https://www.geeksforgeeks.org/problems/range-minimum-query/1</t>
        </is>
      </c>
      <c r="J866" s="66" t="inlineStr">
        <is>
          <t>Not Started</t>
        </is>
      </c>
      <c r="K866" s="66" t="n"/>
      <c r="L866" s="66" t="n"/>
      <c r="M866" s="72" t="n"/>
      <c r="N866" s="72">
        <f>IF($M866="","",$M866+IF($K866="",Dashboard!$M$9,INDEX(Dashboard!$M$5:$M$9,$K866)))</f>
        <v/>
      </c>
      <c r="O866" s="66">
        <f>IF(OR($J866="Attempted",$J866="Revisit"),"DUE",IF($N866="","",IF($N866&lt;=TODAY(),"DUE","")))</f>
        <v/>
      </c>
      <c r="P866" s="66" t="n"/>
    </row>
    <row r="867">
      <c r="A867" s="66" t="n">
        <v>866</v>
      </c>
      <c r="B867" s="66" t="inlineStr">
        <is>
          <t>6. DP &amp; Closers - Depth</t>
        </is>
      </c>
      <c r="C867" s="66" t="inlineStr">
        <is>
          <t>23. Advanced DS</t>
        </is>
      </c>
      <c r="D867" s="66" t="inlineStr">
        <is>
          <t>Sparse table</t>
        </is>
      </c>
      <c r="E867" s="66" t="inlineStr">
        <is>
          <t>Range GCD Queries using Sparse Table</t>
        </is>
      </c>
      <c r="F867" s="66" t="inlineStr">
        <is>
          <t>Medium</t>
        </is>
      </c>
      <c r="G867" s="66" t="inlineStr">
        <is>
          <t>Depth</t>
        </is>
      </c>
      <c r="H867" s="66" t="inlineStr">
        <is>
          <t>GeeksforGeeks</t>
        </is>
      </c>
      <c r="I867" s="66" t="inlineStr">
        <is>
          <t>https://www.geeksforgeeks.org/search/?q=Range+GCD+Queries+using+Sparse+Table</t>
        </is>
      </c>
      <c r="J867" s="66" t="inlineStr">
        <is>
          <t>Not Started</t>
        </is>
      </c>
      <c r="K867" s="66" t="n"/>
      <c r="L867" s="66" t="n"/>
      <c r="M867" s="72" t="n"/>
      <c r="N867" s="72">
        <f>IF($M867="","",$M867+IF($K867="",Dashboard!$M$9,INDEX(Dashboard!$M$5:$M$9,$K867)))</f>
        <v/>
      </c>
      <c r="O867" s="66">
        <f>IF(OR($J867="Attempted",$J867="Revisit"),"DUE",IF($N867="","",IF($N867&lt;=TODAY(),"DUE","")))</f>
        <v/>
      </c>
      <c r="P867" s="66" t="n"/>
    </row>
    <row r="868">
      <c r="A868" s="66" t="n">
        <v>867</v>
      </c>
      <c r="B868" s="66" t="inlineStr">
        <is>
          <t>6. DP &amp; Closers - Depth</t>
        </is>
      </c>
      <c r="C868" s="66" t="inlineStr">
        <is>
          <t>23. Advanced DS</t>
        </is>
      </c>
      <c r="D868" s="66" t="inlineStr">
        <is>
          <t>Sparse table</t>
        </is>
      </c>
      <c r="E868" s="66" t="inlineStr">
        <is>
          <t>Maximum in Subarrays of Size K using Sparse Table</t>
        </is>
      </c>
      <c r="F868" s="66" t="inlineStr">
        <is>
          <t>Medium</t>
        </is>
      </c>
      <c r="G868" s="66" t="inlineStr">
        <is>
          <t>Depth</t>
        </is>
      </c>
      <c r="H868" s="66" t="inlineStr">
        <is>
          <t>GeeksforGeeks</t>
        </is>
      </c>
      <c r="I868" s="66" t="inlineStr">
        <is>
          <t>https://www.geeksforgeeks.org/search/?q=Maximum+in+Subarrays+of+Size+K+using+Sparse+Table</t>
        </is>
      </c>
      <c r="J868" s="66" t="inlineStr">
        <is>
          <t>Not Started</t>
        </is>
      </c>
      <c r="K868" s="66" t="n"/>
      <c r="L868" s="66" t="n"/>
      <c r="M868" s="72" t="n"/>
      <c r="N868" s="72">
        <f>IF($M868="","",$M868+IF($K868="",Dashboard!$M$9,INDEX(Dashboard!$M$5:$M$9,$K868)))</f>
        <v/>
      </c>
      <c r="O868" s="66">
        <f>IF(OR($J868="Attempted",$J868="Revisit"),"DUE",IF($N868="","",IF($N868&lt;=TODAY(),"DUE","")))</f>
        <v/>
      </c>
      <c r="P868" s="66" t="n"/>
    </row>
    <row r="869">
      <c r="A869" s="66" t="n">
        <v>868</v>
      </c>
      <c r="B869" s="66" t="inlineStr">
        <is>
          <t>6. DP &amp; Closers - Depth</t>
        </is>
      </c>
      <c r="C869" s="66" t="inlineStr">
        <is>
          <t>23. Advanced DS</t>
        </is>
      </c>
      <c r="D869" s="66" t="inlineStr">
        <is>
          <t>Sweep line</t>
        </is>
      </c>
      <c r="E869" s="66" t="inlineStr">
        <is>
          <t>Describe the Painting</t>
        </is>
      </c>
      <c r="F869" s="66" t="inlineStr">
        <is>
          <t>Medium</t>
        </is>
      </c>
      <c r="G869" s="66" t="inlineStr">
        <is>
          <t>Depth</t>
        </is>
      </c>
      <c r="H869" s="66" t="inlineStr">
        <is>
          <t>LeetCode</t>
        </is>
      </c>
      <c r="I869" s="66" t="inlineStr">
        <is>
          <t>https://leetcode.com/problems/describe-the-painting/</t>
        </is>
      </c>
      <c r="J869" s="66" t="inlineStr">
        <is>
          <t>Not Started</t>
        </is>
      </c>
      <c r="K869" s="66" t="n"/>
      <c r="L869" s="66" t="n"/>
      <c r="M869" s="72" t="n"/>
      <c r="N869" s="72">
        <f>IF($M869="","",$M869+IF($K869="",Dashboard!$M$9,INDEX(Dashboard!$M$5:$M$9,$K869)))</f>
        <v/>
      </c>
      <c r="O869" s="66">
        <f>IF(OR($J869="Attempted",$J869="Revisit"),"DUE",IF($N869="","",IF($N869&lt;=TODAY(),"DUE","")))</f>
        <v/>
      </c>
      <c r="P869" s="66" t="n"/>
    </row>
    <row r="870">
      <c r="A870" s="66" t="n">
        <v>869</v>
      </c>
      <c r="B870" s="66" t="inlineStr">
        <is>
          <t>6. DP &amp; Closers - Depth</t>
        </is>
      </c>
      <c r="C870" s="66" t="inlineStr">
        <is>
          <t>23. Advanced DS</t>
        </is>
      </c>
      <c r="D870" s="66" t="inlineStr">
        <is>
          <t>Ordered set</t>
        </is>
      </c>
      <c r="E870" s="66" t="inlineStr">
        <is>
          <t>Rank of an Element in a Stream</t>
        </is>
      </c>
      <c r="F870" s="66" t="inlineStr">
        <is>
          <t>Medium</t>
        </is>
      </c>
      <c r="G870" s="66" t="inlineStr">
        <is>
          <t>Depth</t>
        </is>
      </c>
      <c r="H870" s="66" t="inlineStr">
        <is>
          <t>GeeksforGeeks</t>
        </is>
      </c>
      <c r="I870" s="66" t="inlineStr">
        <is>
          <t>https://www.geeksforgeeks.org/search/?q=Rank+of+an+Element+in+a+Stream</t>
        </is>
      </c>
      <c r="J870" s="66" t="inlineStr">
        <is>
          <t>Not Started</t>
        </is>
      </c>
      <c r="K870" s="66" t="n"/>
      <c r="L870" s="66" t="n"/>
      <c r="M870" s="72" t="n"/>
      <c r="N870" s="72">
        <f>IF($M870="","",$M870+IF($K870="",Dashboard!$M$9,INDEX(Dashboard!$M$5:$M$9,$K870)))</f>
        <v/>
      </c>
      <c r="O870" s="66">
        <f>IF(OR($J870="Attempted",$J870="Revisit"),"DUE",IF($N870="","",IF($N870&lt;=TODAY(),"DUE","")))</f>
        <v/>
      </c>
      <c r="P870" s="66" t="n"/>
    </row>
    <row r="871">
      <c r="A871" s="66" t="n">
        <v>870</v>
      </c>
      <c r="B871" s="66" t="inlineStr">
        <is>
          <t>6. DP &amp; Closers - Stretch</t>
        </is>
      </c>
      <c r="C871" s="66" t="inlineStr">
        <is>
          <t>21. Dynamic Programming</t>
        </is>
      </c>
      <c r="D871" s="66" t="inlineStr">
        <is>
          <t>Grid DP</t>
        </is>
      </c>
      <c r="E871" s="66" t="inlineStr">
        <is>
          <t>Cherry Pickup II</t>
        </is>
      </c>
      <c r="F871" s="66" t="inlineStr">
        <is>
          <t>Hard</t>
        </is>
      </c>
      <c r="G871" s="66" t="inlineStr">
        <is>
          <t>Stretch</t>
        </is>
      </c>
      <c r="H871" s="66" t="inlineStr">
        <is>
          <t>LeetCode</t>
        </is>
      </c>
      <c r="I871" s="66" t="inlineStr">
        <is>
          <t>https://leetcode.com/problems/cherry-pickup-ii/</t>
        </is>
      </c>
      <c r="J871" s="66" t="inlineStr">
        <is>
          <t>Not Started</t>
        </is>
      </c>
      <c r="K871" s="66" t="n"/>
      <c r="L871" s="66" t="n"/>
      <c r="M871" s="72" t="n"/>
      <c r="N871" s="72">
        <f>IF($M871="","",$M871+IF($K871="",Dashboard!$M$9,INDEX(Dashboard!$M$5:$M$9,$K871)))</f>
        <v/>
      </c>
      <c r="O871" s="66">
        <f>IF(OR($J871="Attempted",$J871="Revisit"),"DUE",IF($N871="","",IF($N871&lt;=TODAY(),"DUE","")))</f>
        <v/>
      </c>
      <c r="P871" s="66" t="n"/>
    </row>
    <row r="872">
      <c r="A872" s="66" t="n">
        <v>871</v>
      </c>
      <c r="B872" s="66" t="inlineStr">
        <is>
          <t>6. DP &amp; Closers - Stretch</t>
        </is>
      </c>
      <c r="C872" s="66" t="inlineStr">
        <is>
          <t>21. Dynamic Programming</t>
        </is>
      </c>
      <c r="D872" s="66" t="inlineStr">
        <is>
          <t>Grid DP</t>
        </is>
      </c>
      <c r="E872" s="66" t="inlineStr">
        <is>
          <t>Dungeon Game</t>
        </is>
      </c>
      <c r="F872" s="66" t="inlineStr">
        <is>
          <t>Hard</t>
        </is>
      </c>
      <c r="G872" s="66" t="inlineStr">
        <is>
          <t>Stretch</t>
        </is>
      </c>
      <c r="H872" s="66" t="inlineStr">
        <is>
          <t>LeetCode</t>
        </is>
      </c>
      <c r="I872" s="66" t="inlineStr">
        <is>
          <t>https://leetcode.com/problems/dungeon-game/</t>
        </is>
      </c>
      <c r="J872" s="66" t="inlineStr">
        <is>
          <t>Not Started</t>
        </is>
      </c>
      <c r="K872" s="66" t="n"/>
      <c r="L872" s="66" t="n"/>
      <c r="M872" s="72" t="n"/>
      <c r="N872" s="72">
        <f>IF($M872="","",$M872+IF($K872="",Dashboard!$M$9,INDEX(Dashboard!$M$5:$M$9,$K872)))</f>
        <v/>
      </c>
      <c r="O872" s="66">
        <f>IF(OR($J872="Attempted",$J872="Revisit"),"DUE",IF($N872="","",IF($N872&lt;=TODAY(),"DUE","")))</f>
        <v/>
      </c>
      <c r="P872" s="66" t="n"/>
    </row>
    <row r="873">
      <c r="A873" s="66" t="n">
        <v>872</v>
      </c>
      <c r="B873" s="66" t="inlineStr">
        <is>
          <t>6. DP &amp; Closers - Stretch</t>
        </is>
      </c>
      <c r="C873" s="66" t="inlineStr">
        <is>
          <t>21. Dynamic Programming</t>
        </is>
      </c>
      <c r="D873" s="66" t="inlineStr">
        <is>
          <t>Grid DP</t>
        </is>
      </c>
      <c r="E873" s="66" t="inlineStr">
        <is>
          <t>Longest Increasing Path in a Matrix</t>
        </is>
      </c>
      <c r="F873" s="66" t="inlineStr">
        <is>
          <t>Hard</t>
        </is>
      </c>
      <c r="G873" s="66" t="inlineStr">
        <is>
          <t>Stretch</t>
        </is>
      </c>
      <c r="H873" s="66" t="inlineStr">
        <is>
          <t>LeetCode</t>
        </is>
      </c>
      <c r="I873" s="66" t="inlineStr">
        <is>
          <t>https://leetcode.com/problems/longest-increasing-path-in-a-matrix/</t>
        </is>
      </c>
      <c r="J873" s="66" t="inlineStr">
        <is>
          <t>Not Started</t>
        </is>
      </c>
      <c r="K873" s="66" t="n"/>
      <c r="L873" s="66" t="n"/>
      <c r="M873" s="72" t="n"/>
      <c r="N873" s="72">
        <f>IF($M873="","",$M873+IF($K873="",Dashboard!$M$9,INDEX(Dashboard!$M$5:$M$9,$K873)))</f>
        <v/>
      </c>
      <c r="O873" s="66">
        <f>IF(OR($J873="Attempted",$J873="Revisit"),"DUE",IF($N873="","",IF($N873&lt;=TODAY(),"DUE","")))</f>
        <v/>
      </c>
      <c r="P873" s="66" t="n"/>
    </row>
    <row r="874">
      <c r="A874" s="66" t="n">
        <v>873</v>
      </c>
      <c r="B874" s="66" t="inlineStr">
        <is>
          <t>6. DP &amp; Closers - Stretch</t>
        </is>
      </c>
      <c r="C874" s="66" t="inlineStr">
        <is>
          <t>21. Dynamic Programming</t>
        </is>
      </c>
      <c r="D874" s="66" t="inlineStr">
        <is>
          <t>0/1 Knapsack</t>
        </is>
      </c>
      <c r="E874" s="66" t="inlineStr">
        <is>
          <t>Minimum Subset Sum Difference</t>
        </is>
      </c>
      <c r="F874" s="66" t="inlineStr">
        <is>
          <t>Hard</t>
        </is>
      </c>
      <c r="G874" s="66" t="inlineStr">
        <is>
          <t>Stretch</t>
        </is>
      </c>
      <c r="H874" s="66" t="inlineStr">
        <is>
          <t>GeeksforGeeks</t>
        </is>
      </c>
      <c r="I874" s="66" t="inlineStr">
        <is>
          <t>https://www.geeksforgeeks.org/problems/minimum-sum-partition3317/1</t>
        </is>
      </c>
      <c r="J874" s="66" t="inlineStr">
        <is>
          <t>Not Started</t>
        </is>
      </c>
      <c r="K874" s="66" t="n"/>
      <c r="L874" s="66" t="n"/>
      <c r="M874" s="72" t="n"/>
      <c r="N874" s="72">
        <f>IF($M874="","",$M874+IF($K874="",Dashboard!$M$9,INDEX(Dashboard!$M$5:$M$9,$K874)))</f>
        <v/>
      </c>
      <c r="O874" s="66">
        <f>IF(OR($J874="Attempted",$J874="Revisit"),"DUE",IF($N874="","",IF($N874&lt;=TODAY(),"DUE","")))</f>
        <v/>
      </c>
      <c r="P874" s="66" t="n"/>
    </row>
    <row r="875">
      <c r="A875" s="66" t="n">
        <v>874</v>
      </c>
      <c r="B875" s="66" t="inlineStr">
        <is>
          <t>6. DP &amp; Closers - Stretch</t>
        </is>
      </c>
      <c r="C875" s="66" t="inlineStr">
        <is>
          <t>21. Dynamic Programming</t>
        </is>
      </c>
      <c r="D875" s="66" t="inlineStr">
        <is>
          <t>LIS</t>
        </is>
      </c>
      <c r="E875" s="66" t="inlineStr">
        <is>
          <t>Russian Doll Envelopes</t>
        </is>
      </c>
      <c r="F875" s="66" t="inlineStr">
        <is>
          <t>Hard</t>
        </is>
      </c>
      <c r="G875" s="66" t="inlineStr">
        <is>
          <t>Stretch</t>
        </is>
      </c>
      <c r="H875" s="66" t="inlineStr">
        <is>
          <t>LeetCode</t>
        </is>
      </c>
      <c r="I875" s="66" t="inlineStr">
        <is>
          <t>https://leetcode.com/problems/russian-doll-envelopes/</t>
        </is>
      </c>
      <c r="J875" s="66" t="inlineStr">
        <is>
          <t>Not Started</t>
        </is>
      </c>
      <c r="K875" s="66" t="n"/>
      <c r="L875" s="66" t="n"/>
      <c r="M875" s="72" t="n"/>
      <c r="N875" s="72">
        <f>IF($M875="","",$M875+IF($K875="",Dashboard!$M$9,INDEX(Dashboard!$M$5:$M$9,$K875)))</f>
        <v/>
      </c>
      <c r="O875" s="66">
        <f>IF(OR($J875="Attempted",$J875="Revisit"),"DUE",IF($N875="","",IF($N875&lt;=TODAY(),"DUE","")))</f>
        <v/>
      </c>
      <c r="P875" s="66" t="n"/>
    </row>
    <row r="876">
      <c r="A876" s="66" t="n">
        <v>875</v>
      </c>
      <c r="B876" s="66" t="inlineStr">
        <is>
          <t>6. DP &amp; Closers - Stretch</t>
        </is>
      </c>
      <c r="C876" s="66" t="inlineStr">
        <is>
          <t>21. Dynamic Programming</t>
        </is>
      </c>
      <c r="D876" s="66" t="inlineStr">
        <is>
          <t>Stocks DP</t>
        </is>
      </c>
      <c r="E876" s="66" t="inlineStr">
        <is>
          <t>Best Time to Buy and Sell Stock III</t>
        </is>
      </c>
      <c r="F876" s="66" t="inlineStr">
        <is>
          <t>Hard</t>
        </is>
      </c>
      <c r="G876" s="66" t="inlineStr">
        <is>
          <t>Stretch</t>
        </is>
      </c>
      <c r="H876" s="66" t="inlineStr">
        <is>
          <t>LeetCode</t>
        </is>
      </c>
      <c r="I876" s="66" t="inlineStr">
        <is>
          <t>https://leetcode.com/problems/best-time-to-buy-and-sell-stock-iii/</t>
        </is>
      </c>
      <c r="J876" s="66" t="inlineStr">
        <is>
          <t>Not Started</t>
        </is>
      </c>
      <c r="K876" s="66" t="n"/>
      <c r="L876" s="66" t="n"/>
      <c r="M876" s="72" t="n"/>
      <c r="N876" s="72">
        <f>IF($M876="","",$M876+IF($K876="",Dashboard!$M$9,INDEX(Dashboard!$M$5:$M$9,$K876)))</f>
        <v/>
      </c>
      <c r="O876" s="66">
        <f>IF(OR($J876="Attempted",$J876="Revisit"),"DUE",IF($N876="","",IF($N876&lt;=TODAY(),"DUE","")))</f>
        <v/>
      </c>
      <c r="P876" s="66" t="n"/>
    </row>
    <row r="877">
      <c r="A877" s="66" t="n">
        <v>876</v>
      </c>
      <c r="B877" s="66" t="inlineStr">
        <is>
          <t>6. DP &amp; Closers - Stretch</t>
        </is>
      </c>
      <c r="C877" s="66" t="inlineStr">
        <is>
          <t>21. Dynamic Programming</t>
        </is>
      </c>
      <c r="D877" s="66" t="inlineStr">
        <is>
          <t>Stocks DP</t>
        </is>
      </c>
      <c r="E877" s="66" t="inlineStr">
        <is>
          <t>Best Time to Buy and Sell Stock IV</t>
        </is>
      </c>
      <c r="F877" s="66" t="inlineStr">
        <is>
          <t>Hard</t>
        </is>
      </c>
      <c r="G877" s="66" t="inlineStr">
        <is>
          <t>Stretch</t>
        </is>
      </c>
      <c r="H877" s="66" t="inlineStr">
        <is>
          <t>LeetCode</t>
        </is>
      </c>
      <c r="I877" s="66" t="inlineStr">
        <is>
          <t>https://leetcode.com/problems/best-time-to-buy-and-sell-stock-iv/</t>
        </is>
      </c>
      <c r="J877" s="66" t="inlineStr">
        <is>
          <t>Not Started</t>
        </is>
      </c>
      <c r="K877" s="66" t="n"/>
      <c r="L877" s="66" t="n"/>
      <c r="M877" s="72" t="n"/>
      <c r="N877" s="72">
        <f>IF($M877="","",$M877+IF($K877="",Dashboard!$M$9,INDEX(Dashboard!$M$5:$M$9,$K877)))</f>
        <v/>
      </c>
      <c r="O877" s="66">
        <f>IF(OR($J877="Attempted",$J877="Revisit"),"DUE",IF($N877="","",IF($N877&lt;=TODAY(),"DUE","")))</f>
        <v/>
      </c>
      <c r="P877" s="66" t="n"/>
    </row>
    <row r="878">
      <c r="A878" s="66" t="n">
        <v>877</v>
      </c>
      <c r="B878" s="66" t="inlineStr">
        <is>
          <t>6. DP &amp; Closers - Stretch</t>
        </is>
      </c>
      <c r="C878" s="66" t="inlineStr">
        <is>
          <t>21. Dynamic Programming</t>
        </is>
      </c>
      <c r="D878" s="66" t="inlineStr">
        <is>
          <t>String DP</t>
        </is>
      </c>
      <c r="E878" s="66" t="inlineStr">
        <is>
          <t>Word Break II</t>
        </is>
      </c>
      <c r="F878" s="66" t="inlineStr">
        <is>
          <t>Hard</t>
        </is>
      </c>
      <c r="G878" s="66" t="inlineStr">
        <is>
          <t>Stretch</t>
        </is>
      </c>
      <c r="H878" s="66" t="inlineStr">
        <is>
          <t>LeetCode</t>
        </is>
      </c>
      <c r="I878" s="66" t="inlineStr">
        <is>
          <t>https://leetcode.com/problems/word-break-ii/</t>
        </is>
      </c>
      <c r="J878" s="66" t="inlineStr">
        <is>
          <t>Not Started</t>
        </is>
      </c>
      <c r="K878" s="66" t="n"/>
      <c r="L878" s="66" t="n"/>
      <c r="M878" s="72" t="n"/>
      <c r="N878" s="72">
        <f>IF($M878="","",$M878+IF($K878="",Dashboard!$M$9,INDEX(Dashboard!$M$5:$M$9,$K878)))</f>
        <v/>
      </c>
      <c r="O878" s="66">
        <f>IF(OR($J878="Attempted",$J878="Revisit"),"DUE",IF($N878="","",IF($N878&lt;=TODAY(),"DUE","")))</f>
        <v/>
      </c>
      <c r="P878" s="66" t="n"/>
    </row>
    <row r="879">
      <c r="A879" s="66" t="n">
        <v>878</v>
      </c>
      <c r="B879" s="66" t="inlineStr">
        <is>
          <t>6. DP &amp; Closers - Stretch</t>
        </is>
      </c>
      <c r="C879" s="66" t="inlineStr">
        <is>
          <t>21. Dynamic Programming</t>
        </is>
      </c>
      <c r="D879" s="66" t="inlineStr">
        <is>
          <t>String DP</t>
        </is>
      </c>
      <c r="E879" s="66" t="inlineStr">
        <is>
          <t>Shortest Common Supersequence</t>
        </is>
      </c>
      <c r="F879" s="66" t="inlineStr">
        <is>
          <t>Hard</t>
        </is>
      </c>
      <c r="G879" s="66" t="inlineStr">
        <is>
          <t>Stretch</t>
        </is>
      </c>
      <c r="H879" s="66" t="inlineStr">
        <is>
          <t>LeetCode</t>
        </is>
      </c>
      <c r="I879" s="66" t="inlineStr">
        <is>
          <t>https://leetcode.com/problems/shortest-common-supersequence/</t>
        </is>
      </c>
      <c r="J879" s="66" t="inlineStr">
        <is>
          <t>Not Started</t>
        </is>
      </c>
      <c r="K879" s="66" t="n"/>
      <c r="L879" s="66" t="n"/>
      <c r="M879" s="72" t="n"/>
      <c r="N879" s="72">
        <f>IF($M879="","",$M879+IF($K879="",Dashboard!$M$9,INDEX(Dashboard!$M$5:$M$9,$K879)))</f>
        <v/>
      </c>
      <c r="O879" s="66">
        <f>IF(OR($J879="Attempted",$J879="Revisit"),"DUE",IF($N879="","",IF($N879&lt;=TODAY(),"DUE","")))</f>
        <v/>
      </c>
      <c r="P879" s="66" t="inlineStr">
        <is>
          <t>v3 addition</t>
        </is>
      </c>
    </row>
    <row r="880">
      <c r="A880" s="66" t="n">
        <v>879</v>
      </c>
      <c r="B880" s="66" t="inlineStr">
        <is>
          <t>6. DP &amp; Closers - Stretch</t>
        </is>
      </c>
      <c r="C880" s="66" t="inlineStr">
        <is>
          <t>21. Dynamic Programming</t>
        </is>
      </c>
      <c r="D880" s="66" t="inlineStr">
        <is>
          <t>String DP</t>
        </is>
      </c>
      <c r="E880" s="66" t="inlineStr">
        <is>
          <t>Distinct Subsequences</t>
        </is>
      </c>
      <c r="F880" s="66" t="inlineStr">
        <is>
          <t>Hard</t>
        </is>
      </c>
      <c r="G880" s="66" t="inlineStr">
        <is>
          <t>Stretch</t>
        </is>
      </c>
      <c r="H880" s="66" t="inlineStr">
        <is>
          <t>LeetCode</t>
        </is>
      </c>
      <c r="I880" s="66" t="inlineStr">
        <is>
          <t>https://leetcode.com/problems/distinct-subsequences/</t>
        </is>
      </c>
      <c r="J880" s="66" t="inlineStr">
        <is>
          <t>Not Started</t>
        </is>
      </c>
      <c r="K880" s="66" t="n"/>
      <c r="L880" s="66" t="n"/>
      <c r="M880" s="72" t="n"/>
      <c r="N880" s="72">
        <f>IF($M880="","",$M880+IF($K880="",Dashboard!$M$9,INDEX(Dashboard!$M$5:$M$9,$K880)))</f>
        <v/>
      </c>
      <c r="O880" s="66">
        <f>IF(OR($J880="Attempted",$J880="Revisit"),"DUE",IF($N880="","",IF($N880&lt;=TODAY(),"DUE","")))</f>
        <v/>
      </c>
      <c r="P880" s="66" t="inlineStr">
        <is>
          <t>v3 addition</t>
        </is>
      </c>
    </row>
    <row r="881">
      <c r="A881" s="66" t="n">
        <v>880</v>
      </c>
      <c r="B881" s="66" t="inlineStr">
        <is>
          <t>6. DP &amp; Closers - Stretch</t>
        </is>
      </c>
      <c r="C881" s="66" t="inlineStr">
        <is>
          <t>21. Dynamic Programming</t>
        </is>
      </c>
      <c r="D881" s="66" t="inlineStr">
        <is>
          <t>String DP</t>
        </is>
      </c>
      <c r="E881" s="66" t="inlineStr">
        <is>
          <t>Wildcard Matching</t>
        </is>
      </c>
      <c r="F881" s="66" t="inlineStr">
        <is>
          <t>Hard</t>
        </is>
      </c>
      <c r="G881" s="66" t="inlineStr">
        <is>
          <t>Stretch</t>
        </is>
      </c>
      <c r="H881" s="66" t="inlineStr">
        <is>
          <t>LeetCode</t>
        </is>
      </c>
      <c r="I881" s="66" t="inlineStr">
        <is>
          <t>https://leetcode.com/problems/wildcard-matching/</t>
        </is>
      </c>
      <c r="J881" s="66" t="inlineStr">
        <is>
          <t>Not Started</t>
        </is>
      </c>
      <c r="K881" s="66" t="n"/>
      <c r="L881" s="66" t="n"/>
      <c r="M881" s="72" t="n"/>
      <c r="N881" s="72">
        <f>IF($M881="","",$M881+IF($K881="",Dashboard!$M$9,INDEX(Dashboard!$M$5:$M$9,$K881)))</f>
        <v/>
      </c>
      <c r="O881" s="66">
        <f>IF(OR($J881="Attempted",$J881="Revisit"),"DUE",IF($N881="","",IF($N881&lt;=TODAY(),"DUE","")))</f>
        <v/>
      </c>
      <c r="P881" s="66" t="inlineStr">
        <is>
          <t>v3 addition</t>
        </is>
      </c>
    </row>
    <row r="882">
      <c r="A882" s="66" t="n">
        <v>881</v>
      </c>
      <c r="B882" s="66" t="inlineStr">
        <is>
          <t>6. DP &amp; Closers - Stretch</t>
        </is>
      </c>
      <c r="C882" s="66" t="inlineStr">
        <is>
          <t>21. Dynamic Programming</t>
        </is>
      </c>
      <c r="D882" s="66" t="inlineStr">
        <is>
          <t>String DP</t>
        </is>
      </c>
      <c r="E882" s="66" t="inlineStr">
        <is>
          <t>Regular Expression Matching</t>
        </is>
      </c>
      <c r="F882" s="66" t="inlineStr">
        <is>
          <t>Hard</t>
        </is>
      </c>
      <c r="G882" s="66" t="inlineStr">
        <is>
          <t>Stretch</t>
        </is>
      </c>
      <c r="H882" s="66" t="inlineStr">
        <is>
          <t>LeetCode</t>
        </is>
      </c>
      <c r="I882" s="66" t="inlineStr">
        <is>
          <t>https://leetcode.com/problems/regular-expression-matching/</t>
        </is>
      </c>
      <c r="J882" s="66" t="inlineStr">
        <is>
          <t>Not Started</t>
        </is>
      </c>
      <c r="K882" s="66" t="n"/>
      <c r="L882" s="66" t="n"/>
      <c r="M882" s="72" t="n"/>
      <c r="N882" s="72">
        <f>IF($M882="","",$M882+IF($K882="",Dashboard!$M$9,INDEX(Dashboard!$M$5:$M$9,$K882)))</f>
        <v/>
      </c>
      <c r="O882" s="66">
        <f>IF(OR($J882="Attempted",$J882="Revisit"),"DUE",IF($N882="","",IF($N882&lt;=TODAY(),"DUE","")))</f>
        <v/>
      </c>
      <c r="P882" s="66" t="inlineStr">
        <is>
          <t>v3 addition</t>
        </is>
      </c>
    </row>
    <row r="883">
      <c r="A883" s="66" t="n">
        <v>882</v>
      </c>
      <c r="B883" s="66" t="inlineStr">
        <is>
          <t>6. DP &amp; Closers - Stretch</t>
        </is>
      </c>
      <c r="C883" s="66" t="inlineStr">
        <is>
          <t>21. Dynamic Programming</t>
        </is>
      </c>
      <c r="D883" s="66" t="inlineStr">
        <is>
          <t>String DP</t>
        </is>
      </c>
      <c r="E883" s="66" t="inlineStr">
        <is>
          <t>Minimum Insertion Steps to Make a String Palindrome</t>
        </is>
      </c>
      <c r="F883" s="66" t="inlineStr">
        <is>
          <t>Hard</t>
        </is>
      </c>
      <c r="G883" s="66" t="inlineStr">
        <is>
          <t>Stretch</t>
        </is>
      </c>
      <c r="H883" s="66" t="inlineStr">
        <is>
          <t>LeetCode</t>
        </is>
      </c>
      <c r="I883" s="66" t="inlineStr">
        <is>
          <t>https://leetcode.com/problems/minimum-insertion-steps-to-make-a-string-palindrome/</t>
        </is>
      </c>
      <c r="J883" s="66" t="inlineStr">
        <is>
          <t>Not Started</t>
        </is>
      </c>
      <c r="K883" s="66" t="n"/>
      <c r="L883" s="66" t="n"/>
      <c r="M883" s="72" t="n"/>
      <c r="N883" s="72">
        <f>IF($M883="","",$M883+IF($K883="",Dashboard!$M$9,INDEX(Dashboard!$M$5:$M$9,$K883)))</f>
        <v/>
      </c>
      <c r="O883" s="66">
        <f>IF(OR($J883="Attempted",$J883="Revisit"),"DUE",IF($N883="","",IF($N883&lt;=TODAY(),"DUE","")))</f>
        <v/>
      </c>
      <c r="P883" s="66" t="inlineStr">
        <is>
          <t>v3 addition</t>
        </is>
      </c>
    </row>
    <row r="884">
      <c r="A884" s="66" t="n">
        <v>883</v>
      </c>
      <c r="B884" s="66" t="inlineStr">
        <is>
          <t>6. DP &amp; Closers - Stretch</t>
        </is>
      </c>
      <c r="C884" s="66" t="inlineStr">
        <is>
          <t>21. Dynamic Programming</t>
        </is>
      </c>
      <c r="D884" s="66" t="inlineStr">
        <is>
          <t>Partition DP</t>
        </is>
      </c>
      <c r="E884" s="66" t="inlineStr">
        <is>
          <t>Minimum Cost to Cut a Stick</t>
        </is>
      </c>
      <c r="F884" s="66" t="inlineStr">
        <is>
          <t>Hard</t>
        </is>
      </c>
      <c r="G884" s="66" t="inlineStr">
        <is>
          <t>Stretch</t>
        </is>
      </c>
      <c r="H884" s="66" t="inlineStr">
        <is>
          <t>LeetCode</t>
        </is>
      </c>
      <c r="I884" s="66" t="inlineStr">
        <is>
          <t>https://leetcode.com/problems/minimum-cost-to-cut-a-stick/</t>
        </is>
      </c>
      <c r="J884" s="66" t="inlineStr">
        <is>
          <t>Not Started</t>
        </is>
      </c>
      <c r="K884" s="66" t="n"/>
      <c r="L884" s="66" t="n"/>
      <c r="M884" s="72" t="n"/>
      <c r="N884" s="72">
        <f>IF($M884="","",$M884+IF($K884="",Dashboard!$M$9,INDEX(Dashboard!$M$5:$M$9,$K884)))</f>
        <v/>
      </c>
      <c r="O884" s="66">
        <f>IF(OR($J884="Attempted",$J884="Revisit"),"DUE",IF($N884="","",IF($N884&lt;=TODAY(),"DUE","")))</f>
        <v/>
      </c>
      <c r="P884" s="66" t="inlineStr">
        <is>
          <t>v3 addition</t>
        </is>
      </c>
    </row>
    <row r="885">
      <c r="A885" s="66" t="n">
        <v>884</v>
      </c>
      <c r="B885" s="66" t="inlineStr">
        <is>
          <t>6. DP &amp; Closers - Stretch</t>
        </is>
      </c>
      <c r="C885" s="66" t="inlineStr">
        <is>
          <t>21. Dynamic Programming</t>
        </is>
      </c>
      <c r="D885" s="66" t="inlineStr">
        <is>
          <t>Partition DP</t>
        </is>
      </c>
      <c r="E885" s="66" t="inlineStr">
        <is>
          <t>Burst Balloons</t>
        </is>
      </c>
      <c r="F885" s="66" t="inlineStr">
        <is>
          <t>Hard</t>
        </is>
      </c>
      <c r="G885" s="66" t="inlineStr">
        <is>
          <t>Stretch</t>
        </is>
      </c>
      <c r="H885" s="66" t="inlineStr">
        <is>
          <t>LeetCode</t>
        </is>
      </c>
      <c r="I885" s="66" t="inlineStr">
        <is>
          <t>https://leetcode.com/problems/burst-balloons/</t>
        </is>
      </c>
      <c r="J885" s="66" t="inlineStr">
        <is>
          <t>Not Started</t>
        </is>
      </c>
      <c r="K885" s="66" t="n"/>
      <c r="L885" s="66" t="n"/>
      <c r="M885" s="72" t="n"/>
      <c r="N885" s="72">
        <f>IF($M885="","",$M885+IF($K885="",Dashboard!$M$9,INDEX(Dashboard!$M$5:$M$9,$K885)))</f>
        <v/>
      </c>
      <c r="O885" s="66">
        <f>IF(OR($J885="Attempted",$J885="Revisit"),"DUE",IF($N885="","",IF($N885&lt;=TODAY(),"DUE","")))</f>
        <v/>
      </c>
      <c r="P885" s="66" t="inlineStr">
        <is>
          <t>v3 addition</t>
        </is>
      </c>
    </row>
    <row r="886">
      <c r="A886" s="66" t="n">
        <v>885</v>
      </c>
      <c r="B886" s="66" t="inlineStr">
        <is>
          <t>6. DP &amp; Closers - Stretch</t>
        </is>
      </c>
      <c r="C886" s="66" t="inlineStr">
        <is>
          <t>21. Dynamic Programming</t>
        </is>
      </c>
      <c r="D886" s="66" t="inlineStr">
        <is>
          <t>Partition DP</t>
        </is>
      </c>
      <c r="E886" s="66" t="inlineStr">
        <is>
          <t>Palindrome Partitioning II</t>
        </is>
      </c>
      <c r="F886" s="66" t="inlineStr">
        <is>
          <t>Hard</t>
        </is>
      </c>
      <c r="G886" s="66" t="inlineStr">
        <is>
          <t>Stretch</t>
        </is>
      </c>
      <c r="H886" s="66" t="inlineStr">
        <is>
          <t>LeetCode</t>
        </is>
      </c>
      <c r="I886" s="66" t="inlineStr">
        <is>
          <t>https://leetcode.com/problems/palindrome-partitioning-ii/</t>
        </is>
      </c>
      <c r="J886" s="66" t="inlineStr">
        <is>
          <t>Not Started</t>
        </is>
      </c>
      <c r="K886" s="66" t="n"/>
      <c r="L886" s="66" t="n"/>
      <c r="M886" s="72" t="n"/>
      <c r="N886" s="72">
        <f>IF($M886="","",$M886+IF($K886="",Dashboard!$M$9,INDEX(Dashboard!$M$5:$M$9,$K886)))</f>
        <v/>
      </c>
      <c r="O886" s="66">
        <f>IF(OR($J886="Attempted",$J886="Revisit"),"DUE",IF($N886="","",IF($N886&lt;=TODAY(),"DUE","")))</f>
        <v/>
      </c>
      <c r="P886" s="66" t="inlineStr">
        <is>
          <t>v3 addition</t>
        </is>
      </c>
    </row>
    <row r="887">
      <c r="A887" s="66" t="n">
        <v>886</v>
      </c>
      <c r="B887" s="66" t="inlineStr">
        <is>
          <t>6. DP &amp; Closers - Stretch</t>
        </is>
      </c>
      <c r="C887" s="66" t="inlineStr">
        <is>
          <t>21. Dynamic Programming</t>
        </is>
      </c>
      <c r="D887" s="66" t="inlineStr">
        <is>
          <t>Partition DP</t>
        </is>
      </c>
      <c r="E887" s="66" t="inlineStr">
        <is>
          <t>Boolean Parenthesization</t>
        </is>
      </c>
      <c r="F887" s="66" t="inlineStr">
        <is>
          <t>Hard</t>
        </is>
      </c>
      <c r="G887" s="66" t="inlineStr">
        <is>
          <t>Stretch</t>
        </is>
      </c>
      <c r="H887" s="66" t="inlineStr">
        <is>
          <t>GeeksforGeeks</t>
        </is>
      </c>
      <c r="I887" s="66" t="inlineStr">
        <is>
          <t>https://www.geeksforgeeks.org/problems/boolean-parenthesization5610/1</t>
        </is>
      </c>
      <c r="J887" s="66" t="inlineStr">
        <is>
          <t>Not Started</t>
        </is>
      </c>
      <c r="K887" s="66" t="n"/>
      <c r="L887" s="66" t="n"/>
      <c r="M887" s="72" t="n"/>
      <c r="N887" s="72">
        <f>IF($M887="","",$M887+IF($K887="",Dashboard!$M$9,INDEX(Dashboard!$M$5:$M$9,$K887)))</f>
        <v/>
      </c>
      <c r="O887" s="66">
        <f>IF(OR($J887="Attempted",$J887="Revisit"),"DUE",IF($N887="","",IF($N887&lt;=TODAY(),"DUE","")))</f>
        <v/>
      </c>
      <c r="P887" s="66" t="n"/>
    </row>
    <row r="888">
      <c r="A888" s="66" t="n">
        <v>887</v>
      </c>
      <c r="B888" s="66" t="inlineStr">
        <is>
          <t>6. DP &amp; Closers - Stretch</t>
        </is>
      </c>
      <c r="C888" s="66" t="inlineStr">
        <is>
          <t>21. Dynamic Programming</t>
        </is>
      </c>
      <c r="D888" s="66" t="inlineStr">
        <is>
          <t>DP on trees</t>
        </is>
      </c>
      <c r="E888" s="66" t="inlineStr">
        <is>
          <t>Binary Tree Cameras</t>
        </is>
      </c>
      <c r="F888" s="66" t="inlineStr">
        <is>
          <t>Hard</t>
        </is>
      </c>
      <c r="G888" s="66" t="inlineStr">
        <is>
          <t>Stretch</t>
        </is>
      </c>
      <c r="H888" s="66" t="inlineStr">
        <is>
          <t>LeetCode</t>
        </is>
      </c>
      <c r="I888" s="66" t="inlineStr">
        <is>
          <t>https://leetcode.com/problems/binary-tree-cameras/</t>
        </is>
      </c>
      <c r="J888" s="66" t="inlineStr">
        <is>
          <t>Not Started</t>
        </is>
      </c>
      <c r="K888" s="66" t="n"/>
      <c r="L888" s="66" t="n"/>
      <c r="M888" s="72" t="n"/>
      <c r="N888" s="72">
        <f>IF($M888="","",$M888+IF($K888="",Dashboard!$M$9,INDEX(Dashboard!$M$5:$M$9,$K888)))</f>
        <v/>
      </c>
      <c r="O888" s="66">
        <f>IF(OR($J888="Attempted",$J888="Revisit"),"DUE",IF($N888="","",IF($N888&lt;=TODAY(),"DUE","")))</f>
        <v/>
      </c>
      <c r="P888" s="66" t="inlineStr">
        <is>
          <t>v3 addition</t>
        </is>
      </c>
    </row>
    <row r="889">
      <c r="A889" s="66" t="n">
        <v>888</v>
      </c>
      <c r="B889" s="66" t="inlineStr">
        <is>
          <t>6. DP &amp; Closers - Stretch</t>
        </is>
      </c>
      <c r="C889" s="66" t="inlineStr">
        <is>
          <t>21. Dynamic Programming</t>
        </is>
      </c>
      <c r="D889" s="66" t="inlineStr">
        <is>
          <t>DP on trees</t>
        </is>
      </c>
      <c r="E889" s="66" t="inlineStr">
        <is>
          <t>Maximum Sum BST in Binary Tree</t>
        </is>
      </c>
      <c r="F889" s="66" t="inlineStr">
        <is>
          <t>Hard</t>
        </is>
      </c>
      <c r="G889" s="66" t="inlineStr">
        <is>
          <t>Stretch</t>
        </is>
      </c>
      <c r="H889" s="66" t="inlineStr">
        <is>
          <t>LeetCode</t>
        </is>
      </c>
      <c r="I889" s="66" t="inlineStr">
        <is>
          <t>https://leetcode.com/problems/maximum-sum-bst-in-binary-tree/</t>
        </is>
      </c>
      <c r="J889" s="66" t="inlineStr">
        <is>
          <t>Not Started</t>
        </is>
      </c>
      <c r="K889" s="66" t="n"/>
      <c r="L889" s="66" t="n"/>
      <c r="M889" s="72" t="n"/>
      <c r="N889" s="72">
        <f>IF($M889="","",$M889+IF($K889="",Dashboard!$M$9,INDEX(Dashboard!$M$5:$M$9,$K889)))</f>
        <v/>
      </c>
      <c r="O889" s="66">
        <f>IF(OR($J889="Attempted",$J889="Revisit"),"DUE",IF($N889="","",IF($N889&lt;=TODAY(),"DUE","")))</f>
        <v/>
      </c>
      <c r="P889" s="66" t="inlineStr">
        <is>
          <t>v3 addition</t>
        </is>
      </c>
    </row>
    <row r="890">
      <c r="A890" s="66" t="n">
        <v>889</v>
      </c>
      <c r="B890" s="66" t="inlineStr">
        <is>
          <t>6. DP &amp; Closers - Stretch</t>
        </is>
      </c>
      <c r="C890" s="66" t="inlineStr">
        <is>
          <t>21. Dynamic Programming</t>
        </is>
      </c>
      <c r="D890" s="66" t="inlineStr">
        <is>
          <t>DP on trees</t>
        </is>
      </c>
      <c r="E890" s="66" t="inlineStr">
        <is>
          <t>Sum of Distances in Tree</t>
        </is>
      </c>
      <c r="F890" s="66" t="inlineStr">
        <is>
          <t>Hard</t>
        </is>
      </c>
      <c r="G890" s="66" t="inlineStr">
        <is>
          <t>Stretch</t>
        </is>
      </c>
      <c r="H890" s="66" t="inlineStr">
        <is>
          <t>LeetCode</t>
        </is>
      </c>
      <c r="I890" s="66" t="inlineStr">
        <is>
          <t>https://leetcode.com/problems/sum-of-distances-in-tree/</t>
        </is>
      </c>
      <c r="J890" s="66" t="inlineStr">
        <is>
          <t>Not Started</t>
        </is>
      </c>
      <c r="K890" s="66" t="n"/>
      <c r="L890" s="66" t="n"/>
      <c r="M890" s="72" t="n"/>
      <c r="N890" s="72">
        <f>IF($M890="","",$M890+IF($K890="",Dashboard!$M$9,INDEX(Dashboard!$M$5:$M$9,$K890)))</f>
        <v/>
      </c>
      <c r="O890" s="66">
        <f>IF(OR($J890="Attempted",$J890="Revisit"),"DUE",IF($N890="","",IF($N890&lt;=TODAY(),"DUE","")))</f>
        <v/>
      </c>
      <c r="P890" s="66" t="inlineStr">
        <is>
          <t>v3 addition</t>
        </is>
      </c>
    </row>
    <row r="891">
      <c r="A891" s="66" t="n">
        <v>890</v>
      </c>
      <c r="B891" s="66" t="inlineStr">
        <is>
          <t>6. DP &amp; Closers - Stretch</t>
        </is>
      </c>
      <c r="C891" s="66" t="inlineStr">
        <is>
          <t>21. Dynamic Programming</t>
        </is>
      </c>
      <c r="D891" s="66" t="inlineStr">
        <is>
          <t>Counting DP</t>
        </is>
      </c>
      <c r="E891" s="66" t="inlineStr">
        <is>
          <t>Student Attendance Record II</t>
        </is>
      </c>
      <c r="F891" s="66" t="inlineStr">
        <is>
          <t>Hard</t>
        </is>
      </c>
      <c r="G891" s="66" t="inlineStr">
        <is>
          <t>Stretch</t>
        </is>
      </c>
      <c r="H891" s="66" t="inlineStr">
        <is>
          <t>LeetCode</t>
        </is>
      </c>
      <c r="I891" s="66" t="inlineStr">
        <is>
          <t>https://leetcode.com/problems/student-attendance-record-ii/</t>
        </is>
      </c>
      <c r="J891" s="66" t="inlineStr">
        <is>
          <t>Not Started</t>
        </is>
      </c>
      <c r="K891" s="66" t="n"/>
      <c r="L891" s="66" t="n"/>
      <c r="M891" s="72" t="n"/>
      <c r="N891" s="72">
        <f>IF($M891="","",$M891+IF($K891="",Dashboard!$M$9,INDEX(Dashboard!$M$5:$M$9,$K891)))</f>
        <v/>
      </c>
      <c r="O891" s="66">
        <f>IF(OR($J891="Attempted",$J891="Revisit"),"DUE",IF($N891="","",IF($N891&lt;=TODAY(),"DUE","")))</f>
        <v/>
      </c>
      <c r="P891" s="66" t="inlineStr">
        <is>
          <t>v3 addition</t>
        </is>
      </c>
    </row>
    <row r="892">
      <c r="A892" s="66" t="n">
        <v>891</v>
      </c>
      <c r="B892" s="66" t="inlineStr">
        <is>
          <t>6. DP &amp; Closers - Stretch</t>
        </is>
      </c>
      <c r="C892" s="66" t="inlineStr">
        <is>
          <t>21. Dynamic Programming</t>
        </is>
      </c>
      <c r="D892" s="66" t="inlineStr">
        <is>
          <t>Counting DP</t>
        </is>
      </c>
      <c r="E892" s="66" t="inlineStr">
        <is>
          <t>Count Vowels Permutation</t>
        </is>
      </c>
      <c r="F892" s="66" t="inlineStr">
        <is>
          <t>Hard</t>
        </is>
      </c>
      <c r="G892" s="66" t="inlineStr">
        <is>
          <t>Stretch</t>
        </is>
      </c>
      <c r="H892" s="66" t="inlineStr">
        <is>
          <t>LeetCode</t>
        </is>
      </c>
      <c r="I892" s="66" t="inlineStr">
        <is>
          <t>https://leetcode.com/problems/count-vowels-permutation/</t>
        </is>
      </c>
      <c r="J892" s="66" t="inlineStr">
        <is>
          <t>Not Started</t>
        </is>
      </c>
      <c r="K892" s="66" t="n"/>
      <c r="L892" s="66" t="n"/>
      <c r="M892" s="72" t="n"/>
      <c r="N892" s="72">
        <f>IF($M892="","",$M892+IF($K892="",Dashboard!$M$9,INDEX(Dashboard!$M$5:$M$9,$K892)))</f>
        <v/>
      </c>
      <c r="O892" s="66">
        <f>IF(OR($J892="Attempted",$J892="Revisit"),"DUE",IF($N892="","",IF($N892&lt;=TODAY(),"DUE","")))</f>
        <v/>
      </c>
      <c r="P892" s="66" t="inlineStr">
        <is>
          <t>v3 addition</t>
        </is>
      </c>
    </row>
    <row r="893">
      <c r="A893" s="66" t="n">
        <v>892</v>
      </c>
      <c r="B893" s="66" t="inlineStr">
        <is>
          <t>6. DP &amp; Closers - Stretch</t>
        </is>
      </c>
      <c r="C893" s="66" t="inlineStr">
        <is>
          <t>21. Dynamic Programming</t>
        </is>
      </c>
      <c r="D893" s="66" t="inlineStr">
        <is>
          <t>Bitmask DP</t>
        </is>
      </c>
      <c r="E893" s="66" t="inlineStr">
        <is>
          <t>Travelling Salesman Problem</t>
        </is>
      </c>
      <c r="F893" s="66" t="inlineStr">
        <is>
          <t>Hard</t>
        </is>
      </c>
      <c r="G893" s="66" t="inlineStr">
        <is>
          <t>Stretch</t>
        </is>
      </c>
      <c r="H893" s="66" t="inlineStr">
        <is>
          <t>GeeksforGeeks</t>
        </is>
      </c>
      <c r="I893" s="66" t="inlineStr">
        <is>
          <t>https://www.geeksforgeeks.org/problems/travelling-salesman-problem2732/1</t>
        </is>
      </c>
      <c r="J893" s="66" t="inlineStr">
        <is>
          <t>Not Started</t>
        </is>
      </c>
      <c r="K893" s="66" t="n"/>
      <c r="L893" s="66" t="n"/>
      <c r="M893" s="72" t="n"/>
      <c r="N893" s="72">
        <f>IF($M893="","",$M893+IF($K893="",Dashboard!$M$9,INDEX(Dashboard!$M$5:$M$9,$K893)))</f>
        <v/>
      </c>
      <c r="O893" s="66">
        <f>IF(OR($J893="Attempted",$J893="Revisit"),"DUE",IF($N893="","",IF($N893&lt;=TODAY(),"DUE","")))</f>
        <v/>
      </c>
      <c r="P893" s="66" t="n"/>
    </row>
    <row r="894">
      <c r="A894" s="66" t="n">
        <v>893</v>
      </c>
      <c r="B894" s="66" t="inlineStr">
        <is>
          <t>6. DP &amp; Closers - Stretch</t>
        </is>
      </c>
      <c r="C894" s="66" t="inlineStr">
        <is>
          <t>21. Dynamic Programming</t>
        </is>
      </c>
      <c r="D894" s="66" t="inlineStr">
        <is>
          <t>Bitmask DP</t>
        </is>
      </c>
      <c r="E894" s="66" t="inlineStr">
        <is>
          <t>Shortest Path Visiting All Nodes</t>
        </is>
      </c>
      <c r="F894" s="66" t="inlineStr">
        <is>
          <t>Hard</t>
        </is>
      </c>
      <c r="G894" s="66" t="inlineStr">
        <is>
          <t>Stretch</t>
        </is>
      </c>
      <c r="H894" s="66" t="inlineStr">
        <is>
          <t>LeetCode</t>
        </is>
      </c>
      <c r="I894" s="66" t="inlineStr">
        <is>
          <t>https://leetcode.com/problems/shortest-path-visiting-all-nodes/</t>
        </is>
      </c>
      <c r="J894" s="66" t="inlineStr">
        <is>
          <t>Not Started</t>
        </is>
      </c>
      <c r="K894" s="66" t="n"/>
      <c r="L894" s="66" t="n"/>
      <c r="M894" s="72" t="n"/>
      <c r="N894" s="72">
        <f>IF($M894="","",$M894+IF($K894="",Dashboard!$M$9,INDEX(Dashboard!$M$5:$M$9,$K894)))</f>
        <v/>
      </c>
      <c r="O894" s="66">
        <f>IF(OR($J894="Attempted",$J894="Revisit"),"DUE",IF($N894="","",IF($N894&lt;=TODAY(),"DUE","")))</f>
        <v/>
      </c>
      <c r="P894" s="66" t="n"/>
    </row>
    <row r="895">
      <c r="A895" s="66" t="n">
        <v>894</v>
      </c>
      <c r="B895" s="66" t="inlineStr">
        <is>
          <t>6. DP &amp; Closers - Stretch</t>
        </is>
      </c>
      <c r="C895" s="66" t="inlineStr">
        <is>
          <t>21. Dynamic Programming</t>
        </is>
      </c>
      <c r="D895" s="66" t="inlineStr">
        <is>
          <t>Bitmask DP</t>
        </is>
      </c>
      <c r="E895" s="66" t="inlineStr">
        <is>
          <t>Number of Ways to Wear Different Hats to Each Other</t>
        </is>
      </c>
      <c r="F895" s="66" t="inlineStr">
        <is>
          <t>Hard</t>
        </is>
      </c>
      <c r="G895" s="66" t="inlineStr">
        <is>
          <t>Stretch</t>
        </is>
      </c>
      <c r="H895" s="66" t="inlineStr">
        <is>
          <t>LeetCode</t>
        </is>
      </c>
      <c r="I895" s="66" t="inlineStr">
        <is>
          <t>https://leetcode.com/problems/number-of-ways-to-wear-different-hats-to-each-other/</t>
        </is>
      </c>
      <c r="J895" s="66" t="inlineStr">
        <is>
          <t>Not Started</t>
        </is>
      </c>
      <c r="K895" s="66" t="n"/>
      <c r="L895" s="66" t="n"/>
      <c r="M895" s="72" t="n"/>
      <c r="N895" s="72">
        <f>IF($M895="","",$M895+IF($K895="",Dashboard!$M$9,INDEX(Dashboard!$M$5:$M$9,$K895)))</f>
        <v/>
      </c>
      <c r="O895" s="66">
        <f>IF(OR($J895="Attempted",$J895="Revisit"),"DUE",IF($N895="","",IF($N895&lt;=TODAY(),"DUE","")))</f>
        <v/>
      </c>
      <c r="P895" s="66" t="inlineStr">
        <is>
          <t>v3 addition</t>
        </is>
      </c>
    </row>
    <row r="896">
      <c r="A896" s="66" t="n">
        <v>895</v>
      </c>
      <c r="B896" s="66" t="inlineStr">
        <is>
          <t>6. DP &amp; Closers - Stretch</t>
        </is>
      </c>
      <c r="C896" s="66" t="inlineStr">
        <is>
          <t>21. Dynamic Programming</t>
        </is>
      </c>
      <c r="D896" s="66" t="inlineStr">
        <is>
          <t>Bitmask DP</t>
        </is>
      </c>
      <c r="E896" s="66" t="inlineStr">
        <is>
          <t>Minimum Cost to Connect Two Groups of Points</t>
        </is>
      </c>
      <c r="F896" s="66" t="inlineStr">
        <is>
          <t>Hard</t>
        </is>
      </c>
      <c r="G896" s="66" t="inlineStr">
        <is>
          <t>Stretch</t>
        </is>
      </c>
      <c r="H896" s="66" t="inlineStr">
        <is>
          <t>LeetCode</t>
        </is>
      </c>
      <c r="I896" s="66" t="inlineStr">
        <is>
          <t>https://leetcode.com/problems/minimum-cost-to-connect-two-groups-of-points/</t>
        </is>
      </c>
      <c r="J896" s="66" t="inlineStr">
        <is>
          <t>Not Started</t>
        </is>
      </c>
      <c r="K896" s="66" t="n"/>
      <c r="L896" s="66" t="n"/>
      <c r="M896" s="72" t="n"/>
      <c r="N896" s="72">
        <f>IF($M896="","",$M896+IF($K896="",Dashboard!$M$9,INDEX(Dashboard!$M$5:$M$9,$K896)))</f>
        <v/>
      </c>
      <c r="O896" s="66">
        <f>IF(OR($J896="Attempted",$J896="Revisit"),"DUE",IF($N896="","",IF($N896&lt;=TODAY(),"DUE","")))</f>
        <v/>
      </c>
      <c r="P896" s="66" t="inlineStr">
        <is>
          <t>v3 addition</t>
        </is>
      </c>
    </row>
    <row r="897">
      <c r="A897" s="66" t="n">
        <v>896</v>
      </c>
      <c r="B897" s="66" t="inlineStr">
        <is>
          <t>6. DP &amp; Closers - Stretch</t>
        </is>
      </c>
      <c r="C897" s="66" t="inlineStr">
        <is>
          <t>21. Dynamic Programming</t>
        </is>
      </c>
      <c r="D897" s="66" t="inlineStr">
        <is>
          <t>Bitmask DP</t>
        </is>
      </c>
      <c r="E897" s="66" t="inlineStr">
        <is>
          <t>Maximum Students Taking Exam</t>
        </is>
      </c>
      <c r="F897" s="66" t="inlineStr">
        <is>
          <t>Hard</t>
        </is>
      </c>
      <c r="G897" s="66" t="inlineStr">
        <is>
          <t>Stretch</t>
        </is>
      </c>
      <c r="H897" s="66" t="inlineStr">
        <is>
          <t>LeetCode</t>
        </is>
      </c>
      <c r="I897" s="66" t="inlineStr">
        <is>
          <t>https://leetcode.com/problems/maximum-students-taking-exam/</t>
        </is>
      </c>
      <c r="J897" s="66" t="inlineStr">
        <is>
          <t>Not Started</t>
        </is>
      </c>
      <c r="K897" s="66" t="n"/>
      <c r="L897" s="66" t="n"/>
      <c r="M897" s="72" t="n"/>
      <c r="N897" s="72">
        <f>IF($M897="","",$M897+IF($K897="",Dashboard!$M$9,INDEX(Dashboard!$M$5:$M$9,$K897)))</f>
        <v/>
      </c>
      <c r="O897" s="66">
        <f>IF(OR($J897="Attempted",$J897="Revisit"),"DUE",IF($N897="","",IF($N897&lt;=TODAY(),"DUE","")))</f>
        <v/>
      </c>
      <c r="P897" s="66" t="inlineStr">
        <is>
          <t>v3 addition</t>
        </is>
      </c>
    </row>
    <row r="898">
      <c r="A898" s="66" t="n">
        <v>897</v>
      </c>
      <c r="B898" s="66" t="inlineStr">
        <is>
          <t>6. DP &amp; Closers - Stretch</t>
        </is>
      </c>
      <c r="C898" s="66" t="inlineStr">
        <is>
          <t>22. Design</t>
        </is>
      </c>
      <c r="D898" s="66" t="inlineStr">
        <is>
          <t>Hash structures</t>
        </is>
      </c>
      <c r="E898" s="66" t="inlineStr">
        <is>
          <t>All O`one Data Structure</t>
        </is>
      </c>
      <c r="F898" s="66" t="inlineStr">
        <is>
          <t>Hard</t>
        </is>
      </c>
      <c r="G898" s="66" t="inlineStr">
        <is>
          <t>Stretch</t>
        </is>
      </c>
      <c r="H898" s="66" t="inlineStr">
        <is>
          <t>LeetCode</t>
        </is>
      </c>
      <c r="I898" s="66" t="inlineStr">
        <is>
          <t>https://leetcode.com/problems/all-oone-data-structure/</t>
        </is>
      </c>
      <c r="J898" s="66" t="inlineStr">
        <is>
          <t>Not Started</t>
        </is>
      </c>
      <c r="K898" s="66" t="n"/>
      <c r="L898" s="66" t="n"/>
      <c r="M898" s="72" t="n"/>
      <c r="N898" s="72">
        <f>IF($M898="","",$M898+IF($K898="",Dashboard!$M$9,INDEX(Dashboard!$M$5:$M$9,$K898)))</f>
        <v/>
      </c>
      <c r="O898" s="66">
        <f>IF(OR($J898="Attempted",$J898="Revisit"),"DUE",IF($N898="","",IF($N898&lt;=TODAY(),"DUE","")))</f>
        <v/>
      </c>
      <c r="P898" s="66" t="inlineStr">
        <is>
          <t>v3 addition</t>
        </is>
      </c>
    </row>
    <row r="899">
      <c r="A899" s="66" t="n">
        <v>898</v>
      </c>
      <c r="B899" s="66" t="inlineStr">
        <is>
          <t>6. DP &amp; Closers - Stretch</t>
        </is>
      </c>
      <c r="C899" s="66" t="inlineStr">
        <is>
          <t>22. Design</t>
        </is>
      </c>
      <c r="D899" s="66" t="inlineStr">
        <is>
          <t>Versioned data</t>
        </is>
      </c>
      <c r="E899" s="66" t="inlineStr">
        <is>
          <t>Design a Text Editor</t>
        </is>
      </c>
      <c r="F899" s="66" t="inlineStr">
        <is>
          <t>Hard</t>
        </is>
      </c>
      <c r="G899" s="66" t="inlineStr">
        <is>
          <t>Stretch</t>
        </is>
      </c>
      <c r="H899" s="66" t="inlineStr">
        <is>
          <t>LeetCode</t>
        </is>
      </c>
      <c r="I899" s="66" t="inlineStr">
        <is>
          <t>https://leetcode.com/problems/design-a-text-editor/</t>
        </is>
      </c>
      <c r="J899" s="66" t="inlineStr">
        <is>
          <t>Not Started</t>
        </is>
      </c>
      <c r="K899" s="66" t="n"/>
      <c r="L899" s="66" t="n"/>
      <c r="M899" s="72" t="n"/>
      <c r="N899" s="72">
        <f>IF($M899="","",$M899+IF($K899="",Dashboard!$M$9,INDEX(Dashboard!$M$5:$M$9,$K899)))</f>
        <v/>
      </c>
      <c r="O899" s="66">
        <f>IF(OR($J899="Attempted",$J899="Revisit"),"DUE",IF($N899="","",IF($N899&lt;=TODAY(),"DUE","")))</f>
        <v/>
      </c>
      <c r="P899" s="66" t="inlineStr">
        <is>
          <t>v3 addition</t>
        </is>
      </c>
    </row>
    <row r="900">
      <c r="A900" s="66" t="n">
        <v>899</v>
      </c>
      <c r="B900" s="66" t="inlineStr">
        <is>
          <t>6. DP &amp; Closers - Stretch</t>
        </is>
      </c>
      <c r="C900" s="66" t="inlineStr">
        <is>
          <t>22. Design</t>
        </is>
      </c>
      <c r="D900" s="66" t="inlineStr">
        <is>
          <t>Versioned data</t>
        </is>
      </c>
      <c r="E900" s="66" t="inlineStr">
        <is>
          <t>Design Movie Rental System</t>
        </is>
      </c>
      <c r="F900" s="66" t="inlineStr">
        <is>
          <t>Hard</t>
        </is>
      </c>
      <c r="G900" s="66" t="inlineStr">
        <is>
          <t>Stretch</t>
        </is>
      </c>
      <c r="H900" s="66" t="inlineStr">
        <is>
          <t>LeetCode</t>
        </is>
      </c>
      <c r="I900" s="66" t="inlineStr">
        <is>
          <t>https://leetcode.com/problems/design-movie-rental-system/</t>
        </is>
      </c>
      <c r="J900" s="66" t="inlineStr">
        <is>
          <t>Not Started</t>
        </is>
      </c>
      <c r="K900" s="66" t="n"/>
      <c r="L900" s="66" t="n"/>
      <c r="M900" s="72" t="n"/>
      <c r="N900" s="72">
        <f>IF($M900="","",$M900+IF($K900="",Dashboard!$M$9,INDEX(Dashboard!$M$5:$M$9,$K900)))</f>
        <v/>
      </c>
      <c r="O900" s="66">
        <f>IF(OR($J900="Attempted",$J900="Revisit"),"DUE",IF($N900="","",IF($N900&lt;=TODAY(),"DUE","")))</f>
        <v/>
      </c>
      <c r="P900" s="66" t="inlineStr">
        <is>
          <t>v3 addition</t>
        </is>
      </c>
    </row>
    <row r="901">
      <c r="A901" s="66" t="n">
        <v>900</v>
      </c>
      <c r="B901" s="66" t="inlineStr">
        <is>
          <t>6. DP &amp; Closers - Stretch</t>
        </is>
      </c>
      <c r="C901" s="66" t="inlineStr">
        <is>
          <t>22. Design</t>
        </is>
      </c>
      <c r="D901" s="66" t="inlineStr">
        <is>
          <t>Randomized / sampling</t>
        </is>
      </c>
      <c r="E901" s="66" t="inlineStr">
        <is>
          <t>Insert Delete GetRandom O(1) - Duplicates allowed</t>
        </is>
      </c>
      <c r="F901" s="66" t="inlineStr">
        <is>
          <t>Hard</t>
        </is>
      </c>
      <c r="G901" s="66" t="inlineStr">
        <is>
          <t>Stretch</t>
        </is>
      </c>
      <c r="H901" s="66" t="inlineStr">
        <is>
          <t>LeetCode</t>
        </is>
      </c>
      <c r="I901" s="66" t="inlineStr">
        <is>
          <t>https://leetcode.com/problems/insert-delete-getrandom-o1-duplicates-allowed/</t>
        </is>
      </c>
      <c r="J901" s="66" t="inlineStr">
        <is>
          <t>Not Started</t>
        </is>
      </c>
      <c r="K901" s="66" t="n"/>
      <c r="L901" s="66" t="n"/>
      <c r="M901" s="72" t="n"/>
      <c r="N901" s="72">
        <f>IF($M901="","",$M901+IF($K901="",Dashboard!$M$9,INDEX(Dashboard!$M$5:$M$9,$K901)))</f>
        <v/>
      </c>
      <c r="O901" s="66">
        <f>IF(OR($J901="Attempted",$J901="Revisit"),"DUE",IF($N901="","",IF($N901&lt;=TODAY(),"DUE","")))</f>
        <v/>
      </c>
      <c r="P901" s="66" t="n"/>
    </row>
    <row r="902">
      <c r="A902" s="66" t="n">
        <v>901</v>
      </c>
      <c r="B902" s="66" t="inlineStr">
        <is>
          <t>6. DP &amp; Closers - Stretch</t>
        </is>
      </c>
      <c r="C902" s="66" t="inlineStr">
        <is>
          <t>23. Advanced DS</t>
        </is>
      </c>
      <c r="D902" s="66" t="inlineStr">
        <is>
          <t>Fenwick tree</t>
        </is>
      </c>
      <c r="E902" s="66" t="inlineStr">
        <is>
          <t>Reverse Pairs</t>
        </is>
      </c>
      <c r="F902" s="66" t="inlineStr">
        <is>
          <t>Hard</t>
        </is>
      </c>
      <c r="G902" s="66" t="inlineStr">
        <is>
          <t>Stretch</t>
        </is>
      </c>
      <c r="H902" s="66" t="inlineStr">
        <is>
          <t>LeetCode</t>
        </is>
      </c>
      <c r="I902" s="66" t="inlineStr">
        <is>
          <t>https://leetcode.com/problems/reverse-pairs/</t>
        </is>
      </c>
      <c r="J902" s="66" t="inlineStr">
        <is>
          <t>Not Started</t>
        </is>
      </c>
      <c r="K902" s="66" t="n"/>
      <c r="L902" s="66" t="n"/>
      <c r="M902" s="72" t="n"/>
      <c r="N902" s="72">
        <f>IF($M902="","",$M902+IF($K902="",Dashboard!$M$9,INDEX(Dashboard!$M$5:$M$9,$K902)))</f>
        <v/>
      </c>
      <c r="O902" s="66">
        <f>IF(OR($J902="Attempted",$J902="Revisit"),"DUE",IF($N902="","",IF($N902&lt;=TODAY(),"DUE","")))</f>
        <v/>
      </c>
      <c r="P902" s="66" t="inlineStr">
        <is>
          <t>v3 addition</t>
        </is>
      </c>
    </row>
    <row r="903">
      <c r="A903" s="66" t="n">
        <v>902</v>
      </c>
      <c r="B903" s="66" t="inlineStr">
        <is>
          <t>6. DP &amp; Closers - Stretch</t>
        </is>
      </c>
      <c r="C903" s="66" t="inlineStr">
        <is>
          <t>23. Advanced DS</t>
        </is>
      </c>
      <c r="D903" s="66" t="inlineStr">
        <is>
          <t>Fenwick tree</t>
        </is>
      </c>
      <c r="E903" s="66" t="inlineStr">
        <is>
          <t>Number of Pairs Satisfying Inequality</t>
        </is>
      </c>
      <c r="F903" s="66" t="inlineStr">
        <is>
          <t>Hard</t>
        </is>
      </c>
      <c r="G903" s="66" t="inlineStr">
        <is>
          <t>Stretch</t>
        </is>
      </c>
      <c r="H903" s="66" t="inlineStr">
        <is>
          <t>LeetCode</t>
        </is>
      </c>
      <c r="I903" s="66" t="inlineStr">
        <is>
          <t>https://leetcode.com/problems/number-of-pairs-satisfying-inequality/</t>
        </is>
      </c>
      <c r="J903" s="66" t="inlineStr">
        <is>
          <t>Not Started</t>
        </is>
      </c>
      <c r="K903" s="66" t="n"/>
      <c r="L903" s="66" t="n"/>
      <c r="M903" s="72" t="n"/>
      <c r="N903" s="72">
        <f>IF($M903="","",$M903+IF($K903="",Dashboard!$M$9,INDEX(Dashboard!$M$5:$M$9,$K903)))</f>
        <v/>
      </c>
      <c r="O903" s="66">
        <f>IF(OR($J903="Attempted",$J903="Revisit"),"DUE",IF($N903="","",IF($N903&lt;=TODAY(),"DUE","")))</f>
        <v/>
      </c>
      <c r="P903" s="66" t="inlineStr">
        <is>
          <t>v3 addition</t>
        </is>
      </c>
    </row>
    <row r="904">
      <c r="A904" s="66" t="n">
        <v>903</v>
      </c>
      <c r="B904" s="66" t="inlineStr">
        <is>
          <t>6. DP &amp; Closers - Stretch</t>
        </is>
      </c>
      <c r="C904" s="66" t="inlineStr">
        <is>
          <t>23. Advanced DS</t>
        </is>
      </c>
      <c r="D904" s="66" t="inlineStr">
        <is>
          <t>Fenwick tree</t>
        </is>
      </c>
      <c r="E904" s="66" t="inlineStr">
        <is>
          <t>Count of Smaller Numbers After Self</t>
        </is>
      </c>
      <c r="F904" s="66" t="inlineStr">
        <is>
          <t>Hard</t>
        </is>
      </c>
      <c r="G904" s="66" t="inlineStr">
        <is>
          <t>Stretch</t>
        </is>
      </c>
      <c r="H904" s="66" t="inlineStr">
        <is>
          <t>LeetCode</t>
        </is>
      </c>
      <c r="I904" s="66" t="inlineStr">
        <is>
          <t>https://leetcode.com/problems/count-of-smaller-numbers-after-self/</t>
        </is>
      </c>
      <c r="J904" s="66" t="inlineStr">
        <is>
          <t>Not Started</t>
        </is>
      </c>
      <c r="K904" s="66" t="n"/>
      <c r="L904" s="66" t="n"/>
      <c r="M904" s="72" t="n"/>
      <c r="N904" s="72">
        <f>IF($M904="","",$M904+IF($K904="",Dashboard!$M$9,INDEX(Dashboard!$M$5:$M$9,$K904)))</f>
        <v/>
      </c>
      <c r="O904" s="66">
        <f>IF(OR($J904="Attempted",$J904="Revisit"),"DUE",IF($N904="","",IF($N904&lt;=TODAY(),"DUE","")))</f>
        <v/>
      </c>
      <c r="P904" s="66" t="inlineStr">
        <is>
          <t>v3 addition</t>
        </is>
      </c>
    </row>
    <row r="905">
      <c r="A905" s="66" t="n">
        <v>904</v>
      </c>
      <c r="B905" s="66" t="inlineStr">
        <is>
          <t>6. DP &amp; Closers - Stretch</t>
        </is>
      </c>
      <c r="C905" s="66" t="inlineStr">
        <is>
          <t>23. Advanced DS</t>
        </is>
      </c>
      <c r="D905" s="66" t="inlineStr">
        <is>
          <t>Fenwick tree</t>
        </is>
      </c>
      <c r="E905" s="66" t="inlineStr">
        <is>
          <t>Create Sorted Array through Instructions</t>
        </is>
      </c>
      <c r="F905" s="66" t="inlineStr">
        <is>
          <t>Hard</t>
        </is>
      </c>
      <c r="G905" s="66" t="inlineStr">
        <is>
          <t>Stretch</t>
        </is>
      </c>
      <c r="H905" s="66" t="inlineStr">
        <is>
          <t>LeetCode</t>
        </is>
      </c>
      <c r="I905" s="66" t="inlineStr">
        <is>
          <t>https://leetcode.com/problems/create-sorted-array-through-instructions/</t>
        </is>
      </c>
      <c r="J905" s="66" t="inlineStr">
        <is>
          <t>Not Started</t>
        </is>
      </c>
      <c r="K905" s="66" t="n"/>
      <c r="L905" s="66" t="n"/>
      <c r="M905" s="72" t="n"/>
      <c r="N905" s="72">
        <f>IF($M905="","",$M905+IF($K905="",Dashboard!$M$9,INDEX(Dashboard!$M$5:$M$9,$K905)))</f>
        <v/>
      </c>
      <c r="O905" s="66">
        <f>IF(OR($J905="Attempted",$J905="Revisit"),"DUE",IF($N905="","",IF($N905&lt;=TODAY(),"DUE","")))</f>
        <v/>
      </c>
      <c r="P905" s="66" t="n"/>
    </row>
    <row r="906">
      <c r="A906" s="66" t="n">
        <v>905</v>
      </c>
      <c r="B906" s="66" t="inlineStr">
        <is>
          <t>6. DP &amp; Closers - Stretch</t>
        </is>
      </c>
      <c r="C906" s="66" t="inlineStr">
        <is>
          <t>23. Advanced DS</t>
        </is>
      </c>
      <c r="D906" s="66" t="inlineStr">
        <is>
          <t>Fenwick tree</t>
        </is>
      </c>
      <c r="E906" s="66" t="inlineStr">
        <is>
          <t>Count Good Triplets in an Array</t>
        </is>
      </c>
      <c r="F906" s="66" t="inlineStr">
        <is>
          <t>Hard</t>
        </is>
      </c>
      <c r="G906" s="66" t="inlineStr">
        <is>
          <t>Stretch</t>
        </is>
      </c>
      <c r="H906" s="66" t="inlineStr">
        <is>
          <t>LeetCode</t>
        </is>
      </c>
      <c r="I906" s="66" t="inlineStr">
        <is>
          <t>https://leetcode.com/problems/count-good-triplets-in-an-array/</t>
        </is>
      </c>
      <c r="J906" s="66" t="inlineStr">
        <is>
          <t>Not Started</t>
        </is>
      </c>
      <c r="K906" s="66" t="n"/>
      <c r="L906" s="66" t="n"/>
      <c r="M906" s="72" t="n"/>
      <c r="N906" s="72">
        <f>IF($M906="","",$M906+IF($K906="",Dashboard!$M$9,INDEX(Dashboard!$M$5:$M$9,$K906)))</f>
        <v/>
      </c>
      <c r="O906" s="66">
        <f>IF(OR($J906="Attempted",$J906="Revisit"),"DUE",IF($N906="","",IF($N906&lt;=TODAY(),"DUE","")))</f>
        <v/>
      </c>
      <c r="P906" s="66" t="n"/>
    </row>
    <row r="907">
      <c r="A907" s="66" t="n">
        <v>906</v>
      </c>
      <c r="B907" s="66" t="inlineStr">
        <is>
          <t>6. DP &amp; Closers - Stretch</t>
        </is>
      </c>
      <c r="C907" s="66" t="inlineStr">
        <is>
          <t>23. Advanced DS</t>
        </is>
      </c>
      <c r="D907" s="66" t="inlineStr">
        <is>
          <t>Segment tree</t>
        </is>
      </c>
      <c r="E907" s="66" t="inlineStr">
        <is>
          <t>Segment Tree with Lazy Propagation</t>
        </is>
      </c>
      <c r="F907" s="66" t="inlineStr">
        <is>
          <t>Hard</t>
        </is>
      </c>
      <c r="G907" s="66" t="inlineStr">
        <is>
          <t>Stretch</t>
        </is>
      </c>
      <c r="H907" s="66" t="inlineStr">
        <is>
          <t>GeeksforGeeks</t>
        </is>
      </c>
      <c r="I907" s="66" t="inlineStr">
        <is>
          <t>https://www.geeksforgeeks.org/dsa/lazy-propagation-in-segment-tree/</t>
        </is>
      </c>
      <c r="J907" s="66" t="inlineStr">
        <is>
          <t>Not Started</t>
        </is>
      </c>
      <c r="K907" s="66" t="n"/>
      <c r="L907" s="66" t="n"/>
      <c r="M907" s="72" t="n"/>
      <c r="N907" s="72">
        <f>IF($M907="","",$M907+IF($K907="",Dashboard!$M$9,INDEX(Dashboard!$M$5:$M$9,$K907)))</f>
        <v/>
      </c>
      <c r="O907" s="66">
        <f>IF(OR($J907="Attempted",$J907="Revisit"),"DUE",IF($N907="","",IF($N907&lt;=TODAY(),"DUE","")))</f>
        <v/>
      </c>
      <c r="P907" s="66" t="inlineStr">
        <is>
          <t>v3 addition</t>
        </is>
      </c>
    </row>
    <row r="908">
      <c r="A908" s="66" t="n">
        <v>907</v>
      </c>
      <c r="B908" s="66" t="inlineStr">
        <is>
          <t>6. DP &amp; Closers - Stretch</t>
        </is>
      </c>
      <c r="C908" s="66" t="inlineStr">
        <is>
          <t>23. Advanced DS</t>
        </is>
      </c>
      <c r="D908" s="66" t="inlineStr">
        <is>
          <t>Segment tree</t>
        </is>
      </c>
      <c r="E908" s="66" t="inlineStr">
        <is>
          <t>Longest Increasing Subsequence II</t>
        </is>
      </c>
      <c r="F908" s="66" t="inlineStr">
        <is>
          <t>Hard</t>
        </is>
      </c>
      <c r="G908" s="66" t="inlineStr">
        <is>
          <t>Stretch</t>
        </is>
      </c>
      <c r="H908" s="66" t="inlineStr">
        <is>
          <t>LeetCode</t>
        </is>
      </c>
      <c r="I908" s="66" t="inlineStr">
        <is>
          <t>https://leetcode.com/problems/longest-increasing-subsequence-ii/</t>
        </is>
      </c>
      <c r="J908" s="66" t="inlineStr">
        <is>
          <t>Not Started</t>
        </is>
      </c>
      <c r="K908" s="66" t="n"/>
      <c r="L908" s="66" t="n"/>
      <c r="M908" s="72" t="n"/>
      <c r="N908" s="72">
        <f>IF($M908="","",$M908+IF($K908="",Dashboard!$M$9,INDEX(Dashboard!$M$5:$M$9,$K908)))</f>
        <v/>
      </c>
      <c r="O908" s="66">
        <f>IF(OR($J908="Attempted",$J908="Revisit"),"DUE",IF($N908="","",IF($N908&lt;=TODAY(),"DUE","")))</f>
        <v/>
      </c>
      <c r="P908" s="66" t="inlineStr">
        <is>
          <t>v3 addition</t>
        </is>
      </c>
    </row>
    <row r="909">
      <c r="A909" s="66" t="n">
        <v>908</v>
      </c>
      <c r="B909" s="66" t="inlineStr">
        <is>
          <t>6. DP &amp; Closers - Stretch</t>
        </is>
      </c>
      <c r="C909" s="66" t="inlineStr">
        <is>
          <t>23. Advanced DS</t>
        </is>
      </c>
      <c r="D909" s="66" t="inlineStr">
        <is>
          <t>Sparse table</t>
        </is>
      </c>
      <c r="E909" s="66" t="inlineStr">
        <is>
          <t>LCA using Euler Tour and Sparse Table</t>
        </is>
      </c>
      <c r="F909" s="66" t="inlineStr">
        <is>
          <t>Hard</t>
        </is>
      </c>
      <c r="G909" s="66" t="inlineStr">
        <is>
          <t>Stretch</t>
        </is>
      </c>
      <c r="H909" s="66" t="inlineStr">
        <is>
          <t>GeeksforGeeks</t>
        </is>
      </c>
      <c r="I909" s="66" t="inlineStr">
        <is>
          <t>https://www.geeksforgeeks.org/search/?q=LCA+using+Euler+Tour+and+Sparse+Table</t>
        </is>
      </c>
      <c r="J909" s="66" t="inlineStr">
        <is>
          <t>Not Started</t>
        </is>
      </c>
      <c r="K909" s="66" t="n"/>
      <c r="L909" s="66" t="n"/>
      <c r="M909" s="72" t="n"/>
      <c r="N909" s="72">
        <f>IF($M909="","",$M909+IF($K909="",Dashboard!$M$9,INDEX(Dashboard!$M$5:$M$9,$K909)))</f>
        <v/>
      </c>
      <c r="O909" s="66">
        <f>IF(OR($J909="Attempted",$J909="Revisit"),"DUE",IF($N909="","",IF($N909&lt;=TODAY(),"DUE","")))</f>
        <v/>
      </c>
      <c r="P909" s="66" t="n"/>
    </row>
    <row r="910">
      <c r="A910" s="66" t="n">
        <v>909</v>
      </c>
      <c r="B910" s="66" t="inlineStr">
        <is>
          <t>6. DP &amp; Closers - Stretch</t>
        </is>
      </c>
      <c r="C910" s="66" t="inlineStr">
        <is>
          <t>23. Advanced DS</t>
        </is>
      </c>
      <c r="D910" s="66" t="inlineStr">
        <is>
          <t>Sparse table</t>
        </is>
      </c>
      <c r="E910" s="66" t="inlineStr">
        <is>
          <t>Range LCM Queries</t>
        </is>
      </c>
      <c r="F910" s="66" t="inlineStr">
        <is>
          <t>Hard</t>
        </is>
      </c>
      <c r="G910" s="66" t="inlineStr">
        <is>
          <t>Stretch</t>
        </is>
      </c>
      <c r="H910" s="66" t="inlineStr">
        <is>
          <t>GeeksforGeeks</t>
        </is>
      </c>
      <c r="I910" s="66" t="inlineStr">
        <is>
          <t>https://www.geeksforgeeks.org/search/?q=Range+LCM+Queries</t>
        </is>
      </c>
      <c r="J910" s="66" t="inlineStr">
        <is>
          <t>Not Started</t>
        </is>
      </c>
      <c r="K910" s="66" t="n"/>
      <c r="L910" s="66" t="n"/>
      <c r="M910" s="72" t="n"/>
      <c r="N910" s="72">
        <f>IF($M910="","",$M910+IF($K910="",Dashboard!$M$9,INDEX(Dashboard!$M$5:$M$9,$K910)))</f>
        <v/>
      </c>
      <c r="O910" s="66">
        <f>IF(OR($J910="Attempted",$J910="Revisit"),"DUE",IF($N910="","",IF($N910&lt;=TODAY(),"DUE","")))</f>
        <v/>
      </c>
      <c r="P910" s="66" t="n"/>
    </row>
    <row r="911">
      <c r="A911" s="66" t="n">
        <v>910</v>
      </c>
      <c r="B911" s="66" t="inlineStr">
        <is>
          <t>6. DP &amp; Closers - Stretch</t>
        </is>
      </c>
      <c r="C911" s="66" t="inlineStr">
        <is>
          <t>23. Advanced DS</t>
        </is>
      </c>
      <c r="D911" s="66" t="inlineStr">
        <is>
          <t>Sweep line</t>
        </is>
      </c>
      <c r="E911" s="66" t="inlineStr">
        <is>
          <t>The Skyline Problem</t>
        </is>
      </c>
      <c r="F911" s="66" t="inlineStr">
        <is>
          <t>Hard</t>
        </is>
      </c>
      <c r="G911" s="66" t="inlineStr">
        <is>
          <t>Stretch</t>
        </is>
      </c>
      <c r="H911" s="66" t="inlineStr">
        <is>
          <t>LeetCode</t>
        </is>
      </c>
      <c r="I911" s="66" t="inlineStr">
        <is>
          <t>https://leetcode.com/problems/the-skyline-problem/</t>
        </is>
      </c>
      <c r="J911" s="66" t="inlineStr">
        <is>
          <t>Not Started</t>
        </is>
      </c>
      <c r="K911" s="66" t="n"/>
      <c r="L911" s="66" t="n"/>
      <c r="M911" s="72" t="n"/>
      <c r="N911" s="72">
        <f>IF($M911="","",$M911+IF($K911="",Dashboard!$M$9,INDEX(Dashboard!$M$5:$M$9,$K911)))</f>
        <v/>
      </c>
      <c r="O911" s="66">
        <f>IF(OR($J911="Attempted",$J911="Revisit"),"DUE",IF($N911="","",IF($N911&lt;=TODAY(),"DUE","")))</f>
        <v/>
      </c>
      <c r="P911" s="66" t="n"/>
    </row>
    <row r="912">
      <c r="A912" s="66" t="n">
        <v>911</v>
      </c>
      <c r="B912" s="66" t="inlineStr">
        <is>
          <t>6. DP &amp; Closers - Stretch</t>
        </is>
      </c>
      <c r="C912" s="66" t="inlineStr">
        <is>
          <t>23. Advanced DS</t>
        </is>
      </c>
      <c r="D912" s="66" t="inlineStr">
        <is>
          <t>Sweep line</t>
        </is>
      </c>
      <c r="E912" s="66" t="inlineStr">
        <is>
          <t>Rectangle Area II</t>
        </is>
      </c>
      <c r="F912" s="66" t="inlineStr">
        <is>
          <t>Hard</t>
        </is>
      </c>
      <c r="G912" s="66" t="inlineStr">
        <is>
          <t>Stretch</t>
        </is>
      </c>
      <c r="H912" s="66" t="inlineStr">
        <is>
          <t>LeetCode</t>
        </is>
      </c>
      <c r="I912" s="66" t="inlineStr">
        <is>
          <t>https://leetcode.com/problems/rectangle-area-ii/</t>
        </is>
      </c>
      <c r="J912" s="66" t="inlineStr">
        <is>
          <t>Not Started</t>
        </is>
      </c>
      <c r="K912" s="66" t="n"/>
      <c r="L912" s="66" t="n"/>
      <c r="M912" s="72" t="n"/>
      <c r="N912" s="72">
        <f>IF($M912="","",$M912+IF($K912="",Dashboard!$M$9,INDEX(Dashboard!$M$5:$M$9,$K912)))</f>
        <v/>
      </c>
      <c r="O912" s="66">
        <f>IF(OR($J912="Attempted",$J912="Revisit"),"DUE",IF($N912="","",IF($N912&lt;=TODAY(),"DUE","")))</f>
        <v/>
      </c>
      <c r="P912" s="66" t="inlineStr">
        <is>
          <t>v3 addition</t>
        </is>
      </c>
    </row>
    <row r="913">
      <c r="A913" s="66" t="n">
        <v>912</v>
      </c>
      <c r="B913" s="66" t="inlineStr">
        <is>
          <t>6. DP &amp; Closers - Stretch</t>
        </is>
      </c>
      <c r="C913" s="66" t="inlineStr">
        <is>
          <t>23. Advanced DS</t>
        </is>
      </c>
      <c r="D913" s="66" t="inlineStr">
        <is>
          <t>Sweep line</t>
        </is>
      </c>
      <c r="E913" s="66" t="inlineStr">
        <is>
          <t>Number of Flowers in Full Bloom</t>
        </is>
      </c>
      <c r="F913" s="66" t="inlineStr">
        <is>
          <t>Hard</t>
        </is>
      </c>
      <c r="G913" s="66" t="inlineStr">
        <is>
          <t>Stretch</t>
        </is>
      </c>
      <c r="H913" s="66" t="inlineStr">
        <is>
          <t>LeetCode</t>
        </is>
      </c>
      <c r="I913" s="66" t="inlineStr">
        <is>
          <t>https://leetcode.com/problems/number-of-flowers-in-full-bloom/</t>
        </is>
      </c>
      <c r="J913" s="66" t="inlineStr">
        <is>
          <t>Not Started</t>
        </is>
      </c>
      <c r="K913" s="66" t="n"/>
      <c r="L913" s="66" t="n"/>
      <c r="M913" s="72" t="n"/>
      <c r="N913" s="72">
        <f>IF($M913="","",$M913+IF($K913="",Dashboard!$M$9,INDEX(Dashboard!$M$5:$M$9,$K913)))</f>
        <v/>
      </c>
      <c r="O913" s="66">
        <f>IF(OR($J913="Attempted",$J913="Revisit"),"DUE",IF($N913="","",IF($N913&lt;=TODAY(),"DUE","")))</f>
        <v/>
      </c>
      <c r="P913" s="66" t="n"/>
    </row>
    <row r="914">
      <c r="A914" s="66" t="n">
        <v>913</v>
      </c>
      <c r="B914" s="66" t="inlineStr">
        <is>
          <t>6. DP &amp; Closers - Stretch</t>
        </is>
      </c>
      <c r="C914" s="66" t="inlineStr">
        <is>
          <t>23. Advanced DS</t>
        </is>
      </c>
      <c r="D914" s="66" t="inlineStr">
        <is>
          <t>Sweep line</t>
        </is>
      </c>
      <c r="E914" s="66" t="inlineStr">
        <is>
          <t>Minimum Number of Taps to Open to Water a Garden</t>
        </is>
      </c>
      <c r="F914" s="66" t="inlineStr">
        <is>
          <t>Hard</t>
        </is>
      </c>
      <c r="G914" s="66" t="inlineStr">
        <is>
          <t>Stretch</t>
        </is>
      </c>
      <c r="H914" s="66" t="inlineStr">
        <is>
          <t>LeetCode</t>
        </is>
      </c>
      <c r="I914" s="66" t="inlineStr">
        <is>
          <t>https://leetcode.com/problems/minimum-number-of-taps-to-open-to-water-a-garden/</t>
        </is>
      </c>
      <c r="J914" s="66" t="inlineStr">
        <is>
          <t>Not Started</t>
        </is>
      </c>
      <c r="K914" s="66" t="n"/>
      <c r="L914" s="66" t="n"/>
      <c r="M914" s="72" t="n"/>
      <c r="N914" s="72">
        <f>IF($M914="","",$M914+IF($K914="",Dashboard!$M$9,INDEX(Dashboard!$M$5:$M$9,$K914)))</f>
        <v/>
      </c>
      <c r="O914" s="66">
        <f>IF(OR($J914="Attempted",$J914="Revisit"),"DUE",IF($N914="","",IF($N914&lt;=TODAY(),"DUE","")))</f>
        <v/>
      </c>
      <c r="P914" s="66" t="inlineStr">
        <is>
          <t>v3 addition</t>
        </is>
      </c>
    </row>
    <row r="915">
      <c r="A915" s="66" t="n">
        <v>914</v>
      </c>
      <c r="B915" s="66" t="inlineStr">
        <is>
          <t>6. DP &amp; Closers - Stretch</t>
        </is>
      </c>
      <c r="C915" s="66" t="inlineStr">
        <is>
          <t>23. Advanced DS</t>
        </is>
      </c>
      <c r="D915" s="66" t="inlineStr">
        <is>
          <t>Ordered set</t>
        </is>
      </c>
      <c r="E915" s="66" t="inlineStr">
        <is>
          <t>Count of Range Sum</t>
        </is>
      </c>
      <c r="F915" s="66" t="inlineStr">
        <is>
          <t>Hard</t>
        </is>
      </c>
      <c r="G915" s="66" t="inlineStr">
        <is>
          <t>Stretch</t>
        </is>
      </c>
      <c r="H915" s="66" t="inlineStr">
        <is>
          <t>GeeksforGeeks</t>
        </is>
      </c>
      <c r="I915" s="66" t="inlineStr">
        <is>
          <t>https://www.geeksforgeeks.org/problems/count-the-number-of-subarrays/1</t>
        </is>
      </c>
      <c r="J915" s="66" t="inlineStr">
        <is>
          <t>Not Started</t>
        </is>
      </c>
      <c r="K915" s="66" t="n"/>
      <c r="L915" s="66" t="n"/>
      <c r="M915" s="72" t="n"/>
      <c r="N915" s="72">
        <f>IF($M915="","",$M915+IF($K915="",Dashboard!$M$9,INDEX(Dashboard!$M$5:$M$9,$K915)))</f>
        <v/>
      </c>
      <c r="O915" s="66">
        <f>IF(OR($J915="Attempted",$J915="Revisit"),"DUE",IF($N915="","",IF($N915&lt;=TODAY(),"DUE","")))</f>
        <v/>
      </c>
      <c r="P915" s="66" t="inlineStr">
        <is>
          <t>v3 addition</t>
        </is>
      </c>
    </row>
    <row r="916">
      <c r="A916" s="66" t="n">
        <v>915</v>
      </c>
      <c r="B916" s="66" t="inlineStr">
        <is>
          <t>6. DP &amp; Closers - Stretch</t>
        </is>
      </c>
      <c r="C916" s="66" t="inlineStr">
        <is>
          <t>23. Advanced DS</t>
        </is>
      </c>
      <c r="D916" s="66" t="inlineStr">
        <is>
          <t>Ordered set</t>
        </is>
      </c>
      <c r="E916" s="66" t="inlineStr">
        <is>
          <t>Count Smaller Elements on Right Side</t>
        </is>
      </c>
      <c r="F916" s="66" t="inlineStr">
        <is>
          <t>Hard</t>
        </is>
      </c>
      <c r="G916" s="66" t="inlineStr">
        <is>
          <t>Stretch</t>
        </is>
      </c>
      <c r="H916" s="66" t="inlineStr">
        <is>
          <t>GeeksforGeeks</t>
        </is>
      </c>
      <c r="I916" s="66" t="inlineStr">
        <is>
          <t>https://www.geeksforgeeks.org/search/?q=Count+Smaller+Elements+on+Right+Side</t>
        </is>
      </c>
      <c r="J916" s="66" t="inlineStr">
        <is>
          <t>Not Started</t>
        </is>
      </c>
      <c r="K916" s="66" t="n"/>
      <c r="L916" s="66" t="n"/>
      <c r="M916" s="72" t="n"/>
      <c r="N916" s="72">
        <f>IF($M916="","",$M916+IF($K916="",Dashboard!$M$9,INDEX(Dashboard!$M$5:$M$9,$K916)))</f>
        <v/>
      </c>
      <c r="O916" s="66">
        <f>IF(OR($J916="Attempted",$J916="Revisit"),"DUE",IF($N916="","",IF($N916&lt;=TODAY(),"DUE","")))</f>
        <v/>
      </c>
      <c r="P916" s="66" t="n"/>
    </row>
    <row r="917">
      <c r="A917" s="66" t="n">
        <v>916</v>
      </c>
      <c r="B917" s="66" t="inlineStr">
        <is>
          <t>6. DP &amp; Closers - Stretch</t>
        </is>
      </c>
      <c r="C917" s="66" t="inlineStr">
        <is>
          <t>23. Advanced DS</t>
        </is>
      </c>
      <c r="D917" s="66" t="inlineStr">
        <is>
          <t>Ordered set</t>
        </is>
      </c>
      <c r="E917" s="66" t="inlineStr">
        <is>
          <t>Maximum Sum Subarray with Sum Less Than or Equal to K</t>
        </is>
      </c>
      <c r="F917" s="66" t="inlineStr">
        <is>
          <t>Hard</t>
        </is>
      </c>
      <c r="G917" s="66" t="inlineStr">
        <is>
          <t>Stretch</t>
        </is>
      </c>
      <c r="H917" s="66" t="inlineStr">
        <is>
          <t>GeeksforGeeks</t>
        </is>
      </c>
      <c r="I917" s="66" t="inlineStr">
        <is>
          <t>https://www.geeksforgeeks.org/search/?q=Maximum+Sum+Subarray+with+Sum+Less+Than+or+Equal+to+K</t>
        </is>
      </c>
      <c r="J917" s="66" t="inlineStr">
        <is>
          <t>Not Started</t>
        </is>
      </c>
      <c r="K917" s="66" t="n"/>
      <c r="L917" s="66" t="n"/>
      <c r="M917" s="72" t="n"/>
      <c r="N917" s="72">
        <f>IF($M917="","",$M917+IF($K917="",Dashboard!$M$9,INDEX(Dashboard!$M$5:$M$9,$K917)))</f>
        <v/>
      </c>
      <c r="O917" s="66">
        <f>IF(OR($J917="Attempted",$J917="Revisit"),"DUE",IF($N917="","",IF($N917&lt;=TODAY(),"DUE","")))</f>
        <v/>
      </c>
      <c r="P917" s="66" t="inlineStr">
        <is>
          <t>v3 addition</t>
        </is>
      </c>
    </row>
    <row r="918">
      <c r="A918" s="66" t="n">
        <v>917</v>
      </c>
      <c r="B918" s="66" t="inlineStr">
        <is>
          <t>6. DP &amp; Closers - Stretch</t>
        </is>
      </c>
      <c r="C918" s="66" t="inlineStr">
        <is>
          <t>23. Advanced DS</t>
        </is>
      </c>
      <c r="D918" s="66" t="inlineStr">
        <is>
          <t>Ordered set</t>
        </is>
      </c>
      <c r="E918" s="66" t="inlineStr">
        <is>
          <t>Contains Duplicate III</t>
        </is>
      </c>
      <c r="F918" s="66" t="inlineStr">
        <is>
          <t>Hard</t>
        </is>
      </c>
      <c r="G918" s="66" t="inlineStr">
        <is>
          <t>Stretch</t>
        </is>
      </c>
      <c r="H918" s="66" t="inlineStr">
        <is>
          <t>LeetCode</t>
        </is>
      </c>
      <c r="I918" s="66" t="inlineStr">
        <is>
          <t>https://leetcode.com/problems/contains-duplicate-iii/</t>
        </is>
      </c>
      <c r="J918" s="66" t="inlineStr">
        <is>
          <t>Not Started</t>
        </is>
      </c>
      <c r="K918" s="66" t="n"/>
      <c r="L918" s="66" t="n"/>
      <c r="M918" s="72" t="n"/>
      <c r="N918" s="72">
        <f>IF($M918="","",$M918+IF($K918="",Dashboard!$M$9,INDEX(Dashboard!$M$5:$M$9,$K918)))</f>
        <v/>
      </c>
      <c r="O918" s="66">
        <f>IF(OR($J918="Attempted",$J918="Revisit"),"DUE",IF($N918="","",IF($N918&lt;=TODAY(),"DUE","")))</f>
        <v/>
      </c>
      <c r="P918" s="66" t="inlineStr">
        <is>
          <t>v3 addition</t>
        </is>
      </c>
    </row>
  </sheetData>
  <autoFilter ref="A1:P918"/>
  <conditionalFormatting sqref="F2:F918">
    <cfRule type="cellIs" rank="0" priority="2" equalAverage="0" operator="equal" aboveAverage="0" dxfId="9" text="" percent="0" bottom="0">
      <formula>"Easy"</formula>
    </cfRule>
    <cfRule type="cellIs" rank="0" priority="3" equalAverage="0" operator="equal" aboveAverage="0" dxfId="10" text="" percent="0" bottom="0">
      <formula>"Medium"</formula>
    </cfRule>
    <cfRule type="cellIs" rank="0" priority="4" equalAverage="0" operator="equal" aboveAverage="0" dxfId="11" text="" percent="0" bottom="0">
      <formula>"Hard"</formula>
    </cfRule>
  </conditionalFormatting>
  <conditionalFormatting sqref="J2:J918">
    <cfRule type="cellIs" rank="0" priority="5" equalAverage="0" operator="equal" aboveAverage="0" dxfId="9" text="" percent="0" bottom="0">
      <formula>"Mastered"</formula>
    </cfRule>
    <cfRule type="cellIs" rank="0" priority="6" equalAverage="0" operator="equal" aboveAverage="0" dxfId="12" text="" percent="0" bottom="0">
      <formula>"Solved"</formula>
    </cfRule>
    <cfRule type="cellIs" rank="0" priority="7" equalAverage="0" operator="equal" aboveAverage="0" dxfId="10" text="" percent="0" bottom="0">
      <formula>"Attempted"</formula>
    </cfRule>
    <cfRule type="cellIs" rank="0" priority="8" equalAverage="0" operator="equal" aboveAverage="0" dxfId="11" text="" percent="0" bottom="0">
      <formula>"Revisit"</formula>
    </cfRule>
  </conditionalFormatting>
  <conditionalFormatting sqref="G2:G918">
    <cfRule type="cellIs" rank="0" priority="9" equalAverage="0" operator="equal" aboveAverage="0" dxfId="13" text="" percent="0" bottom="0">
      <formula>"Core"</formula>
    </cfRule>
    <cfRule type="cellIs" rank="0" priority="10" equalAverage="0" operator="equal" aboveAverage="0" dxfId="14" text="" percent="0" bottom="0">
      <formula>"Stretch"</formula>
    </cfRule>
  </conditionalFormatting>
  <conditionalFormatting sqref="O2:O918">
    <cfRule type="cellIs" rank="0" priority="11" equalAverage="0" operator="equal" aboveAverage="0" dxfId="15" text="" percent="0" bottom="0">
      <formula>"DUE"</formula>
    </cfRule>
  </conditionalFormatting>
  <dataValidations count="3">
    <dataValidation sqref="J2:J918" showDropDown="0" showInputMessage="0" showErrorMessage="0" allowBlank="1" type="list">
      <formula1>"Not Started,Attempted,Solved,Mastered,Revisit"</formula1>
    </dataValidation>
    <dataValidation sqref="K2:K918" showDropDown="0" showInputMessage="0" showErrorMessage="0" allowBlank="1" type="list">
      <formula1>"1,2,3,4,5"</formula1>
    </dataValidation>
    <dataValidation sqref="G2:G918" showDropDown="0" showInputMessage="0" showErrorMessage="0" allowBlank="1" type="list">
      <formula1>"Core,Depth,Stretch"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1" min="2" max="2"/>
    <col width="9" customWidth="1" style="31" min="3" max="5"/>
    <col width="11" customWidth="1" style="31" min="6" max="6"/>
    <col width="12" customWidth="1" style="31" min="7" max="7"/>
    <col width="10" customWidth="1" style="31" min="8" max="8"/>
    <col width="12" customWidth="1" style="31" min="9" max="9"/>
    <col width="9" customWidth="1" style="31" min="10" max="10"/>
    <col width="14" customWidth="1" style="31" min="11" max="11"/>
    <col width="12" customWidth="1" style="31" min="12" max="12"/>
    <col width="8" customWidth="1" style="31" min="13" max="13"/>
  </cols>
  <sheetData>
    <row r="1"/>
    <row r="2" ht="19.5" customHeight="1" s="32">
      <c r="B2" s="33" t="inlineStr">
        <is>
          <t>Progress Dashboard</t>
        </is>
      </c>
    </row>
    <row r="3" ht="15" customHeight="1" s="32">
      <c r="B3" s="34" t="inlineStr">
        <is>
          <t>Every number here is calculated from the Master tab. Do not type into this sheet except the yellow config cells.</t>
        </is>
      </c>
      <c r="L3" s="49" t="inlineStr">
        <is>
          <t>CONFIG - revision gap (days)</t>
        </is>
      </c>
    </row>
    <row r="4" ht="15" customHeight="1" s="32">
      <c r="L4" s="52" t="inlineStr">
        <is>
          <t>Confidence</t>
        </is>
      </c>
      <c r="M4" s="52" t="inlineStr">
        <is>
          <t>Days</t>
        </is>
      </c>
    </row>
    <row r="5" ht="15" customHeight="1" s="32">
      <c r="B5" s="49" t="inlineStr">
        <is>
          <t>CORE TRACK (the one that matters)</t>
        </is>
      </c>
      <c r="C5" s="53">
        <f>COUNTIFS(Master!$G$2:$G$918,"Core",Master!$J$2:$J$918,"Solved")+COUNTIFS(Master!$G$2:$G$918,"Core",Master!$J$2:$J$918,"Mastered")</f>
        <v/>
      </c>
      <c r="D5" s="54">
        <f>COUNTIF(Master!$G$2:$G$918,"Core")</f>
        <v/>
      </c>
      <c r="E5" s="48">
        <f>IFERROR($C5/$D5,0)</f>
        <v/>
      </c>
      <c r="L5" s="42" t="n">
        <v>1</v>
      </c>
      <c r="M5" s="55" t="n">
        <v>2</v>
      </c>
    </row>
    <row r="6" ht="15" customHeight="1" s="32">
      <c r="B6" s="37" t="inlineStr">
        <is>
          <t>All 922 questions</t>
        </is>
      </c>
      <c r="C6" s="53">
        <f>COUNTIF(Master!$J$2:$J$918,"Solved")+COUNTIF(Master!$J$2:$J$918,"Mastered")</f>
        <v/>
      </c>
      <c r="D6" s="54">
        <f>COUNTA(Master!$A$2:$A$918)</f>
        <v/>
      </c>
      <c r="E6" s="48">
        <f>IFERROR($C6/$D6,0)</f>
        <v/>
      </c>
      <c r="L6" s="42" t="n">
        <v>2</v>
      </c>
      <c r="M6" s="55" t="n">
        <v>4</v>
      </c>
    </row>
    <row r="7" ht="15" customHeight="1" s="32">
      <c r="B7" s="37" t="inlineStr">
        <is>
          <t>Due for revision today</t>
        </is>
      </c>
      <c r="C7" s="53">
        <f>COUNTIF(Master!$O$2:$O$918,"DUE")</f>
        <v/>
      </c>
      <c r="L7" s="42" t="n">
        <v>3</v>
      </c>
      <c r="M7" s="55" t="n">
        <v>7</v>
      </c>
    </row>
    <row r="8" ht="15" customHeight="1" s="32">
      <c r="L8" s="42" t="n">
        <v>4</v>
      </c>
      <c r="M8" s="55" t="n">
        <v>21</v>
      </c>
    </row>
    <row r="9" ht="15" customHeight="1" s="32">
      <c r="B9" s="41" t="inlineStr">
        <is>
          <t>Topic</t>
        </is>
      </c>
      <c r="C9" s="41" t="inlineStr">
        <is>
          <t>Total</t>
        </is>
      </c>
      <c r="D9" s="41" t="inlineStr">
        <is>
          <t>Core</t>
        </is>
      </c>
      <c r="E9" s="41" t="inlineStr">
        <is>
          <t>Done</t>
        </is>
      </c>
      <c r="F9" s="41" t="inlineStr">
        <is>
          <t>Core done</t>
        </is>
      </c>
      <c r="G9" s="41" t="inlineStr">
        <is>
          <t>Attempted</t>
        </is>
      </c>
      <c r="H9" s="41" t="inlineStr">
        <is>
          <t>Avg conf</t>
        </is>
      </c>
      <c r="I9" s="41" t="inlineStr">
        <is>
          <t>% Core done</t>
        </is>
      </c>
      <c r="L9" s="42" t="n">
        <v>5</v>
      </c>
      <c r="M9" s="55" t="n">
        <v>45</v>
      </c>
    </row>
    <row r="10" ht="15" customHeight="1" s="32">
      <c r="B10" s="42" t="inlineStr">
        <is>
          <t>01. Basics &amp; Recursion</t>
        </is>
      </c>
      <c r="C10" s="43">
        <f>COUNTIF(Master!$C$2:$C$918,$B10)</f>
        <v/>
      </c>
      <c r="D10" s="43">
        <f>COUNTIFS(Master!$C$2:$C$918,$B10,Master!$G$2:$G$918,"Core")</f>
        <v/>
      </c>
      <c r="E10" s="43">
        <f>COUNTIFS(Master!$C$2:$C$918,$B10,Master!$J$2:$J$918,"Solved")+COUNTIFS(Master!$C$2:$C$918,$B10,Master!$J$2:$J$918,"Mastered")</f>
        <v/>
      </c>
      <c r="F10" s="43">
        <f>COUNTIFS(Master!$C$2:$C$918,$B10,Master!$G$2:$G$918,"Core",Master!$J$2:$J$918,"Solved")+COUNTIFS(Master!$C$2:$C$918,$B10,Master!$G$2:$G$918,"Core",Master!$J$2:$J$918,"Mastered")</f>
        <v/>
      </c>
      <c r="G10" s="43">
        <f>COUNTIFS(Master!$C$2:$C$918,$B10,Master!$J$2:$J$918,"Attempted")+COUNTIFS(Master!$C$2:$C$918,$B10,Master!$J$2:$J$918,"Revisit")</f>
        <v/>
      </c>
      <c r="H10" s="56">
        <f>IFERROR(AVERAGEIFS(Master!$K$2:$K$918,Master!$C$2:$C$918,$B10),"")</f>
        <v/>
      </c>
      <c r="I10" s="45">
        <f>IFERROR($F10/$C10,0)</f>
        <v/>
      </c>
      <c r="L10" s="39" t="inlineStr">
        <is>
          <t>Editable. Master!N uses these to set Next Revision.</t>
        </is>
      </c>
    </row>
    <row r="11" ht="15" customHeight="1" s="32">
      <c r="B11" s="42" t="inlineStr">
        <is>
          <t>02. Arrays &amp; Two Pointers</t>
        </is>
      </c>
      <c r="C11" s="43">
        <f>COUNTIF(Master!$C$2:$C$918,$B11)</f>
        <v/>
      </c>
      <c r="D11" s="43">
        <f>COUNTIFS(Master!$C$2:$C$918,$B11,Master!$G$2:$G$918,"Core")</f>
        <v/>
      </c>
      <c r="E11" s="43">
        <f>COUNTIFS(Master!$C$2:$C$918,$B11,Master!$J$2:$J$918,"Solved")+COUNTIFS(Master!$C$2:$C$918,$B11,Master!$J$2:$J$918,"Mastered")</f>
        <v/>
      </c>
      <c r="F11" s="43">
        <f>COUNTIFS(Master!$C$2:$C$918,$B11,Master!$G$2:$G$918,"Core",Master!$J$2:$J$918,"Solved")+COUNTIFS(Master!$C$2:$C$918,$B11,Master!$G$2:$G$918,"Core",Master!$J$2:$J$918,"Mastered")</f>
        <v/>
      </c>
      <c r="G11" s="43">
        <f>COUNTIFS(Master!$C$2:$C$918,$B11,Master!$J$2:$J$918,"Attempted")+COUNTIFS(Master!$C$2:$C$918,$B11,Master!$J$2:$J$918,"Revisit")</f>
        <v/>
      </c>
      <c r="H11" s="56">
        <f>IFERROR(AVERAGEIFS(Master!$K$2:$K$918,Master!$C$2:$C$918,$B11),"")</f>
        <v/>
      </c>
      <c r="I11" s="45">
        <f>IFERROR($F11/$C11,0)</f>
        <v/>
      </c>
    </row>
    <row r="12" ht="15" customHeight="1" s="32">
      <c r="B12" s="42" t="inlineStr">
        <is>
          <t>03. Sliding Window</t>
        </is>
      </c>
      <c r="C12" s="43">
        <f>COUNTIF(Master!$C$2:$C$918,$B12)</f>
        <v/>
      </c>
      <c r="D12" s="43">
        <f>COUNTIFS(Master!$C$2:$C$918,$B12,Master!$G$2:$G$918,"Core")</f>
        <v/>
      </c>
      <c r="E12" s="43">
        <f>COUNTIFS(Master!$C$2:$C$918,$B12,Master!$J$2:$J$918,"Solved")+COUNTIFS(Master!$C$2:$C$918,$B12,Master!$J$2:$J$918,"Mastered")</f>
        <v/>
      </c>
      <c r="F12" s="43">
        <f>COUNTIFS(Master!$C$2:$C$918,$B12,Master!$G$2:$G$918,"Core",Master!$J$2:$J$918,"Solved")+COUNTIFS(Master!$C$2:$C$918,$B12,Master!$G$2:$G$918,"Core",Master!$J$2:$J$918,"Mastered")</f>
        <v/>
      </c>
      <c r="G12" s="43">
        <f>COUNTIFS(Master!$C$2:$C$918,$B12,Master!$J$2:$J$918,"Attempted")+COUNTIFS(Master!$C$2:$C$918,$B12,Master!$J$2:$J$918,"Revisit")</f>
        <v/>
      </c>
      <c r="H12" s="56">
        <f>IFERROR(AVERAGEIFS(Master!$K$2:$K$918,Master!$C$2:$C$918,$B12),"")</f>
        <v/>
      </c>
      <c r="I12" s="45">
        <f>IFERROR($F12/$C12,0)</f>
        <v/>
      </c>
    </row>
    <row r="13" ht="15" customHeight="1" s="32">
      <c r="B13" s="42" t="inlineStr">
        <is>
          <t>04. Prefix Sum &amp; Kadane</t>
        </is>
      </c>
      <c r="C13" s="43">
        <f>COUNTIF(Master!$C$2:$C$918,$B13)</f>
        <v/>
      </c>
      <c r="D13" s="43">
        <f>COUNTIFS(Master!$C$2:$C$918,$B13,Master!$G$2:$G$918,"Core")</f>
        <v/>
      </c>
      <c r="E13" s="43">
        <f>COUNTIFS(Master!$C$2:$C$918,$B13,Master!$J$2:$J$918,"Solved")+COUNTIFS(Master!$C$2:$C$918,$B13,Master!$J$2:$J$918,"Mastered")</f>
        <v/>
      </c>
      <c r="F13" s="43">
        <f>COUNTIFS(Master!$C$2:$C$918,$B13,Master!$G$2:$G$918,"Core",Master!$J$2:$J$918,"Solved")+COUNTIFS(Master!$C$2:$C$918,$B13,Master!$G$2:$G$918,"Core",Master!$J$2:$J$918,"Mastered")</f>
        <v/>
      </c>
      <c r="G13" s="43">
        <f>COUNTIFS(Master!$C$2:$C$918,$B13,Master!$J$2:$J$918,"Attempted")+COUNTIFS(Master!$C$2:$C$918,$B13,Master!$J$2:$J$918,"Revisit")</f>
        <v/>
      </c>
      <c r="H13" s="56">
        <f>IFERROR(AVERAGEIFS(Master!$K$2:$K$918,Master!$C$2:$C$918,$B13),"")</f>
        <v/>
      </c>
      <c r="I13" s="45">
        <f>IFERROR($F13/$C13,0)</f>
        <v/>
      </c>
    </row>
    <row r="14" ht="15" customHeight="1" s="32">
      <c r="B14" s="42" t="inlineStr">
        <is>
          <t>05. Sorting &amp; Cyclic Sort</t>
        </is>
      </c>
      <c r="C14" s="43">
        <f>COUNTIF(Master!$C$2:$C$918,$B14)</f>
        <v/>
      </c>
      <c r="D14" s="43">
        <f>COUNTIFS(Master!$C$2:$C$918,$B14,Master!$G$2:$G$918,"Core")</f>
        <v/>
      </c>
      <c r="E14" s="43">
        <f>COUNTIFS(Master!$C$2:$C$918,$B14,Master!$J$2:$J$918,"Solved")+COUNTIFS(Master!$C$2:$C$918,$B14,Master!$J$2:$J$918,"Mastered")</f>
        <v/>
      </c>
      <c r="F14" s="43">
        <f>COUNTIFS(Master!$C$2:$C$918,$B14,Master!$G$2:$G$918,"Core",Master!$J$2:$J$918,"Solved")+COUNTIFS(Master!$C$2:$C$918,$B14,Master!$G$2:$G$918,"Core",Master!$J$2:$J$918,"Mastered")</f>
        <v/>
      </c>
      <c r="G14" s="43">
        <f>COUNTIFS(Master!$C$2:$C$918,$B14,Master!$J$2:$J$918,"Attempted")+COUNTIFS(Master!$C$2:$C$918,$B14,Master!$J$2:$J$918,"Revisit")</f>
        <v/>
      </c>
      <c r="H14" s="56">
        <f>IFERROR(AVERAGEIFS(Master!$K$2:$K$918,Master!$C$2:$C$918,$B14),"")</f>
        <v/>
      </c>
      <c r="I14" s="45">
        <f>IFERROR($F14/$C14,0)</f>
        <v/>
      </c>
    </row>
    <row r="15" ht="15" customHeight="1" s="32">
      <c r="B15" s="42" t="inlineStr">
        <is>
          <t>06. Binary Search</t>
        </is>
      </c>
      <c r="C15" s="43">
        <f>COUNTIF(Master!$C$2:$C$918,$B15)</f>
        <v/>
      </c>
      <c r="D15" s="43">
        <f>COUNTIFS(Master!$C$2:$C$918,$B15,Master!$G$2:$G$918,"Core")</f>
        <v/>
      </c>
      <c r="E15" s="43">
        <f>COUNTIFS(Master!$C$2:$C$918,$B15,Master!$J$2:$J$918,"Solved")+COUNTIFS(Master!$C$2:$C$918,$B15,Master!$J$2:$J$918,"Mastered")</f>
        <v/>
      </c>
      <c r="F15" s="43">
        <f>COUNTIFS(Master!$C$2:$C$918,$B15,Master!$G$2:$G$918,"Core",Master!$J$2:$J$918,"Solved")+COUNTIFS(Master!$C$2:$C$918,$B15,Master!$G$2:$G$918,"Core",Master!$J$2:$J$918,"Mastered")</f>
        <v/>
      </c>
      <c r="G15" s="43">
        <f>COUNTIFS(Master!$C$2:$C$918,$B15,Master!$J$2:$J$918,"Attempted")+COUNTIFS(Master!$C$2:$C$918,$B15,Master!$J$2:$J$918,"Revisit")</f>
        <v/>
      </c>
      <c r="H15" s="56">
        <f>IFERROR(AVERAGEIFS(Master!$K$2:$K$918,Master!$C$2:$C$918,$B15),"")</f>
        <v/>
      </c>
      <c r="I15" s="45">
        <f>IFERROR($F15/$C15,0)</f>
        <v/>
      </c>
    </row>
    <row r="16" ht="15" customHeight="1" s="32">
      <c r="B16" s="42" t="inlineStr">
        <is>
          <t>07. Strings</t>
        </is>
      </c>
      <c r="C16" s="43">
        <f>COUNTIF(Master!$C$2:$C$918,$B16)</f>
        <v/>
      </c>
      <c r="D16" s="43">
        <f>COUNTIFS(Master!$C$2:$C$918,$B16,Master!$G$2:$G$918,"Core")</f>
        <v/>
      </c>
      <c r="E16" s="43">
        <f>COUNTIFS(Master!$C$2:$C$918,$B16,Master!$J$2:$J$918,"Solved")+COUNTIFS(Master!$C$2:$C$918,$B16,Master!$J$2:$J$918,"Mastered")</f>
        <v/>
      </c>
      <c r="F16" s="43">
        <f>COUNTIFS(Master!$C$2:$C$918,$B16,Master!$G$2:$G$918,"Core",Master!$J$2:$J$918,"Solved")+COUNTIFS(Master!$C$2:$C$918,$B16,Master!$G$2:$G$918,"Core",Master!$J$2:$J$918,"Mastered")</f>
        <v/>
      </c>
      <c r="G16" s="43">
        <f>COUNTIFS(Master!$C$2:$C$918,$B16,Master!$J$2:$J$918,"Attempted")+COUNTIFS(Master!$C$2:$C$918,$B16,Master!$J$2:$J$918,"Revisit")</f>
        <v/>
      </c>
      <c r="H16" s="56">
        <f>IFERROR(AVERAGEIFS(Master!$K$2:$K$918,Master!$C$2:$C$918,$B16),"")</f>
        <v/>
      </c>
      <c r="I16" s="45">
        <f>IFERROR($F16/$C16,0)</f>
        <v/>
      </c>
    </row>
    <row r="17" ht="15" customHeight="1" s="32">
      <c r="B17" s="42" t="inlineStr">
        <is>
          <t>08. Hashing</t>
        </is>
      </c>
      <c r="C17" s="43">
        <f>COUNTIF(Master!$C$2:$C$918,$B17)</f>
        <v/>
      </c>
      <c r="D17" s="43">
        <f>COUNTIFS(Master!$C$2:$C$918,$B17,Master!$G$2:$G$918,"Core")</f>
        <v/>
      </c>
      <c r="E17" s="43">
        <f>COUNTIFS(Master!$C$2:$C$918,$B17,Master!$J$2:$J$918,"Solved")+COUNTIFS(Master!$C$2:$C$918,$B17,Master!$J$2:$J$918,"Mastered")</f>
        <v/>
      </c>
      <c r="F17" s="43">
        <f>COUNTIFS(Master!$C$2:$C$918,$B17,Master!$G$2:$G$918,"Core",Master!$J$2:$J$918,"Solved")+COUNTIFS(Master!$C$2:$C$918,$B17,Master!$G$2:$G$918,"Core",Master!$J$2:$J$918,"Mastered")</f>
        <v/>
      </c>
      <c r="G17" s="43">
        <f>COUNTIFS(Master!$C$2:$C$918,$B17,Master!$J$2:$J$918,"Attempted")+COUNTIFS(Master!$C$2:$C$918,$B17,Master!$J$2:$J$918,"Revisit")</f>
        <v/>
      </c>
      <c r="H17" s="56">
        <f>IFERROR(AVERAGEIFS(Master!$K$2:$K$918,Master!$C$2:$C$918,$B17),"")</f>
        <v/>
      </c>
      <c r="I17" s="45">
        <f>IFERROR($F17/$C17,0)</f>
        <v/>
      </c>
    </row>
    <row r="18" ht="15" customHeight="1" s="32">
      <c r="B18" s="42" t="inlineStr">
        <is>
          <t>09. Matrix / 2D</t>
        </is>
      </c>
      <c r="C18" s="43">
        <f>COUNTIF(Master!$C$2:$C$918,$B18)</f>
        <v/>
      </c>
      <c r="D18" s="43">
        <f>COUNTIFS(Master!$C$2:$C$918,$B18,Master!$G$2:$G$918,"Core")</f>
        <v/>
      </c>
      <c r="E18" s="43">
        <f>COUNTIFS(Master!$C$2:$C$918,$B18,Master!$J$2:$J$918,"Solved")+COUNTIFS(Master!$C$2:$C$918,$B18,Master!$J$2:$J$918,"Mastered")</f>
        <v/>
      </c>
      <c r="F18" s="43">
        <f>COUNTIFS(Master!$C$2:$C$918,$B18,Master!$G$2:$G$918,"Core",Master!$J$2:$J$918,"Solved")+COUNTIFS(Master!$C$2:$C$918,$B18,Master!$G$2:$G$918,"Core",Master!$J$2:$J$918,"Mastered")</f>
        <v/>
      </c>
      <c r="G18" s="43">
        <f>COUNTIFS(Master!$C$2:$C$918,$B18,Master!$J$2:$J$918,"Attempted")+COUNTIFS(Master!$C$2:$C$918,$B18,Master!$J$2:$J$918,"Revisit")</f>
        <v/>
      </c>
      <c r="H18" s="56">
        <f>IFERROR(AVERAGEIFS(Master!$K$2:$K$918,Master!$C$2:$C$918,$B18),"")</f>
        <v/>
      </c>
      <c r="I18" s="45">
        <f>IFERROR($F18/$C18,0)</f>
        <v/>
      </c>
    </row>
    <row r="19" ht="15" customHeight="1" s="32">
      <c r="B19" s="42" t="inlineStr">
        <is>
          <t>10. Linked List</t>
        </is>
      </c>
      <c r="C19" s="43">
        <f>COUNTIF(Master!$C$2:$C$918,$B19)</f>
        <v/>
      </c>
      <c r="D19" s="43">
        <f>COUNTIFS(Master!$C$2:$C$918,$B19,Master!$G$2:$G$918,"Core")</f>
        <v/>
      </c>
      <c r="E19" s="43">
        <f>COUNTIFS(Master!$C$2:$C$918,$B19,Master!$J$2:$J$918,"Solved")+COUNTIFS(Master!$C$2:$C$918,$B19,Master!$J$2:$J$918,"Mastered")</f>
        <v/>
      </c>
      <c r="F19" s="43">
        <f>COUNTIFS(Master!$C$2:$C$918,$B19,Master!$G$2:$G$918,"Core",Master!$J$2:$J$918,"Solved")+COUNTIFS(Master!$C$2:$C$918,$B19,Master!$G$2:$G$918,"Core",Master!$J$2:$J$918,"Mastered")</f>
        <v/>
      </c>
      <c r="G19" s="43">
        <f>COUNTIFS(Master!$C$2:$C$918,$B19,Master!$J$2:$J$918,"Attempted")+COUNTIFS(Master!$C$2:$C$918,$B19,Master!$J$2:$J$918,"Revisit")</f>
        <v/>
      </c>
      <c r="H19" s="56">
        <f>IFERROR(AVERAGEIFS(Master!$K$2:$K$918,Master!$C$2:$C$918,$B19),"")</f>
        <v/>
      </c>
      <c r="I19" s="45">
        <f>IFERROR($F19/$C19,0)</f>
        <v/>
      </c>
    </row>
    <row r="20" ht="15" customHeight="1" s="32">
      <c r="B20" s="42" t="inlineStr">
        <is>
          <t>11. Stack &amp; Queue</t>
        </is>
      </c>
      <c r="C20" s="43">
        <f>COUNTIF(Master!$C$2:$C$918,$B20)</f>
        <v/>
      </c>
      <c r="D20" s="43">
        <f>COUNTIFS(Master!$C$2:$C$918,$B20,Master!$G$2:$G$918,"Core")</f>
        <v/>
      </c>
      <c r="E20" s="43">
        <f>COUNTIFS(Master!$C$2:$C$918,$B20,Master!$J$2:$J$918,"Solved")+COUNTIFS(Master!$C$2:$C$918,$B20,Master!$J$2:$J$918,"Mastered")</f>
        <v/>
      </c>
      <c r="F20" s="43">
        <f>COUNTIFS(Master!$C$2:$C$918,$B20,Master!$G$2:$G$918,"Core",Master!$J$2:$J$918,"Solved")+COUNTIFS(Master!$C$2:$C$918,$B20,Master!$G$2:$G$918,"Core",Master!$J$2:$J$918,"Mastered")</f>
        <v/>
      </c>
      <c r="G20" s="43">
        <f>COUNTIFS(Master!$C$2:$C$918,$B20,Master!$J$2:$J$918,"Attempted")+COUNTIFS(Master!$C$2:$C$918,$B20,Master!$J$2:$J$918,"Revisit")</f>
        <v/>
      </c>
      <c r="H20" s="56">
        <f>IFERROR(AVERAGEIFS(Master!$K$2:$K$918,Master!$C$2:$C$918,$B20),"")</f>
        <v/>
      </c>
      <c r="I20" s="45">
        <f>IFERROR($F20/$C20,0)</f>
        <v/>
      </c>
    </row>
    <row r="21" ht="15" customHeight="1" s="32">
      <c r="B21" s="42" t="inlineStr">
        <is>
          <t>12. Heap &amp; Priority Queue</t>
        </is>
      </c>
      <c r="C21" s="43">
        <f>COUNTIF(Master!$C$2:$C$918,$B21)</f>
        <v/>
      </c>
      <c r="D21" s="43">
        <f>COUNTIFS(Master!$C$2:$C$918,$B21,Master!$G$2:$G$918,"Core")</f>
        <v/>
      </c>
      <c r="E21" s="43">
        <f>COUNTIFS(Master!$C$2:$C$918,$B21,Master!$J$2:$J$918,"Solved")+COUNTIFS(Master!$C$2:$C$918,$B21,Master!$J$2:$J$918,"Mastered")</f>
        <v/>
      </c>
      <c r="F21" s="43">
        <f>COUNTIFS(Master!$C$2:$C$918,$B21,Master!$G$2:$G$918,"Core",Master!$J$2:$J$918,"Solved")+COUNTIFS(Master!$C$2:$C$918,$B21,Master!$G$2:$G$918,"Core",Master!$J$2:$J$918,"Mastered")</f>
        <v/>
      </c>
      <c r="G21" s="43">
        <f>COUNTIFS(Master!$C$2:$C$918,$B21,Master!$J$2:$J$918,"Attempted")+COUNTIFS(Master!$C$2:$C$918,$B21,Master!$J$2:$J$918,"Revisit")</f>
        <v/>
      </c>
      <c r="H21" s="56">
        <f>IFERROR(AVERAGEIFS(Master!$K$2:$K$918,Master!$C$2:$C$918,$B21),"")</f>
        <v/>
      </c>
      <c r="I21" s="45">
        <f>IFERROR($F21/$C21,0)</f>
        <v/>
      </c>
    </row>
    <row r="22" ht="15" customHeight="1" s="32">
      <c r="B22" s="42" t="inlineStr">
        <is>
          <t>13. Greedy</t>
        </is>
      </c>
      <c r="C22" s="43">
        <f>COUNTIF(Master!$C$2:$C$918,$B22)</f>
        <v/>
      </c>
      <c r="D22" s="43">
        <f>COUNTIFS(Master!$C$2:$C$918,$B22,Master!$G$2:$G$918,"Core")</f>
        <v/>
      </c>
      <c r="E22" s="43">
        <f>COUNTIFS(Master!$C$2:$C$918,$B22,Master!$J$2:$J$918,"Solved")+COUNTIFS(Master!$C$2:$C$918,$B22,Master!$J$2:$J$918,"Mastered")</f>
        <v/>
      </c>
      <c r="F22" s="43">
        <f>COUNTIFS(Master!$C$2:$C$918,$B22,Master!$G$2:$G$918,"Core",Master!$J$2:$J$918,"Solved")+COUNTIFS(Master!$C$2:$C$918,$B22,Master!$G$2:$G$918,"Core",Master!$J$2:$J$918,"Mastered")</f>
        <v/>
      </c>
      <c r="G22" s="43">
        <f>COUNTIFS(Master!$C$2:$C$918,$B22,Master!$J$2:$J$918,"Attempted")+COUNTIFS(Master!$C$2:$C$918,$B22,Master!$J$2:$J$918,"Revisit")</f>
        <v/>
      </c>
      <c r="H22" s="56">
        <f>IFERROR(AVERAGEIFS(Master!$K$2:$K$918,Master!$C$2:$C$918,$B22),"")</f>
        <v/>
      </c>
      <c r="I22" s="45">
        <f>IFERROR($F22/$C22,0)</f>
        <v/>
      </c>
    </row>
    <row r="23" ht="15" customHeight="1" s="32">
      <c r="B23" s="42" t="inlineStr">
        <is>
          <t>14. Backtracking</t>
        </is>
      </c>
      <c r="C23" s="43">
        <f>COUNTIF(Master!$C$2:$C$918,$B23)</f>
        <v/>
      </c>
      <c r="D23" s="43">
        <f>COUNTIFS(Master!$C$2:$C$918,$B23,Master!$G$2:$G$918,"Core")</f>
        <v/>
      </c>
      <c r="E23" s="43">
        <f>COUNTIFS(Master!$C$2:$C$918,$B23,Master!$J$2:$J$918,"Solved")+COUNTIFS(Master!$C$2:$C$918,$B23,Master!$J$2:$J$918,"Mastered")</f>
        <v/>
      </c>
      <c r="F23" s="43">
        <f>COUNTIFS(Master!$C$2:$C$918,$B23,Master!$G$2:$G$918,"Core",Master!$J$2:$J$918,"Solved")+COUNTIFS(Master!$C$2:$C$918,$B23,Master!$G$2:$G$918,"Core",Master!$J$2:$J$918,"Mastered")</f>
        <v/>
      </c>
      <c r="G23" s="43">
        <f>COUNTIFS(Master!$C$2:$C$918,$B23,Master!$J$2:$J$918,"Attempted")+COUNTIFS(Master!$C$2:$C$918,$B23,Master!$J$2:$J$918,"Revisit")</f>
        <v/>
      </c>
      <c r="H23" s="56">
        <f>IFERROR(AVERAGEIFS(Master!$K$2:$K$918,Master!$C$2:$C$918,$B23),"")</f>
        <v/>
      </c>
      <c r="I23" s="45">
        <f>IFERROR($F23/$C23,0)</f>
        <v/>
      </c>
    </row>
    <row r="24" ht="15" customHeight="1" s="32">
      <c r="B24" s="42" t="inlineStr">
        <is>
          <t>15. Trees &amp; BST</t>
        </is>
      </c>
      <c r="C24" s="43">
        <f>COUNTIF(Master!$C$2:$C$918,$B24)</f>
        <v/>
      </c>
      <c r="D24" s="43">
        <f>COUNTIFS(Master!$C$2:$C$918,$B24,Master!$G$2:$G$918,"Core")</f>
        <v/>
      </c>
      <c r="E24" s="43">
        <f>COUNTIFS(Master!$C$2:$C$918,$B24,Master!$J$2:$J$918,"Solved")+COUNTIFS(Master!$C$2:$C$918,$B24,Master!$J$2:$J$918,"Mastered")</f>
        <v/>
      </c>
      <c r="F24" s="43">
        <f>COUNTIFS(Master!$C$2:$C$918,$B24,Master!$G$2:$G$918,"Core",Master!$J$2:$J$918,"Solved")+COUNTIFS(Master!$C$2:$C$918,$B24,Master!$G$2:$G$918,"Core",Master!$J$2:$J$918,"Mastered")</f>
        <v/>
      </c>
      <c r="G24" s="43">
        <f>COUNTIFS(Master!$C$2:$C$918,$B24,Master!$J$2:$J$918,"Attempted")+COUNTIFS(Master!$C$2:$C$918,$B24,Master!$J$2:$J$918,"Revisit")</f>
        <v/>
      </c>
      <c r="H24" s="56">
        <f>IFERROR(AVERAGEIFS(Master!$K$2:$K$918,Master!$C$2:$C$918,$B24),"")</f>
        <v/>
      </c>
      <c r="I24" s="45">
        <f>IFERROR($F24/$C24,0)</f>
        <v/>
      </c>
    </row>
    <row r="25" ht="15" customHeight="1" s="32">
      <c r="B25" s="42" t="inlineStr">
        <is>
          <t>16. Tries</t>
        </is>
      </c>
      <c r="C25" s="43">
        <f>COUNTIF(Master!$C$2:$C$918,$B25)</f>
        <v/>
      </c>
      <c r="D25" s="43">
        <f>COUNTIFS(Master!$C$2:$C$918,$B25,Master!$G$2:$G$918,"Core")</f>
        <v/>
      </c>
      <c r="E25" s="43">
        <f>COUNTIFS(Master!$C$2:$C$918,$B25,Master!$J$2:$J$918,"Solved")+COUNTIFS(Master!$C$2:$C$918,$B25,Master!$J$2:$J$918,"Mastered")</f>
        <v/>
      </c>
      <c r="F25" s="43">
        <f>COUNTIFS(Master!$C$2:$C$918,$B25,Master!$G$2:$G$918,"Core",Master!$J$2:$J$918,"Solved")+COUNTIFS(Master!$C$2:$C$918,$B25,Master!$G$2:$G$918,"Core",Master!$J$2:$J$918,"Mastered")</f>
        <v/>
      </c>
      <c r="G25" s="43">
        <f>COUNTIFS(Master!$C$2:$C$918,$B25,Master!$J$2:$J$918,"Attempted")+COUNTIFS(Master!$C$2:$C$918,$B25,Master!$J$2:$J$918,"Revisit")</f>
        <v/>
      </c>
      <c r="H25" s="56">
        <f>IFERROR(AVERAGEIFS(Master!$K$2:$K$918,Master!$C$2:$C$918,$B25),"")</f>
        <v/>
      </c>
      <c r="I25" s="45">
        <f>IFERROR($F25/$C25,0)</f>
        <v/>
      </c>
    </row>
    <row r="26" ht="15" customHeight="1" s="32">
      <c r="B26" s="42" t="inlineStr">
        <is>
          <t>17. Graphs</t>
        </is>
      </c>
      <c r="C26" s="43">
        <f>COUNTIF(Master!$C$2:$C$918,$B26)</f>
        <v/>
      </c>
      <c r="D26" s="43">
        <f>COUNTIFS(Master!$C$2:$C$918,$B26,Master!$G$2:$G$918,"Core")</f>
        <v/>
      </c>
      <c r="E26" s="43">
        <f>COUNTIFS(Master!$C$2:$C$918,$B26,Master!$J$2:$J$918,"Solved")+COUNTIFS(Master!$C$2:$C$918,$B26,Master!$J$2:$J$918,"Mastered")</f>
        <v/>
      </c>
      <c r="F26" s="43">
        <f>COUNTIFS(Master!$C$2:$C$918,$B26,Master!$G$2:$G$918,"Core",Master!$J$2:$J$918,"Solved")+COUNTIFS(Master!$C$2:$C$918,$B26,Master!$G$2:$G$918,"Core",Master!$J$2:$J$918,"Mastered")</f>
        <v/>
      </c>
      <c r="G26" s="43">
        <f>COUNTIFS(Master!$C$2:$C$918,$B26,Master!$J$2:$J$918,"Attempted")+COUNTIFS(Master!$C$2:$C$918,$B26,Master!$J$2:$J$918,"Revisit")</f>
        <v/>
      </c>
      <c r="H26" s="56">
        <f>IFERROR(AVERAGEIFS(Master!$K$2:$K$918,Master!$C$2:$C$918,$B26),"")</f>
        <v/>
      </c>
      <c r="I26" s="45">
        <f>IFERROR($F26/$C26,0)</f>
        <v/>
      </c>
    </row>
    <row r="27" ht="15" customHeight="1" s="32">
      <c r="B27" s="42" t="inlineStr">
        <is>
          <t>18. Dynamic Programming</t>
        </is>
      </c>
      <c r="C27" s="43">
        <f>COUNTIF(Master!$C$2:$C$918,$B27)</f>
        <v/>
      </c>
      <c r="D27" s="43">
        <f>COUNTIFS(Master!$C$2:$C$918,$B27,Master!$G$2:$G$918,"Core")</f>
        <v/>
      </c>
      <c r="E27" s="43">
        <f>COUNTIFS(Master!$C$2:$C$918,$B27,Master!$J$2:$J$918,"Solved")+COUNTIFS(Master!$C$2:$C$918,$B27,Master!$J$2:$J$918,"Mastered")</f>
        <v/>
      </c>
      <c r="F27" s="43">
        <f>COUNTIFS(Master!$C$2:$C$918,$B27,Master!$G$2:$G$918,"Core",Master!$J$2:$J$918,"Solved")+COUNTIFS(Master!$C$2:$C$918,$B27,Master!$G$2:$G$918,"Core",Master!$J$2:$J$918,"Mastered")</f>
        <v/>
      </c>
      <c r="G27" s="43">
        <f>COUNTIFS(Master!$C$2:$C$918,$B27,Master!$J$2:$J$918,"Attempted")+COUNTIFS(Master!$C$2:$C$918,$B27,Master!$J$2:$J$918,"Revisit")</f>
        <v/>
      </c>
      <c r="H27" s="56">
        <f>IFERROR(AVERAGEIFS(Master!$K$2:$K$918,Master!$C$2:$C$918,$B27),"")</f>
        <v/>
      </c>
      <c r="I27" s="45">
        <f>IFERROR($F27/$C27,0)</f>
        <v/>
      </c>
    </row>
    <row r="28" ht="15" customHeight="1" s="32">
      <c r="B28" s="42" t="inlineStr">
        <is>
          <t>19. Bit Manipulation</t>
        </is>
      </c>
      <c r="C28" s="43">
        <f>COUNTIF(Master!$C$2:$C$918,$B28)</f>
        <v/>
      </c>
      <c r="D28" s="43">
        <f>COUNTIFS(Master!$C$2:$C$918,$B28,Master!$G$2:$G$918,"Core")</f>
        <v/>
      </c>
      <c r="E28" s="43">
        <f>COUNTIFS(Master!$C$2:$C$918,$B28,Master!$J$2:$J$918,"Solved")+COUNTIFS(Master!$C$2:$C$918,$B28,Master!$J$2:$J$918,"Mastered")</f>
        <v/>
      </c>
      <c r="F28" s="43">
        <f>COUNTIFS(Master!$C$2:$C$918,$B28,Master!$G$2:$G$918,"Core",Master!$J$2:$J$918,"Solved")+COUNTIFS(Master!$C$2:$C$918,$B28,Master!$G$2:$G$918,"Core",Master!$J$2:$J$918,"Mastered")</f>
        <v/>
      </c>
      <c r="G28" s="43">
        <f>COUNTIFS(Master!$C$2:$C$918,$B28,Master!$J$2:$J$918,"Attempted")+COUNTIFS(Master!$C$2:$C$918,$B28,Master!$J$2:$J$918,"Revisit")</f>
        <v/>
      </c>
      <c r="H28" s="56">
        <f>IFERROR(AVERAGEIFS(Master!$K$2:$K$918,Master!$C$2:$C$918,$B28),"")</f>
        <v/>
      </c>
      <c r="I28" s="45">
        <f>IFERROR($F28/$C28,0)</f>
        <v/>
      </c>
    </row>
    <row r="29" ht="15" customHeight="1" s="32">
      <c r="B29" s="42" t="inlineStr">
        <is>
          <t>20. Math &amp; Number Theory</t>
        </is>
      </c>
      <c r="C29" s="43">
        <f>COUNTIF(Master!$C$2:$C$918,$B29)</f>
        <v/>
      </c>
      <c r="D29" s="43">
        <f>COUNTIFS(Master!$C$2:$C$918,$B29,Master!$G$2:$G$918,"Core")</f>
        <v/>
      </c>
      <c r="E29" s="43">
        <f>COUNTIFS(Master!$C$2:$C$918,$B29,Master!$J$2:$J$918,"Solved")+COUNTIFS(Master!$C$2:$C$918,$B29,Master!$J$2:$J$918,"Mastered")</f>
        <v/>
      </c>
      <c r="F29" s="43">
        <f>COUNTIFS(Master!$C$2:$C$918,$B29,Master!$G$2:$G$918,"Core",Master!$J$2:$J$918,"Solved")+COUNTIFS(Master!$C$2:$C$918,$B29,Master!$G$2:$G$918,"Core",Master!$J$2:$J$918,"Mastered")</f>
        <v/>
      </c>
      <c r="G29" s="43">
        <f>COUNTIFS(Master!$C$2:$C$918,$B29,Master!$J$2:$J$918,"Attempted")+COUNTIFS(Master!$C$2:$C$918,$B29,Master!$J$2:$J$918,"Revisit")</f>
        <v/>
      </c>
      <c r="H29" s="56">
        <f>IFERROR(AVERAGEIFS(Master!$K$2:$K$918,Master!$C$2:$C$918,$B29),"")</f>
        <v/>
      </c>
      <c r="I29" s="45">
        <f>IFERROR($F29/$C29,0)</f>
        <v/>
      </c>
    </row>
    <row r="30" ht="15" customHeight="1" s="32">
      <c r="B30" s="42" t="inlineStr">
        <is>
          <t>21. Intervals</t>
        </is>
      </c>
      <c r="C30" s="43">
        <f>COUNTIF(Master!$C$2:$C$918,$B30)</f>
        <v/>
      </c>
      <c r="D30" s="43">
        <f>COUNTIFS(Master!$C$2:$C$918,$B30,Master!$G$2:$G$918,"Core")</f>
        <v/>
      </c>
      <c r="E30" s="43">
        <f>COUNTIFS(Master!$C$2:$C$918,$B30,Master!$J$2:$J$918,"Solved")+COUNTIFS(Master!$C$2:$C$918,$B30,Master!$J$2:$J$918,"Mastered")</f>
        <v/>
      </c>
      <c r="F30" s="43">
        <f>COUNTIFS(Master!$C$2:$C$918,$B30,Master!$G$2:$G$918,"Core",Master!$J$2:$J$918,"Solved")+COUNTIFS(Master!$C$2:$C$918,$B30,Master!$G$2:$G$918,"Core",Master!$J$2:$J$918,"Mastered")</f>
        <v/>
      </c>
      <c r="G30" s="43">
        <f>COUNTIFS(Master!$C$2:$C$918,$B30,Master!$J$2:$J$918,"Attempted")+COUNTIFS(Master!$C$2:$C$918,$B30,Master!$J$2:$J$918,"Revisit")</f>
        <v/>
      </c>
      <c r="H30" s="56">
        <f>IFERROR(AVERAGEIFS(Master!$K$2:$K$918,Master!$C$2:$C$918,$B30),"")</f>
        <v/>
      </c>
      <c r="I30" s="45">
        <f>IFERROR($F30/$C30,0)</f>
        <v/>
      </c>
    </row>
    <row r="31" ht="15" customHeight="1" s="32">
      <c r="B31" s="42" t="inlineStr">
        <is>
          <t>22. Design</t>
        </is>
      </c>
      <c r="C31" s="43">
        <f>COUNTIF(Master!$C$2:$C$918,$B31)</f>
        <v/>
      </c>
      <c r="D31" s="43">
        <f>COUNTIFS(Master!$C$2:$C$918,$B31,Master!$G$2:$G$918,"Core")</f>
        <v/>
      </c>
      <c r="E31" s="43">
        <f>COUNTIFS(Master!$C$2:$C$918,$B31,Master!$J$2:$J$918,"Solved")+COUNTIFS(Master!$C$2:$C$918,$B31,Master!$J$2:$J$918,"Mastered")</f>
        <v/>
      </c>
      <c r="F31" s="43">
        <f>COUNTIFS(Master!$C$2:$C$918,$B31,Master!$G$2:$G$918,"Core",Master!$J$2:$J$918,"Solved")+COUNTIFS(Master!$C$2:$C$918,$B31,Master!$G$2:$G$918,"Core",Master!$J$2:$J$918,"Mastered")</f>
        <v/>
      </c>
      <c r="G31" s="43">
        <f>COUNTIFS(Master!$C$2:$C$918,$B31,Master!$J$2:$J$918,"Attempted")+COUNTIFS(Master!$C$2:$C$918,$B31,Master!$J$2:$J$918,"Revisit")</f>
        <v/>
      </c>
      <c r="H31" s="56">
        <f>IFERROR(AVERAGEIFS(Master!$K$2:$K$918,Master!$C$2:$C$918,$B31),"")</f>
        <v/>
      </c>
      <c r="I31" s="45">
        <f>IFERROR($F31/$C31,0)</f>
        <v/>
      </c>
    </row>
    <row r="32" ht="15" customHeight="1" s="32">
      <c r="B32" s="42" t="inlineStr">
        <is>
          <t>23. Advanced DS</t>
        </is>
      </c>
      <c r="C32" s="43">
        <f>COUNTIF(Master!$C$2:$C$918,$B32)</f>
        <v/>
      </c>
      <c r="D32" s="43">
        <f>COUNTIFS(Master!$C$2:$C$918,$B32,Master!$G$2:$G$918,"Core")</f>
        <v/>
      </c>
      <c r="E32" s="43">
        <f>COUNTIFS(Master!$C$2:$C$918,$B32,Master!$J$2:$J$918,"Solved")+COUNTIFS(Master!$C$2:$C$918,$B32,Master!$J$2:$J$918,"Mastered")</f>
        <v/>
      </c>
      <c r="F32" s="43">
        <f>COUNTIFS(Master!$C$2:$C$918,$B32,Master!$G$2:$G$918,"Core",Master!$J$2:$J$918,"Solved")+COUNTIFS(Master!$C$2:$C$918,$B32,Master!$G$2:$G$918,"Core",Master!$J$2:$J$918,"Mastered")</f>
        <v/>
      </c>
      <c r="G32" s="43">
        <f>COUNTIFS(Master!$C$2:$C$918,$B32,Master!$J$2:$J$918,"Attempted")+COUNTIFS(Master!$C$2:$C$918,$B32,Master!$J$2:$J$918,"Revisit")</f>
        <v/>
      </c>
      <c r="H32" s="56">
        <f>IFERROR(AVERAGEIFS(Master!$K$2:$K$918,Master!$C$2:$C$918,$B32),"")</f>
        <v/>
      </c>
      <c r="I32" s="45">
        <f>IFERROR($F32/$C32,0)</f>
        <v/>
      </c>
    </row>
    <row r="33" ht="15" customHeight="1" s="32">
      <c r="B33" s="37" t="inlineStr">
        <is>
          <t>TOTAL</t>
        </is>
      </c>
      <c r="C33" s="46">
        <f>SUM(C10:C32)</f>
        <v/>
      </c>
      <c r="D33" s="46">
        <f>SUM(D10:D32)</f>
        <v/>
      </c>
      <c r="E33" s="46">
        <f>SUM(E10:E32)</f>
        <v/>
      </c>
      <c r="F33" s="46">
        <f>SUM(F10:F32)</f>
        <v/>
      </c>
      <c r="G33" s="46">
        <f>SUM(G10:G32)</f>
        <v/>
      </c>
      <c r="H33" s="57">
        <f>IFERROR(AVERAGEIFS(Master!$K$2:$K$918,Master!$K$2:$K$918,"&gt;0"),"")</f>
        <v/>
      </c>
      <c r="I33" s="58">
        <f>IFERROR($F33/$C33,0)</f>
        <v/>
      </c>
    </row>
    <row r="34"/>
    <row r="35" ht="15" customHeight="1" s="32">
      <c r="B35" s="49" t="inlineStr">
        <is>
          <t>By difficulty</t>
        </is>
      </c>
      <c r="G35" s="49" t="inlineStr">
        <is>
          <t>By status</t>
        </is>
      </c>
    </row>
    <row r="36" ht="15" customHeight="1" s="32">
      <c r="B36" s="52" t="n"/>
      <c r="C36" s="52" t="inlineStr">
        <is>
          <t>Total</t>
        </is>
      </c>
      <c r="D36" s="52" t="inlineStr">
        <is>
          <t>Done</t>
        </is>
      </c>
      <c r="E36" s="52" t="inlineStr">
        <is>
          <t>%</t>
        </is>
      </c>
      <c r="G36" s="52" t="n"/>
      <c r="H36" s="52" t="inlineStr">
        <is>
          <t>Count</t>
        </is>
      </c>
    </row>
    <row r="37" ht="15" customHeight="1" s="32">
      <c r="B37" s="42" t="inlineStr">
        <is>
          <t>Easy</t>
        </is>
      </c>
      <c r="C37" s="42">
        <f>COUNTIF(Master!$F$2:$F$918,$B37)</f>
        <v/>
      </c>
      <c r="D37" s="42">
        <f>COUNTIFS(Master!$F$2:$F$918,$B37,Master!$J$2:$J$918,"Solved")+COUNTIFS(Master!$F$2:$F$918,$B37,Master!$J$2:$J$918,"Mastered")</f>
        <v/>
      </c>
      <c r="E37" s="59">
        <f>IFERROR($D37/$C37,0)</f>
        <v/>
      </c>
      <c r="G37" s="42" t="inlineStr">
        <is>
          <t>Not Started</t>
        </is>
      </c>
      <c r="H37" s="42">
        <f>COUNTIF(Master!$J$2:$J$918,$G37)</f>
        <v/>
      </c>
    </row>
    <row r="38" ht="15" customHeight="1" s="32">
      <c r="B38" s="42" t="inlineStr">
        <is>
          <t>Medium</t>
        </is>
      </c>
      <c r="C38" s="42">
        <f>COUNTIF(Master!$F$2:$F$918,$B38)</f>
        <v/>
      </c>
      <c r="D38" s="42">
        <f>COUNTIFS(Master!$F$2:$F$918,$B38,Master!$J$2:$J$918,"Solved")+COUNTIFS(Master!$F$2:$F$918,$B38,Master!$J$2:$J$918,"Mastered")</f>
        <v/>
      </c>
      <c r="E38" s="59">
        <f>IFERROR($D38/$C38,0)</f>
        <v/>
      </c>
      <c r="G38" s="42" t="inlineStr">
        <is>
          <t>Attempted</t>
        </is>
      </c>
      <c r="H38" s="42">
        <f>COUNTIF(Master!$J$2:$J$918,$G38)</f>
        <v/>
      </c>
    </row>
    <row r="39" ht="15" customHeight="1" s="32">
      <c r="B39" s="42" t="inlineStr">
        <is>
          <t>Hard</t>
        </is>
      </c>
      <c r="C39" s="42">
        <f>COUNTIF(Master!$F$2:$F$918,$B39)</f>
        <v/>
      </c>
      <c r="D39" s="42">
        <f>COUNTIFS(Master!$F$2:$F$918,$B39,Master!$J$2:$J$918,"Solved")+COUNTIFS(Master!$F$2:$F$918,$B39,Master!$J$2:$J$918,"Mastered")</f>
        <v/>
      </c>
      <c r="E39" s="59">
        <f>IFERROR($D39/$C39,0)</f>
        <v/>
      </c>
      <c r="G39" s="42" t="inlineStr">
        <is>
          <t>Solved</t>
        </is>
      </c>
      <c r="H39" s="42">
        <f>COUNTIF(Master!$J$2:$J$918,$G39)</f>
        <v/>
      </c>
    </row>
    <row r="40" ht="15" customHeight="1" s="32">
      <c r="G40" s="42" t="inlineStr">
        <is>
          <t>Mastered</t>
        </is>
      </c>
      <c r="H40" s="42">
        <f>COUNTIF(Master!$J$2:$J$918,$G40)</f>
        <v/>
      </c>
    </row>
    <row r="41" ht="15" customHeight="1" s="32">
      <c r="G41" s="42" t="inlineStr">
        <is>
          <t>Revisit</t>
        </is>
      </c>
      <c r="H41" s="42">
        <f>COUNTIF(Master!$J$2:$J$918,$G41)</f>
        <v/>
      </c>
    </row>
  </sheetData>
  <conditionalFormatting sqref="I10:I33">
    <cfRule type="cellIs" rank="0" priority="2" equalAverage="0" operator="greaterThanOrEqual" aboveAverage="0" dxfId="9" text="" percent="0" bottom="0">
      <formula>0.8</formula>
    </cfRule>
  </conditionalFormatting>
  <conditionalFormatting sqref="H10:H32">
    <cfRule type="cellIs" rank="0" priority="3" equalAverage="0" operator="lessThanOrEqual" aboveAverage="0" dxfId="11" text="" percent="0" bottom="0">
      <formula>3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6" customWidth="1" style="31" min="2" max="2"/>
    <col width="24" customWidth="1" style="31" min="3" max="3"/>
    <col width="9" customWidth="1" style="31" min="4" max="6"/>
    <col width="11" customWidth="1" style="31" min="7" max="7"/>
    <col width="12" customWidth="1" style="31" min="8" max="8"/>
  </cols>
  <sheetData>
    <row r="1"/>
    <row r="2" ht="19.5" customHeight="1" s="32">
      <c r="B2" s="33" t="inlineStr">
        <is>
          <t>Pattern Radar</t>
        </is>
      </c>
    </row>
    <row r="3" ht="15" customHeight="1" s="32">
      <c r="B3" s="34" t="inlineStr">
        <is>
          <t>Interviews test patterns, not problems. Sort by Verdict or Avg conf to find the exact hole. 'Weak' = average confidence 3 or below. 'Untouched' = nothing solved in this pattern yet.</t>
        </is>
      </c>
    </row>
    <row r="4"/>
    <row r="5" ht="15" customHeight="1" s="32">
      <c r="B5" s="41" t="inlineStr">
        <is>
          <t>Topic</t>
        </is>
      </c>
      <c r="C5" s="41" t="inlineStr">
        <is>
          <t>Pattern</t>
        </is>
      </c>
      <c r="D5" s="41" t="inlineStr">
        <is>
          <t>Total</t>
        </is>
      </c>
      <c r="E5" s="41" t="inlineStr">
        <is>
          <t>Core</t>
        </is>
      </c>
      <c r="F5" s="41" t="inlineStr">
        <is>
          <t>Done</t>
        </is>
      </c>
      <c r="G5" s="41" t="inlineStr">
        <is>
          <t>Avg conf</t>
        </is>
      </c>
      <c r="H5" s="41" t="inlineStr">
        <is>
          <t>Verdict</t>
        </is>
      </c>
    </row>
    <row r="6" ht="15" customHeight="1" s="32">
      <c r="B6" s="42" t="inlineStr">
        <is>
          <t>01. Basics &amp; Recursion</t>
        </is>
      </c>
      <c r="C6" s="42" t="inlineStr">
        <is>
          <t>Recursion warm-up</t>
        </is>
      </c>
      <c r="D6" s="43">
        <f>COUNTIFS(Master!$C$2:$C$918,$B6,Master!$D$2:$D$918,$C6)</f>
        <v/>
      </c>
      <c r="E6" s="43">
        <f>COUNTIFS(Master!$C$2:$C$918,$B6,Master!$D$2:$D$918,$C6,Master!$G$2:$G$918,"Core")</f>
        <v/>
      </c>
      <c r="F6" s="43">
        <f>COUNTIFS(Master!$C$2:$C$918,$B6,Master!$D$2:$D$918,$C6,Master!$J$2:$J$918,"Solved")+COUNTIFS(Master!$C$2:$C$918,$B6,Master!$D$2:$D$918,$C6,Master!$J$2:$J$918,"Mastered")</f>
        <v/>
      </c>
      <c r="G6" s="56">
        <f>IFERROR(AVERAGEIFS(Master!$K$2:$K$918,Master!$C$2:$C$918,$B6,Master!$D$2:$D$918,$C6,Master!$K$2:$K$918,"&gt;0"),"")</f>
        <v/>
      </c>
      <c r="H6" s="46">
        <f>IF($F6=0,"Untouched",IF($G6="","No rating",IF($G6&lt;=3,"Weak","Solid")))</f>
        <v/>
      </c>
    </row>
    <row r="7" ht="15" customHeight="1" s="32">
      <c r="B7" s="42" t="inlineStr">
        <is>
          <t>01. Basics &amp; Recursion</t>
        </is>
      </c>
      <c r="C7" s="42" t="inlineStr">
        <is>
          <t>Divide &amp; Conquer</t>
        </is>
      </c>
      <c r="D7" s="43">
        <f>COUNTIFS(Master!$C$2:$C$918,$B7,Master!$D$2:$D$918,$C7)</f>
        <v/>
      </c>
      <c r="E7" s="43">
        <f>COUNTIFS(Master!$C$2:$C$918,$B7,Master!$D$2:$D$918,$C7,Master!$G$2:$G$918,"Core")</f>
        <v/>
      </c>
      <c r="F7" s="43">
        <f>COUNTIFS(Master!$C$2:$C$918,$B7,Master!$D$2:$D$918,$C7,Master!$J$2:$J$918,"Solved")+COUNTIFS(Master!$C$2:$C$918,$B7,Master!$D$2:$D$918,$C7,Master!$J$2:$J$918,"Mastered")</f>
        <v/>
      </c>
      <c r="G7" s="56">
        <f>IFERROR(AVERAGEIFS(Master!$K$2:$K$918,Master!$C$2:$C$918,$B7,Master!$D$2:$D$918,$C7,Master!$K$2:$K$918,"&gt;0"),"")</f>
        <v/>
      </c>
      <c r="H7" s="46">
        <f>IF($F7=0,"Untouched",IF($G7="","No rating",IF($G7&lt;=3,"Weak","Solid")))</f>
        <v/>
      </c>
    </row>
    <row r="8" ht="15" customHeight="1" s="32">
      <c r="B8" s="42" t="inlineStr">
        <is>
          <t>02. Arrays &amp; Two Pointers</t>
        </is>
      </c>
      <c r="C8" s="42" t="inlineStr">
        <is>
          <t>Basics</t>
        </is>
      </c>
      <c r="D8" s="43">
        <f>COUNTIFS(Master!$C$2:$C$918,$B8,Master!$D$2:$D$918,$C8)</f>
        <v/>
      </c>
      <c r="E8" s="43">
        <f>COUNTIFS(Master!$C$2:$C$918,$B8,Master!$D$2:$D$918,$C8,Master!$G$2:$G$918,"Core")</f>
        <v/>
      </c>
      <c r="F8" s="43">
        <f>COUNTIFS(Master!$C$2:$C$918,$B8,Master!$D$2:$D$918,$C8,Master!$J$2:$J$918,"Solved")+COUNTIFS(Master!$C$2:$C$918,$B8,Master!$D$2:$D$918,$C8,Master!$J$2:$J$918,"Mastered")</f>
        <v/>
      </c>
      <c r="G8" s="56">
        <f>IFERROR(AVERAGEIFS(Master!$K$2:$K$918,Master!$C$2:$C$918,$B8,Master!$D$2:$D$918,$C8,Master!$K$2:$K$918,"&gt;0"),"")</f>
        <v/>
      </c>
      <c r="H8" s="46">
        <f>IF($F8=0,"Untouched",IF($G8="","No rating",IF($G8&lt;=3,"Weak","Solid")))</f>
        <v/>
      </c>
    </row>
    <row r="9" ht="15" customHeight="1" s="32">
      <c r="B9" s="42" t="inlineStr">
        <is>
          <t>02. Arrays &amp; Two Pointers</t>
        </is>
      </c>
      <c r="C9" s="42" t="inlineStr">
        <is>
          <t>Two pointers</t>
        </is>
      </c>
      <c r="D9" s="43">
        <f>COUNTIFS(Master!$C$2:$C$918,$B9,Master!$D$2:$D$918,$C9)</f>
        <v/>
      </c>
      <c r="E9" s="43">
        <f>COUNTIFS(Master!$C$2:$C$918,$B9,Master!$D$2:$D$918,$C9,Master!$G$2:$G$918,"Core")</f>
        <v/>
      </c>
      <c r="F9" s="43">
        <f>COUNTIFS(Master!$C$2:$C$918,$B9,Master!$D$2:$D$918,$C9,Master!$J$2:$J$918,"Solved")+COUNTIFS(Master!$C$2:$C$918,$B9,Master!$D$2:$D$918,$C9,Master!$J$2:$J$918,"Mastered")</f>
        <v/>
      </c>
      <c r="G9" s="56">
        <f>IFERROR(AVERAGEIFS(Master!$K$2:$K$918,Master!$C$2:$C$918,$B9,Master!$D$2:$D$918,$C9,Master!$K$2:$K$918,"&gt;0"),"")</f>
        <v/>
      </c>
      <c r="H9" s="46">
        <f>IF($F9=0,"Untouched",IF($G9="","No rating",IF($G9&lt;=3,"Weak","Solid")))</f>
        <v/>
      </c>
    </row>
    <row r="10" ht="15" customHeight="1" s="32">
      <c r="B10" s="42" t="inlineStr">
        <is>
          <t>02. Arrays &amp; Two Pointers</t>
        </is>
      </c>
      <c r="C10" s="42" t="inlineStr">
        <is>
          <t>Dutch National Flag</t>
        </is>
      </c>
      <c r="D10" s="43">
        <f>COUNTIFS(Master!$C$2:$C$918,$B10,Master!$D$2:$D$918,$C10)</f>
        <v/>
      </c>
      <c r="E10" s="43">
        <f>COUNTIFS(Master!$C$2:$C$918,$B10,Master!$D$2:$D$918,$C10,Master!$G$2:$G$918,"Core")</f>
        <v/>
      </c>
      <c r="F10" s="43">
        <f>COUNTIFS(Master!$C$2:$C$918,$B10,Master!$D$2:$D$918,$C10,Master!$J$2:$J$918,"Solved")+COUNTIFS(Master!$C$2:$C$918,$B10,Master!$D$2:$D$918,$C10,Master!$J$2:$J$918,"Mastered")</f>
        <v/>
      </c>
      <c r="G10" s="56">
        <f>IFERROR(AVERAGEIFS(Master!$K$2:$K$918,Master!$C$2:$C$918,$B10,Master!$D$2:$D$918,$C10,Master!$K$2:$K$918,"&gt;0"),"")</f>
        <v/>
      </c>
      <c r="H10" s="46">
        <f>IF($F10=0,"Untouched",IF($G10="","No rating",IF($G10&lt;=3,"Weak","Solid")))</f>
        <v/>
      </c>
    </row>
    <row r="11" ht="15" customHeight="1" s="32">
      <c r="B11" s="42" t="inlineStr">
        <is>
          <t>02. Arrays &amp; Two Pointers</t>
        </is>
      </c>
      <c r="C11" s="42" t="inlineStr">
        <is>
          <t>Frequency scan</t>
        </is>
      </c>
      <c r="D11" s="43">
        <f>COUNTIFS(Master!$C$2:$C$918,$B11,Master!$D$2:$D$918,$C11)</f>
        <v/>
      </c>
      <c r="E11" s="43">
        <f>COUNTIFS(Master!$C$2:$C$918,$B11,Master!$D$2:$D$918,$C11,Master!$G$2:$G$918,"Core")</f>
        <v/>
      </c>
      <c r="F11" s="43">
        <f>COUNTIFS(Master!$C$2:$C$918,$B11,Master!$D$2:$D$918,$C11,Master!$J$2:$J$918,"Solved")+COUNTIFS(Master!$C$2:$C$918,$B11,Master!$D$2:$D$918,$C11,Master!$J$2:$J$918,"Mastered")</f>
        <v/>
      </c>
      <c r="G11" s="56">
        <f>IFERROR(AVERAGEIFS(Master!$K$2:$K$918,Master!$C$2:$C$918,$B11,Master!$D$2:$D$918,$C11,Master!$K$2:$K$918,"&gt;0"),"")</f>
        <v/>
      </c>
      <c r="H11" s="46">
        <f>IF($F11=0,"Untouched",IF($G11="","No rating",IF($G11&lt;=3,"Weak","Solid")))</f>
        <v/>
      </c>
    </row>
    <row r="12" ht="15" customHeight="1" s="32">
      <c r="B12" s="42" t="inlineStr">
        <is>
          <t>02. Arrays &amp; Two Pointers</t>
        </is>
      </c>
      <c r="C12" s="42" t="inlineStr">
        <is>
          <t>Voting / counting</t>
        </is>
      </c>
      <c r="D12" s="43">
        <f>COUNTIFS(Master!$C$2:$C$918,$B12,Master!$D$2:$D$918,$C12)</f>
        <v/>
      </c>
      <c r="E12" s="43">
        <f>COUNTIFS(Master!$C$2:$C$918,$B12,Master!$D$2:$D$918,$C12,Master!$G$2:$G$918,"Core")</f>
        <v/>
      </c>
      <c r="F12" s="43">
        <f>COUNTIFS(Master!$C$2:$C$918,$B12,Master!$D$2:$D$918,$C12,Master!$J$2:$J$918,"Solved")+COUNTIFS(Master!$C$2:$C$918,$B12,Master!$D$2:$D$918,$C12,Master!$J$2:$J$918,"Mastered")</f>
        <v/>
      </c>
      <c r="G12" s="56">
        <f>IFERROR(AVERAGEIFS(Master!$K$2:$K$918,Master!$C$2:$C$918,$B12,Master!$D$2:$D$918,$C12,Master!$K$2:$K$918,"&gt;0"),"")</f>
        <v/>
      </c>
      <c r="H12" s="46">
        <f>IF($F12=0,"Untouched",IF($G12="","No rating",IF($G12&lt;=3,"Weak","Solid")))</f>
        <v/>
      </c>
    </row>
    <row r="13" ht="15" customHeight="1" s="32">
      <c r="B13" s="42" t="inlineStr">
        <is>
          <t>02. Arrays &amp; Two Pointers</t>
        </is>
      </c>
      <c r="C13" s="42" t="inlineStr">
        <is>
          <t>Rearrangement</t>
        </is>
      </c>
      <c r="D13" s="43">
        <f>COUNTIFS(Master!$C$2:$C$918,$B13,Master!$D$2:$D$918,$C13)</f>
        <v/>
      </c>
      <c r="E13" s="43">
        <f>COUNTIFS(Master!$C$2:$C$918,$B13,Master!$D$2:$D$918,$C13,Master!$G$2:$G$918,"Core")</f>
        <v/>
      </c>
      <c r="F13" s="43">
        <f>COUNTIFS(Master!$C$2:$C$918,$B13,Master!$D$2:$D$918,$C13,Master!$J$2:$J$918,"Solved")+COUNTIFS(Master!$C$2:$C$918,$B13,Master!$D$2:$D$918,$C13,Master!$J$2:$J$918,"Mastered")</f>
        <v/>
      </c>
      <c r="G13" s="56">
        <f>IFERROR(AVERAGEIFS(Master!$K$2:$K$918,Master!$C$2:$C$918,$B13,Master!$D$2:$D$918,$C13,Master!$K$2:$K$918,"&gt;0"),"")</f>
        <v/>
      </c>
      <c r="H13" s="46">
        <f>IF($F13=0,"Untouched",IF($G13="","No rating",IF($G13&lt;=3,"Weak","Solid")))</f>
        <v/>
      </c>
    </row>
    <row r="14" ht="15" customHeight="1" s="32">
      <c r="B14" s="42" t="inlineStr">
        <is>
          <t>02. Arrays &amp; Two Pointers</t>
        </is>
      </c>
      <c r="C14" s="42" t="inlineStr">
        <is>
          <t>K-Sum</t>
        </is>
      </c>
      <c r="D14" s="43">
        <f>COUNTIFS(Master!$C$2:$C$918,$B14,Master!$D$2:$D$918,$C14)</f>
        <v/>
      </c>
      <c r="E14" s="43">
        <f>COUNTIFS(Master!$C$2:$C$918,$B14,Master!$D$2:$D$918,$C14,Master!$G$2:$G$918,"Core")</f>
        <v/>
      </c>
      <c r="F14" s="43">
        <f>COUNTIFS(Master!$C$2:$C$918,$B14,Master!$D$2:$D$918,$C14,Master!$J$2:$J$918,"Solved")+COUNTIFS(Master!$C$2:$C$918,$B14,Master!$D$2:$D$918,$C14,Master!$J$2:$J$918,"Mastered")</f>
        <v/>
      </c>
      <c r="G14" s="56">
        <f>IFERROR(AVERAGEIFS(Master!$K$2:$K$918,Master!$C$2:$C$918,$B14,Master!$D$2:$D$918,$C14,Master!$K$2:$K$918,"&gt;0"),"")</f>
        <v/>
      </c>
      <c r="H14" s="46">
        <f>IF($F14=0,"Untouched",IF($G14="","No rating",IF($G14&lt;=3,"Weak","Solid")))</f>
        <v/>
      </c>
    </row>
    <row r="15" ht="15" customHeight="1" s="32">
      <c r="B15" s="42" t="inlineStr">
        <is>
          <t>03. Sorting &amp; Cyclic Sort</t>
        </is>
      </c>
      <c r="C15" s="42" t="inlineStr">
        <is>
          <t>Custom comparator</t>
        </is>
      </c>
      <c r="D15" s="43">
        <f>COUNTIFS(Master!$C$2:$C$918,$B15,Master!$D$2:$D$918,$C15)</f>
        <v/>
      </c>
      <c r="E15" s="43">
        <f>COUNTIFS(Master!$C$2:$C$918,$B15,Master!$D$2:$D$918,$C15,Master!$G$2:$G$918,"Core")</f>
        <v/>
      </c>
      <c r="F15" s="43">
        <f>COUNTIFS(Master!$C$2:$C$918,$B15,Master!$D$2:$D$918,$C15,Master!$J$2:$J$918,"Solved")+COUNTIFS(Master!$C$2:$C$918,$B15,Master!$D$2:$D$918,$C15,Master!$J$2:$J$918,"Mastered")</f>
        <v/>
      </c>
      <c r="G15" s="56">
        <f>IFERROR(AVERAGEIFS(Master!$K$2:$K$918,Master!$C$2:$C$918,$B15,Master!$D$2:$D$918,$C15,Master!$K$2:$K$918,"&gt;0"),"")</f>
        <v/>
      </c>
      <c r="H15" s="46">
        <f>IF($F15=0,"Untouched",IF($G15="","No rating",IF($G15&lt;=3,"Weak","Solid")))</f>
        <v/>
      </c>
    </row>
    <row r="16" ht="15" customHeight="1" s="32">
      <c r="B16" s="42" t="inlineStr">
        <is>
          <t>03. Sorting &amp; Cyclic Sort</t>
        </is>
      </c>
      <c r="C16" s="42" t="inlineStr">
        <is>
          <t>Counting sort</t>
        </is>
      </c>
      <c r="D16" s="43">
        <f>COUNTIFS(Master!$C$2:$C$918,$B16,Master!$D$2:$D$918,$C16)</f>
        <v/>
      </c>
      <c r="E16" s="43">
        <f>COUNTIFS(Master!$C$2:$C$918,$B16,Master!$D$2:$D$918,$C16,Master!$G$2:$G$918,"Core")</f>
        <v/>
      </c>
      <c r="F16" s="43">
        <f>COUNTIFS(Master!$C$2:$C$918,$B16,Master!$D$2:$D$918,$C16,Master!$J$2:$J$918,"Solved")+COUNTIFS(Master!$C$2:$C$918,$B16,Master!$D$2:$D$918,$C16,Master!$J$2:$J$918,"Mastered")</f>
        <v/>
      </c>
      <c r="G16" s="56">
        <f>IFERROR(AVERAGEIFS(Master!$K$2:$K$918,Master!$C$2:$C$918,$B16,Master!$D$2:$D$918,$C16,Master!$K$2:$K$918,"&gt;0"),"")</f>
        <v/>
      </c>
      <c r="H16" s="46">
        <f>IF($F16=0,"Untouched",IF($G16="","No rating",IF($G16&lt;=3,"Weak","Solid")))</f>
        <v/>
      </c>
    </row>
    <row r="17" ht="15" customHeight="1" s="32">
      <c r="B17" s="42" t="inlineStr">
        <is>
          <t>03. Sorting &amp; Cyclic Sort</t>
        </is>
      </c>
      <c r="C17" s="42" t="inlineStr">
        <is>
          <t>Cyclic sort</t>
        </is>
      </c>
      <c r="D17" s="43">
        <f>COUNTIFS(Master!$C$2:$C$918,$B17,Master!$D$2:$D$918,$C17)</f>
        <v/>
      </c>
      <c r="E17" s="43">
        <f>COUNTIFS(Master!$C$2:$C$918,$B17,Master!$D$2:$D$918,$C17,Master!$G$2:$G$918,"Core")</f>
        <v/>
      </c>
      <c r="F17" s="43">
        <f>COUNTIFS(Master!$C$2:$C$918,$B17,Master!$D$2:$D$918,$C17,Master!$J$2:$J$918,"Solved")+COUNTIFS(Master!$C$2:$C$918,$B17,Master!$D$2:$D$918,$C17,Master!$J$2:$J$918,"Mastered")</f>
        <v/>
      </c>
      <c r="G17" s="56">
        <f>IFERROR(AVERAGEIFS(Master!$K$2:$K$918,Master!$C$2:$C$918,$B17,Master!$D$2:$D$918,$C17,Master!$K$2:$K$918,"&gt;0"),"")</f>
        <v/>
      </c>
      <c r="H17" s="46">
        <f>IF($F17=0,"Untouched",IF($G17="","No rating",IF($G17&lt;=3,"Weak","Solid")))</f>
        <v/>
      </c>
    </row>
    <row r="18" ht="15" customHeight="1" s="32">
      <c r="B18" s="42" t="inlineStr">
        <is>
          <t>03. Sorting &amp; Cyclic Sort</t>
        </is>
      </c>
      <c r="C18" s="42" t="inlineStr">
        <is>
          <t>Sorting application</t>
        </is>
      </c>
      <c r="D18" s="43">
        <f>COUNTIFS(Master!$C$2:$C$918,$B18,Master!$D$2:$D$918,$C18)</f>
        <v/>
      </c>
      <c r="E18" s="43">
        <f>COUNTIFS(Master!$C$2:$C$918,$B18,Master!$D$2:$D$918,$C18,Master!$G$2:$G$918,"Core")</f>
        <v/>
      </c>
      <c r="F18" s="43">
        <f>COUNTIFS(Master!$C$2:$C$918,$B18,Master!$D$2:$D$918,$C18,Master!$J$2:$J$918,"Solved")+COUNTIFS(Master!$C$2:$C$918,$B18,Master!$D$2:$D$918,$C18,Master!$J$2:$J$918,"Mastered")</f>
        <v/>
      </c>
      <c r="G18" s="56">
        <f>IFERROR(AVERAGEIFS(Master!$K$2:$K$918,Master!$C$2:$C$918,$B18,Master!$D$2:$D$918,$C18,Master!$K$2:$K$918,"&gt;0"),"")</f>
        <v/>
      </c>
      <c r="H18" s="46">
        <f>IF($F18=0,"Untouched",IF($G18="","No rating",IF($G18&lt;=3,"Weak","Solid")))</f>
        <v/>
      </c>
    </row>
    <row r="19" ht="15" customHeight="1" s="32">
      <c r="B19" s="42" t="inlineStr">
        <is>
          <t>04. Hashing</t>
        </is>
      </c>
      <c r="C19" s="42" t="inlineStr">
        <is>
          <t>Set basics</t>
        </is>
      </c>
      <c r="D19" s="43">
        <f>COUNTIFS(Master!$C$2:$C$918,$B19,Master!$D$2:$D$918,$C19)</f>
        <v/>
      </c>
      <c r="E19" s="43">
        <f>COUNTIFS(Master!$C$2:$C$918,$B19,Master!$D$2:$D$918,$C19,Master!$G$2:$G$918,"Core")</f>
        <v/>
      </c>
      <c r="F19" s="43">
        <f>COUNTIFS(Master!$C$2:$C$918,$B19,Master!$D$2:$D$918,$C19,Master!$J$2:$J$918,"Solved")+COUNTIFS(Master!$C$2:$C$918,$B19,Master!$D$2:$D$918,$C19,Master!$J$2:$J$918,"Mastered")</f>
        <v/>
      </c>
      <c r="G19" s="56">
        <f>IFERROR(AVERAGEIFS(Master!$K$2:$K$918,Master!$C$2:$C$918,$B19,Master!$D$2:$D$918,$C19,Master!$K$2:$K$918,"&gt;0"),"")</f>
        <v/>
      </c>
      <c r="H19" s="46">
        <f>IF($F19=0,"Untouched",IF($G19="","No rating",IF($G19&lt;=3,"Weak","Solid")))</f>
        <v/>
      </c>
    </row>
    <row r="20" ht="15" customHeight="1" s="32">
      <c r="B20" s="42" t="inlineStr">
        <is>
          <t>04. Hashing</t>
        </is>
      </c>
      <c r="C20" s="42" t="inlineStr">
        <is>
          <t>Complement lookup</t>
        </is>
      </c>
      <c r="D20" s="43">
        <f>COUNTIFS(Master!$C$2:$C$918,$B20,Master!$D$2:$D$918,$C20)</f>
        <v/>
      </c>
      <c r="E20" s="43">
        <f>COUNTIFS(Master!$C$2:$C$918,$B20,Master!$D$2:$D$918,$C20,Master!$G$2:$G$918,"Core")</f>
        <v/>
      </c>
      <c r="F20" s="43">
        <f>COUNTIFS(Master!$C$2:$C$918,$B20,Master!$D$2:$D$918,$C20,Master!$J$2:$J$918,"Solved")+COUNTIFS(Master!$C$2:$C$918,$B20,Master!$D$2:$D$918,$C20,Master!$J$2:$J$918,"Mastered")</f>
        <v/>
      </c>
      <c r="G20" s="56">
        <f>IFERROR(AVERAGEIFS(Master!$K$2:$K$918,Master!$C$2:$C$918,$B20,Master!$D$2:$D$918,$C20,Master!$K$2:$K$918,"&gt;0"),"")</f>
        <v/>
      </c>
      <c r="H20" s="46">
        <f>IF($F20=0,"Untouched",IF($G20="","No rating",IF($G20&lt;=3,"Weak","Solid")))</f>
        <v/>
      </c>
    </row>
    <row r="21" ht="15" customHeight="1" s="32">
      <c r="B21" s="42" t="inlineStr">
        <is>
          <t>04. Hashing</t>
        </is>
      </c>
      <c r="C21" s="42" t="inlineStr">
        <is>
          <t>Frequency map</t>
        </is>
      </c>
      <c r="D21" s="43">
        <f>COUNTIFS(Master!$C$2:$C$918,$B21,Master!$D$2:$D$918,$C21)</f>
        <v/>
      </c>
      <c r="E21" s="43">
        <f>COUNTIFS(Master!$C$2:$C$918,$B21,Master!$D$2:$D$918,$C21,Master!$G$2:$G$918,"Core")</f>
        <v/>
      </c>
      <c r="F21" s="43">
        <f>COUNTIFS(Master!$C$2:$C$918,$B21,Master!$D$2:$D$918,$C21,Master!$J$2:$J$918,"Solved")+COUNTIFS(Master!$C$2:$C$918,$B21,Master!$D$2:$D$918,$C21,Master!$J$2:$J$918,"Mastered")</f>
        <v/>
      </c>
      <c r="G21" s="56">
        <f>IFERROR(AVERAGEIFS(Master!$K$2:$K$918,Master!$C$2:$C$918,$B21,Master!$D$2:$D$918,$C21,Master!$K$2:$K$918,"&gt;0"),"")</f>
        <v/>
      </c>
      <c r="H21" s="46">
        <f>IF($F21=0,"Untouched",IF($G21="","No rating",IF($G21&lt;=3,"Weak","Solid")))</f>
        <v/>
      </c>
    </row>
    <row r="22" ht="15" customHeight="1" s="32">
      <c r="B22" s="42" t="inlineStr">
        <is>
          <t>04. Hashing</t>
        </is>
      </c>
      <c r="C22" s="42" t="inlineStr">
        <is>
          <t>Set + scan</t>
        </is>
      </c>
      <c r="D22" s="43">
        <f>COUNTIFS(Master!$C$2:$C$918,$B22,Master!$D$2:$D$918,$C22)</f>
        <v/>
      </c>
      <c r="E22" s="43">
        <f>COUNTIFS(Master!$C$2:$C$918,$B22,Master!$D$2:$D$918,$C22,Master!$G$2:$G$918,"Core")</f>
        <v/>
      </c>
      <c r="F22" s="43">
        <f>COUNTIFS(Master!$C$2:$C$918,$B22,Master!$D$2:$D$918,$C22,Master!$J$2:$J$918,"Solved")+COUNTIFS(Master!$C$2:$C$918,$B22,Master!$D$2:$D$918,$C22,Master!$J$2:$J$918,"Mastered")</f>
        <v/>
      </c>
      <c r="G22" s="56">
        <f>IFERROR(AVERAGEIFS(Master!$K$2:$K$918,Master!$C$2:$C$918,$B22,Master!$D$2:$D$918,$C22,Master!$K$2:$K$918,"&gt;0"),"")</f>
        <v/>
      </c>
      <c r="H22" s="46">
        <f>IF($F22=0,"Untouched",IF($G22="","No rating",IF($G22&lt;=3,"Weak","Solid")))</f>
        <v/>
      </c>
    </row>
    <row r="23" ht="15" customHeight="1" s="32">
      <c r="B23" s="42" t="inlineStr">
        <is>
          <t>04. Hashing</t>
        </is>
      </c>
      <c r="C23" s="42" t="inlineStr">
        <is>
          <t>Cycle detection</t>
        </is>
      </c>
      <c r="D23" s="43">
        <f>COUNTIFS(Master!$C$2:$C$918,$B23,Master!$D$2:$D$918,$C23)</f>
        <v/>
      </c>
      <c r="E23" s="43">
        <f>COUNTIFS(Master!$C$2:$C$918,$B23,Master!$D$2:$D$918,$C23,Master!$G$2:$G$918,"Core")</f>
        <v/>
      </c>
      <c r="F23" s="43">
        <f>COUNTIFS(Master!$C$2:$C$918,$B23,Master!$D$2:$D$918,$C23,Master!$J$2:$J$918,"Solved")+COUNTIFS(Master!$C$2:$C$918,$B23,Master!$D$2:$D$918,$C23,Master!$J$2:$J$918,"Mastered")</f>
        <v/>
      </c>
      <c r="G23" s="56">
        <f>IFERROR(AVERAGEIFS(Master!$K$2:$K$918,Master!$C$2:$C$918,$B23,Master!$D$2:$D$918,$C23,Master!$K$2:$K$918,"&gt;0"),"")</f>
        <v/>
      </c>
      <c r="H23" s="46">
        <f>IF($F23=0,"Untouched",IF($G23="","No rating",IF($G23&lt;=3,"Weak","Solid")))</f>
        <v/>
      </c>
    </row>
    <row r="24" ht="15" customHeight="1" s="32">
      <c r="B24" s="42" t="inlineStr">
        <is>
          <t>04. Hashing</t>
        </is>
      </c>
      <c r="C24" s="42" t="inlineStr">
        <is>
          <t>Grid hashing</t>
        </is>
      </c>
      <c r="D24" s="43">
        <f>COUNTIFS(Master!$C$2:$C$918,$B24,Master!$D$2:$D$918,$C24)</f>
        <v/>
      </c>
      <c r="E24" s="43">
        <f>COUNTIFS(Master!$C$2:$C$918,$B24,Master!$D$2:$D$918,$C24,Master!$G$2:$G$918,"Core")</f>
        <v/>
      </c>
      <c r="F24" s="43">
        <f>COUNTIFS(Master!$C$2:$C$918,$B24,Master!$D$2:$D$918,$C24,Master!$J$2:$J$918,"Solved")+COUNTIFS(Master!$C$2:$C$918,$B24,Master!$D$2:$D$918,$C24,Master!$J$2:$J$918,"Mastered")</f>
        <v/>
      </c>
      <c r="G24" s="56">
        <f>IFERROR(AVERAGEIFS(Master!$K$2:$K$918,Master!$C$2:$C$918,$B24,Master!$D$2:$D$918,$C24,Master!$K$2:$K$918,"&gt;0"),"")</f>
        <v/>
      </c>
      <c r="H24" s="46">
        <f>IF($F24=0,"Untouched",IF($G24="","No rating",IF($G24&lt;=3,"Weak","Solid")))</f>
        <v/>
      </c>
    </row>
    <row r="25" ht="15" customHeight="1" s="32">
      <c r="B25" s="42" t="inlineStr">
        <is>
          <t>04. Hashing</t>
        </is>
      </c>
      <c r="C25" s="42" t="inlineStr">
        <is>
          <t>Line hashing</t>
        </is>
      </c>
      <c r="D25" s="43">
        <f>COUNTIFS(Master!$C$2:$C$918,$B25,Master!$D$2:$D$918,$C25)</f>
        <v/>
      </c>
      <c r="E25" s="43">
        <f>COUNTIFS(Master!$C$2:$C$918,$B25,Master!$D$2:$D$918,$C25,Master!$G$2:$G$918,"Core")</f>
        <v/>
      </c>
      <c r="F25" s="43">
        <f>COUNTIFS(Master!$C$2:$C$918,$B25,Master!$D$2:$D$918,$C25,Master!$J$2:$J$918,"Solved")+COUNTIFS(Master!$C$2:$C$918,$B25,Master!$D$2:$D$918,$C25,Master!$J$2:$J$918,"Mastered")</f>
        <v/>
      </c>
      <c r="G25" s="56">
        <f>IFERROR(AVERAGEIFS(Master!$K$2:$K$918,Master!$C$2:$C$918,$B25,Master!$D$2:$D$918,$C25,Master!$K$2:$K$918,"&gt;0"),"")</f>
        <v/>
      </c>
      <c r="H25" s="46">
        <f>IF($F25=0,"Untouched",IF($G25="","No rating",IF($G25&lt;=3,"Weak","Solid")))</f>
        <v/>
      </c>
    </row>
    <row r="26" ht="15" customHeight="1" s="32">
      <c r="B26" s="42" t="inlineStr">
        <is>
          <t>04. Hashing</t>
        </is>
      </c>
      <c r="C26" s="42" t="inlineStr">
        <is>
          <t>Meet in the middle</t>
        </is>
      </c>
      <c r="D26" s="43">
        <f>COUNTIFS(Master!$C$2:$C$918,$B26,Master!$D$2:$D$918,$C26)</f>
        <v/>
      </c>
      <c r="E26" s="43">
        <f>COUNTIFS(Master!$C$2:$C$918,$B26,Master!$D$2:$D$918,$C26,Master!$G$2:$G$918,"Core")</f>
        <v/>
      </c>
      <c r="F26" s="43">
        <f>COUNTIFS(Master!$C$2:$C$918,$B26,Master!$D$2:$D$918,$C26,Master!$J$2:$J$918,"Solved")+COUNTIFS(Master!$C$2:$C$918,$B26,Master!$D$2:$D$918,$C26,Master!$J$2:$J$918,"Mastered")</f>
        <v/>
      </c>
      <c r="G26" s="56">
        <f>IFERROR(AVERAGEIFS(Master!$K$2:$K$918,Master!$C$2:$C$918,$B26,Master!$D$2:$D$918,$C26,Master!$K$2:$K$918,"&gt;0"),"")</f>
        <v/>
      </c>
      <c r="H26" s="46">
        <f>IF($F26=0,"Untouched",IF($G26="","No rating",IF($G26&lt;=3,"Weak","Solid")))</f>
        <v/>
      </c>
    </row>
    <row r="27" ht="15" customHeight="1" s="32">
      <c r="B27" s="42" t="inlineStr">
        <is>
          <t>05. Prefix Sum &amp; Kadane</t>
        </is>
      </c>
      <c r="C27" s="42" t="inlineStr">
        <is>
          <t>Prefix basics</t>
        </is>
      </c>
      <c r="D27" s="43">
        <f>COUNTIFS(Master!$C$2:$C$918,$B27,Master!$D$2:$D$918,$C27)</f>
        <v/>
      </c>
      <c r="E27" s="43">
        <f>COUNTIFS(Master!$C$2:$C$918,$B27,Master!$D$2:$D$918,$C27,Master!$G$2:$G$918,"Core")</f>
        <v/>
      </c>
      <c r="F27" s="43">
        <f>COUNTIFS(Master!$C$2:$C$918,$B27,Master!$D$2:$D$918,$C27,Master!$J$2:$J$918,"Solved")+COUNTIFS(Master!$C$2:$C$918,$B27,Master!$D$2:$D$918,$C27,Master!$J$2:$J$918,"Mastered")</f>
        <v/>
      </c>
      <c r="G27" s="56">
        <f>IFERROR(AVERAGEIFS(Master!$K$2:$K$918,Master!$C$2:$C$918,$B27,Master!$D$2:$D$918,$C27,Master!$K$2:$K$918,"&gt;0"),"")</f>
        <v/>
      </c>
      <c r="H27" s="46">
        <f>IF($F27=0,"Untouched",IF($G27="","No rating",IF($G27&lt;=3,"Weak","Solid")))</f>
        <v/>
      </c>
    </row>
    <row r="28" ht="15" customHeight="1" s="32">
      <c r="B28" s="42" t="inlineStr">
        <is>
          <t>05. Prefix Sum &amp; Kadane</t>
        </is>
      </c>
      <c r="C28" s="42" t="inlineStr">
        <is>
          <t>Kadane</t>
        </is>
      </c>
      <c r="D28" s="43">
        <f>COUNTIFS(Master!$C$2:$C$918,$B28,Master!$D$2:$D$918,$C28)</f>
        <v/>
      </c>
      <c r="E28" s="43">
        <f>COUNTIFS(Master!$C$2:$C$918,$B28,Master!$D$2:$D$918,$C28,Master!$G$2:$G$918,"Core")</f>
        <v/>
      </c>
      <c r="F28" s="43">
        <f>COUNTIFS(Master!$C$2:$C$918,$B28,Master!$D$2:$D$918,$C28,Master!$J$2:$J$918,"Solved")+COUNTIFS(Master!$C$2:$C$918,$B28,Master!$D$2:$D$918,$C28,Master!$J$2:$J$918,"Mastered")</f>
        <v/>
      </c>
      <c r="G28" s="56">
        <f>IFERROR(AVERAGEIFS(Master!$K$2:$K$918,Master!$C$2:$C$918,$B28,Master!$D$2:$D$918,$C28,Master!$K$2:$K$918,"&gt;0"),"")</f>
        <v/>
      </c>
      <c r="H28" s="46">
        <f>IF($F28=0,"Untouched",IF($G28="","No rating",IF($G28&lt;=3,"Weak","Solid")))</f>
        <v/>
      </c>
    </row>
    <row r="29" ht="15" customHeight="1" s="32">
      <c r="B29" s="42" t="inlineStr">
        <is>
          <t>05. Prefix Sum &amp; Kadane</t>
        </is>
      </c>
      <c r="C29" s="42" t="inlineStr">
        <is>
          <t>Prefix + HashMap</t>
        </is>
      </c>
      <c r="D29" s="43">
        <f>COUNTIFS(Master!$C$2:$C$918,$B29,Master!$D$2:$D$918,$C29)</f>
        <v/>
      </c>
      <c r="E29" s="43">
        <f>COUNTIFS(Master!$C$2:$C$918,$B29,Master!$D$2:$D$918,$C29,Master!$G$2:$G$918,"Core")</f>
        <v/>
      </c>
      <c r="F29" s="43">
        <f>COUNTIFS(Master!$C$2:$C$918,$B29,Master!$D$2:$D$918,$C29,Master!$J$2:$J$918,"Solved")+COUNTIFS(Master!$C$2:$C$918,$B29,Master!$D$2:$D$918,$C29,Master!$J$2:$J$918,"Mastered")</f>
        <v/>
      </c>
      <c r="G29" s="56">
        <f>IFERROR(AVERAGEIFS(Master!$K$2:$K$918,Master!$C$2:$C$918,$B29,Master!$D$2:$D$918,$C29,Master!$K$2:$K$918,"&gt;0"),"")</f>
        <v/>
      </c>
      <c r="H29" s="46">
        <f>IF($F29=0,"Untouched",IF($G29="","No rating",IF($G29&lt;=3,"Weak","Solid")))</f>
        <v/>
      </c>
    </row>
    <row r="30" ht="15" customHeight="1" s="32">
      <c r="B30" s="42" t="inlineStr">
        <is>
          <t>05. Prefix Sum &amp; Kadane</t>
        </is>
      </c>
      <c r="C30" s="42" t="inlineStr">
        <is>
          <t>Difference array</t>
        </is>
      </c>
      <c r="D30" s="43">
        <f>COUNTIFS(Master!$C$2:$C$918,$B30,Master!$D$2:$D$918,$C30)</f>
        <v/>
      </c>
      <c r="E30" s="43">
        <f>COUNTIFS(Master!$C$2:$C$918,$B30,Master!$D$2:$D$918,$C30,Master!$G$2:$G$918,"Core")</f>
        <v/>
      </c>
      <c r="F30" s="43">
        <f>COUNTIFS(Master!$C$2:$C$918,$B30,Master!$D$2:$D$918,$C30,Master!$J$2:$J$918,"Solved")+COUNTIFS(Master!$C$2:$C$918,$B30,Master!$D$2:$D$918,$C30,Master!$J$2:$J$918,"Mastered")</f>
        <v/>
      </c>
      <c r="G30" s="56">
        <f>IFERROR(AVERAGEIFS(Master!$K$2:$K$918,Master!$C$2:$C$918,$B30,Master!$D$2:$D$918,$C30,Master!$K$2:$K$918,"&gt;0"),"")</f>
        <v/>
      </c>
      <c r="H30" s="46">
        <f>IF($F30=0,"Untouched",IF($G30="","No rating",IF($G30&lt;=3,"Weak","Solid")))</f>
        <v/>
      </c>
    </row>
    <row r="31" ht="15" customHeight="1" s="32">
      <c r="B31" s="42" t="inlineStr">
        <is>
          <t>06. Sliding Window</t>
        </is>
      </c>
      <c r="C31" s="42" t="inlineStr">
        <is>
          <t>Fixed window</t>
        </is>
      </c>
      <c r="D31" s="43">
        <f>COUNTIFS(Master!$C$2:$C$918,$B31,Master!$D$2:$D$918,$C31)</f>
        <v/>
      </c>
      <c r="E31" s="43">
        <f>COUNTIFS(Master!$C$2:$C$918,$B31,Master!$D$2:$D$918,$C31,Master!$G$2:$G$918,"Core")</f>
        <v/>
      </c>
      <c r="F31" s="43">
        <f>COUNTIFS(Master!$C$2:$C$918,$B31,Master!$D$2:$D$918,$C31,Master!$J$2:$J$918,"Solved")+COUNTIFS(Master!$C$2:$C$918,$B31,Master!$D$2:$D$918,$C31,Master!$J$2:$J$918,"Mastered")</f>
        <v/>
      </c>
      <c r="G31" s="56">
        <f>IFERROR(AVERAGEIFS(Master!$K$2:$K$918,Master!$C$2:$C$918,$B31,Master!$D$2:$D$918,$C31,Master!$K$2:$K$918,"&gt;0"),"")</f>
        <v/>
      </c>
      <c r="H31" s="46">
        <f>IF($F31=0,"Untouched",IF($G31="","No rating",IF($G31&lt;=3,"Weak","Solid")))</f>
        <v/>
      </c>
    </row>
    <row r="32" ht="15" customHeight="1" s="32">
      <c r="B32" s="42" t="inlineStr">
        <is>
          <t>06. Sliding Window</t>
        </is>
      </c>
      <c r="C32" s="42" t="inlineStr">
        <is>
          <t>Variable window</t>
        </is>
      </c>
      <c r="D32" s="43">
        <f>COUNTIFS(Master!$C$2:$C$918,$B32,Master!$D$2:$D$918,$C32)</f>
        <v/>
      </c>
      <c r="E32" s="43">
        <f>COUNTIFS(Master!$C$2:$C$918,$B32,Master!$D$2:$D$918,$C32,Master!$G$2:$G$918,"Core")</f>
        <v/>
      </c>
      <c r="F32" s="43">
        <f>COUNTIFS(Master!$C$2:$C$918,$B32,Master!$D$2:$D$918,$C32,Master!$J$2:$J$918,"Solved")+COUNTIFS(Master!$C$2:$C$918,$B32,Master!$D$2:$D$918,$C32,Master!$J$2:$J$918,"Mastered")</f>
        <v/>
      </c>
      <c r="G32" s="56">
        <f>IFERROR(AVERAGEIFS(Master!$K$2:$K$918,Master!$C$2:$C$918,$B32,Master!$D$2:$D$918,$C32,Master!$K$2:$K$918,"&gt;0"),"")</f>
        <v/>
      </c>
      <c r="H32" s="46">
        <f>IF($F32=0,"Untouched",IF($G32="","No rating",IF($G32&lt;=3,"Weak","Solid")))</f>
        <v/>
      </c>
    </row>
    <row r="33" ht="15" customHeight="1" s="32">
      <c r="B33" s="42" t="inlineStr">
        <is>
          <t>06. Sliding Window</t>
        </is>
      </c>
      <c r="C33" s="42" t="inlineStr">
        <is>
          <t>Anagram window</t>
        </is>
      </c>
      <c r="D33" s="43">
        <f>COUNTIFS(Master!$C$2:$C$918,$B33,Master!$D$2:$D$918,$C33)</f>
        <v/>
      </c>
      <c r="E33" s="43">
        <f>COUNTIFS(Master!$C$2:$C$918,$B33,Master!$D$2:$D$918,$C33,Master!$G$2:$G$918,"Core")</f>
        <v/>
      </c>
      <c r="F33" s="43">
        <f>COUNTIFS(Master!$C$2:$C$918,$B33,Master!$D$2:$D$918,$C33,Master!$J$2:$J$918,"Solved")+COUNTIFS(Master!$C$2:$C$918,$B33,Master!$D$2:$D$918,$C33,Master!$J$2:$J$918,"Mastered")</f>
        <v/>
      </c>
      <c r="G33" s="56">
        <f>IFERROR(AVERAGEIFS(Master!$K$2:$K$918,Master!$C$2:$C$918,$B33,Master!$D$2:$D$918,$C33,Master!$K$2:$K$918,"&gt;0"),"")</f>
        <v/>
      </c>
      <c r="H33" s="46">
        <f>IF($F33=0,"Untouched",IF($G33="","No rating",IF($G33&lt;=3,"Weak","Solid")))</f>
        <v/>
      </c>
    </row>
    <row r="34" ht="15" customHeight="1" s="32">
      <c r="B34" s="42" t="inlineStr">
        <is>
          <t>06. Sliding Window</t>
        </is>
      </c>
      <c r="C34" s="42" t="inlineStr">
        <is>
          <t>Count exactly-K trick</t>
        </is>
      </c>
      <c r="D34" s="43">
        <f>COUNTIFS(Master!$C$2:$C$918,$B34,Master!$D$2:$D$918,$C34)</f>
        <v/>
      </c>
      <c r="E34" s="43">
        <f>COUNTIFS(Master!$C$2:$C$918,$B34,Master!$D$2:$D$918,$C34,Master!$G$2:$G$918,"Core")</f>
        <v/>
      </c>
      <c r="F34" s="43">
        <f>COUNTIFS(Master!$C$2:$C$918,$B34,Master!$D$2:$D$918,$C34,Master!$J$2:$J$918,"Solved")+COUNTIFS(Master!$C$2:$C$918,$B34,Master!$D$2:$D$918,$C34,Master!$J$2:$J$918,"Mastered")</f>
        <v/>
      </c>
      <c r="G34" s="56">
        <f>IFERROR(AVERAGEIFS(Master!$K$2:$K$918,Master!$C$2:$C$918,$B34,Master!$D$2:$D$918,$C34,Master!$K$2:$K$918,"&gt;0"),"")</f>
        <v/>
      </c>
      <c r="H34" s="46">
        <f>IF($F34=0,"Untouched",IF($G34="","No rating",IF($G34&lt;=3,"Weak","Solid")))</f>
        <v/>
      </c>
    </row>
    <row r="35" ht="15" customHeight="1" s="32">
      <c r="B35" s="42" t="inlineStr">
        <is>
          <t>06. Sliding Window</t>
        </is>
      </c>
      <c r="C35" s="42" t="inlineStr">
        <is>
          <t>Hard window</t>
        </is>
      </c>
      <c r="D35" s="43">
        <f>COUNTIFS(Master!$C$2:$C$918,$B35,Master!$D$2:$D$918,$C35)</f>
        <v/>
      </c>
      <c r="E35" s="43">
        <f>COUNTIFS(Master!$C$2:$C$918,$B35,Master!$D$2:$D$918,$C35,Master!$G$2:$G$918,"Core")</f>
        <v/>
      </c>
      <c r="F35" s="43">
        <f>COUNTIFS(Master!$C$2:$C$918,$B35,Master!$D$2:$D$918,$C35,Master!$J$2:$J$918,"Solved")+COUNTIFS(Master!$C$2:$C$918,$B35,Master!$D$2:$D$918,$C35,Master!$J$2:$J$918,"Mastered")</f>
        <v/>
      </c>
      <c r="G35" s="56">
        <f>IFERROR(AVERAGEIFS(Master!$K$2:$K$918,Master!$C$2:$C$918,$B35,Master!$D$2:$D$918,$C35,Master!$K$2:$K$918,"&gt;0"),"")</f>
        <v/>
      </c>
      <c r="H35" s="46">
        <f>IF($F35=0,"Untouched",IF($G35="","No rating",IF($G35&lt;=3,"Weak","Solid")))</f>
        <v/>
      </c>
    </row>
    <row r="36" ht="15" customHeight="1" s="32">
      <c r="B36" s="42" t="inlineStr">
        <is>
          <t>02. Arrays &amp; Two Pointers</t>
        </is>
      </c>
      <c r="C36" s="42" t="inlineStr">
        <is>
          <t>Index cycles</t>
        </is>
      </c>
      <c r="D36" s="43">
        <f>COUNTIFS(Master!$C$2:$C$918,$B36,Master!$D$2:$D$918,$C36)</f>
        <v/>
      </c>
      <c r="E36" s="43">
        <f>COUNTIFS(Master!$C$2:$C$918,$B36,Master!$D$2:$D$918,$C36,Master!$G$2:$G$918,"Core")</f>
        <v/>
      </c>
      <c r="F36" s="43">
        <f>COUNTIFS(Master!$C$2:$C$918,$B36,Master!$D$2:$D$918,$C36,Master!$J$2:$J$918,"Solved")+COUNTIFS(Master!$C$2:$C$918,$B36,Master!$D$2:$D$918,$C36,Master!$J$2:$J$918,"Mastered")</f>
        <v/>
      </c>
      <c r="G36" s="56">
        <f>IFERROR(AVERAGEIFS(Master!$K$2:$K$918,Master!$C$2:$C$918,$B36,Master!$D$2:$D$918,$C36,Master!$K$2:$K$918,"&gt;0"),"")</f>
        <v/>
      </c>
      <c r="H36" s="46">
        <f>IF($F36=0,"Untouched",IF($G36="","No rating",IF($G36&lt;=3,"Weak","Solid")))</f>
        <v/>
      </c>
    </row>
    <row r="37" ht="15" customHeight="1" s="32">
      <c r="B37" s="42" t="inlineStr">
        <is>
          <t>05. Prefix Sum &amp; Kadane</t>
        </is>
      </c>
      <c r="C37" s="42" t="inlineStr">
        <is>
          <t>Prefix applications</t>
        </is>
      </c>
      <c r="D37" s="43">
        <f>COUNTIFS(Master!$C$2:$C$918,$B37,Master!$D$2:$D$918,$C37)</f>
        <v/>
      </c>
      <c r="E37" s="43">
        <f>COUNTIFS(Master!$C$2:$C$918,$B37,Master!$D$2:$D$918,$C37,Master!$G$2:$G$918,"Core")</f>
        <v/>
      </c>
      <c r="F37" s="43">
        <f>COUNTIFS(Master!$C$2:$C$918,$B37,Master!$D$2:$D$918,$C37,Master!$J$2:$J$918,"Solved")+COUNTIFS(Master!$C$2:$C$918,$B37,Master!$D$2:$D$918,$C37,Master!$J$2:$J$918,"Mastered")</f>
        <v/>
      </c>
      <c r="G37" s="56">
        <f>IFERROR(AVERAGEIFS(Master!$K$2:$K$918,Master!$C$2:$C$918,$B37,Master!$D$2:$D$918,$C37,Master!$K$2:$K$918,"&gt;0"),"")</f>
        <v/>
      </c>
      <c r="H37" s="46">
        <f>IF($F37=0,"Untouched",IF($G37="","No rating",IF($G37&lt;=3,"Weak","Solid")))</f>
        <v/>
      </c>
    </row>
    <row r="38" ht="15" customHeight="1" s="32">
      <c r="B38" s="42" t="inlineStr">
        <is>
          <t>07. Binary Search</t>
        </is>
      </c>
      <c r="C38" s="42" t="inlineStr">
        <is>
          <t>Vanilla BS</t>
        </is>
      </c>
      <c r="D38" s="43">
        <f>COUNTIFS(Master!$C$2:$C$918,$B38,Master!$D$2:$D$918,$C38)</f>
        <v/>
      </c>
      <c r="E38" s="43">
        <f>COUNTIFS(Master!$C$2:$C$918,$B38,Master!$D$2:$D$918,$C38,Master!$G$2:$G$918,"Core")</f>
        <v/>
      </c>
      <c r="F38" s="43">
        <f>COUNTIFS(Master!$C$2:$C$918,$B38,Master!$D$2:$D$918,$C38,Master!$J$2:$J$918,"Solved")+COUNTIFS(Master!$C$2:$C$918,$B38,Master!$D$2:$D$918,$C38,Master!$J$2:$J$918,"Mastered")</f>
        <v/>
      </c>
      <c r="G38" s="56">
        <f>IFERROR(AVERAGEIFS(Master!$K$2:$K$918,Master!$C$2:$C$918,$B38,Master!$D$2:$D$918,$C38,Master!$K$2:$K$918,"&gt;0"),"")</f>
        <v/>
      </c>
      <c r="H38" s="46">
        <f>IF($F38=0,"Untouched",IF($G38="","No rating",IF($G38&lt;=3,"Weak","Solid")))</f>
        <v/>
      </c>
    </row>
    <row r="39" ht="15" customHeight="1" s="32">
      <c r="B39" s="42" t="inlineStr">
        <is>
          <t>07. Binary Search</t>
        </is>
      </c>
      <c r="C39" s="42" t="inlineStr">
        <is>
          <t>BS on answer</t>
        </is>
      </c>
      <c r="D39" s="43">
        <f>COUNTIFS(Master!$C$2:$C$918,$B39,Master!$D$2:$D$918,$C39)</f>
        <v/>
      </c>
      <c r="E39" s="43">
        <f>COUNTIFS(Master!$C$2:$C$918,$B39,Master!$D$2:$D$918,$C39,Master!$G$2:$G$918,"Core")</f>
        <v/>
      </c>
      <c r="F39" s="43">
        <f>COUNTIFS(Master!$C$2:$C$918,$B39,Master!$D$2:$D$918,$C39,Master!$J$2:$J$918,"Solved")+COUNTIFS(Master!$C$2:$C$918,$B39,Master!$D$2:$D$918,$C39,Master!$J$2:$J$918,"Mastered")</f>
        <v/>
      </c>
      <c r="G39" s="56">
        <f>IFERROR(AVERAGEIFS(Master!$K$2:$K$918,Master!$C$2:$C$918,$B39,Master!$D$2:$D$918,$C39,Master!$K$2:$K$918,"&gt;0"),"")</f>
        <v/>
      </c>
      <c r="H39" s="46">
        <f>IF($F39=0,"Untouched",IF($G39="","No rating",IF($G39&lt;=3,"Weak","Solid")))</f>
        <v/>
      </c>
    </row>
    <row r="40" ht="15" customHeight="1" s="32">
      <c r="B40" s="42" t="inlineStr">
        <is>
          <t>07. Binary Search</t>
        </is>
      </c>
      <c r="C40" s="42" t="inlineStr">
        <is>
          <t>Lower/Upper bound</t>
        </is>
      </c>
      <c r="D40" s="43">
        <f>COUNTIFS(Master!$C$2:$C$918,$B40,Master!$D$2:$D$918,$C40)</f>
        <v/>
      </c>
      <c r="E40" s="43">
        <f>COUNTIFS(Master!$C$2:$C$918,$B40,Master!$D$2:$D$918,$C40,Master!$G$2:$G$918,"Core")</f>
        <v/>
      </c>
      <c r="F40" s="43">
        <f>COUNTIFS(Master!$C$2:$C$918,$B40,Master!$D$2:$D$918,$C40,Master!$J$2:$J$918,"Solved")+COUNTIFS(Master!$C$2:$C$918,$B40,Master!$D$2:$D$918,$C40,Master!$J$2:$J$918,"Mastered")</f>
        <v/>
      </c>
      <c r="G40" s="56">
        <f>IFERROR(AVERAGEIFS(Master!$K$2:$K$918,Master!$C$2:$C$918,$B40,Master!$D$2:$D$918,$C40,Master!$K$2:$K$918,"&gt;0"),"")</f>
        <v/>
      </c>
      <c r="H40" s="46">
        <f>IF($F40=0,"Untouched",IF($G40="","No rating",IF($G40&lt;=3,"Weak","Solid")))</f>
        <v/>
      </c>
    </row>
    <row r="41" ht="15" customHeight="1" s="32">
      <c r="B41" s="42" t="inlineStr">
        <is>
          <t>07. Binary Search</t>
        </is>
      </c>
      <c r="C41" s="42" t="inlineStr">
        <is>
          <t>Interactive</t>
        </is>
      </c>
      <c r="D41" s="43">
        <f>COUNTIFS(Master!$C$2:$C$918,$B41,Master!$D$2:$D$918,$C41)</f>
        <v/>
      </c>
      <c r="E41" s="43">
        <f>COUNTIFS(Master!$C$2:$C$918,$B41,Master!$D$2:$D$918,$C41,Master!$G$2:$G$918,"Core")</f>
        <v/>
      </c>
      <c r="F41" s="43">
        <f>COUNTIFS(Master!$C$2:$C$918,$B41,Master!$D$2:$D$918,$C41,Master!$J$2:$J$918,"Solved")+COUNTIFS(Master!$C$2:$C$918,$B41,Master!$D$2:$D$918,$C41,Master!$J$2:$J$918,"Mastered")</f>
        <v/>
      </c>
      <c r="G41" s="56">
        <f>IFERROR(AVERAGEIFS(Master!$K$2:$K$918,Master!$C$2:$C$918,$B41,Master!$D$2:$D$918,$C41,Master!$K$2:$K$918,"&gt;0"),"")</f>
        <v/>
      </c>
      <c r="H41" s="46">
        <f>IF($F41=0,"Untouched",IF($G41="","No rating",IF($G41&lt;=3,"Weak","Solid")))</f>
        <v/>
      </c>
    </row>
    <row r="42" ht="15" customHeight="1" s="32">
      <c r="B42" s="42" t="inlineStr">
        <is>
          <t>07. Binary Search</t>
        </is>
      </c>
      <c r="C42" s="42" t="inlineStr">
        <is>
          <t>Rotated array</t>
        </is>
      </c>
      <c r="D42" s="43">
        <f>COUNTIFS(Master!$C$2:$C$918,$B42,Master!$D$2:$D$918,$C42)</f>
        <v/>
      </c>
      <c r="E42" s="43">
        <f>COUNTIFS(Master!$C$2:$C$918,$B42,Master!$D$2:$D$918,$C42,Master!$G$2:$G$918,"Core")</f>
        <v/>
      </c>
      <c r="F42" s="43">
        <f>COUNTIFS(Master!$C$2:$C$918,$B42,Master!$D$2:$D$918,$C42,Master!$J$2:$J$918,"Solved")+COUNTIFS(Master!$C$2:$C$918,$B42,Master!$D$2:$D$918,$C42,Master!$J$2:$J$918,"Mastered")</f>
        <v/>
      </c>
      <c r="G42" s="56">
        <f>IFERROR(AVERAGEIFS(Master!$K$2:$K$918,Master!$C$2:$C$918,$B42,Master!$D$2:$D$918,$C42,Master!$K$2:$K$918,"&gt;0"),"")</f>
        <v/>
      </c>
      <c r="H42" s="46">
        <f>IF($F42=0,"Untouched",IF($G42="","No rating",IF($G42&lt;=3,"Weak","Solid")))</f>
        <v/>
      </c>
    </row>
    <row r="43" ht="15" customHeight="1" s="32">
      <c r="B43" s="42" t="inlineStr">
        <is>
          <t>07. Binary Search</t>
        </is>
      </c>
      <c r="C43" s="42" t="inlineStr">
        <is>
          <t>Peak finding</t>
        </is>
      </c>
      <c r="D43" s="43">
        <f>COUNTIFS(Master!$C$2:$C$918,$B43,Master!$D$2:$D$918,$C43)</f>
        <v/>
      </c>
      <c r="E43" s="43">
        <f>COUNTIFS(Master!$C$2:$C$918,$B43,Master!$D$2:$D$918,$C43,Master!$G$2:$G$918,"Core")</f>
        <v/>
      </c>
      <c r="F43" s="43">
        <f>COUNTIFS(Master!$C$2:$C$918,$B43,Master!$D$2:$D$918,$C43,Master!$J$2:$J$918,"Solved")+COUNTIFS(Master!$C$2:$C$918,$B43,Master!$D$2:$D$918,$C43,Master!$J$2:$J$918,"Mastered")</f>
        <v/>
      </c>
      <c r="G43" s="56">
        <f>IFERROR(AVERAGEIFS(Master!$K$2:$K$918,Master!$C$2:$C$918,$B43,Master!$D$2:$D$918,$C43,Master!$K$2:$K$918,"&gt;0"),"")</f>
        <v/>
      </c>
      <c r="H43" s="46">
        <f>IF($F43=0,"Untouched",IF($G43="","No rating",IF($G43&lt;=3,"Weak","Solid")))</f>
        <v/>
      </c>
    </row>
    <row r="44" ht="15" customHeight="1" s="32">
      <c r="B44" s="42" t="inlineStr">
        <is>
          <t>07. Binary Search</t>
        </is>
      </c>
      <c r="C44" s="42" t="inlineStr">
        <is>
          <t>Parity trick</t>
        </is>
      </c>
      <c r="D44" s="43">
        <f>COUNTIFS(Master!$C$2:$C$918,$B44,Master!$D$2:$D$918,$C44)</f>
        <v/>
      </c>
      <c r="E44" s="43">
        <f>COUNTIFS(Master!$C$2:$C$918,$B44,Master!$D$2:$D$918,$C44,Master!$G$2:$G$918,"Core")</f>
        <v/>
      </c>
      <c r="F44" s="43">
        <f>COUNTIFS(Master!$C$2:$C$918,$B44,Master!$D$2:$D$918,$C44,Master!$J$2:$J$918,"Solved")+COUNTIFS(Master!$C$2:$C$918,$B44,Master!$D$2:$D$918,$C44,Master!$J$2:$J$918,"Mastered")</f>
        <v/>
      </c>
      <c r="G44" s="56">
        <f>IFERROR(AVERAGEIFS(Master!$K$2:$K$918,Master!$C$2:$C$918,$B44,Master!$D$2:$D$918,$C44,Master!$K$2:$K$918,"&gt;0"),"")</f>
        <v/>
      </c>
      <c r="H44" s="46">
        <f>IF($F44=0,"Untouched",IF($G44="","No rating",IF($G44&lt;=3,"Weak","Solid")))</f>
        <v/>
      </c>
    </row>
    <row r="45" ht="15" customHeight="1" s="32">
      <c r="B45" s="42" t="inlineStr">
        <is>
          <t>07. Binary Search</t>
        </is>
      </c>
      <c r="C45" s="42" t="inlineStr">
        <is>
          <t>Unbounded BS</t>
        </is>
      </c>
      <c r="D45" s="43">
        <f>COUNTIFS(Master!$C$2:$C$918,$B45,Master!$D$2:$D$918,$C45)</f>
        <v/>
      </c>
      <c r="E45" s="43">
        <f>COUNTIFS(Master!$C$2:$C$918,$B45,Master!$D$2:$D$918,$C45,Master!$G$2:$G$918,"Core")</f>
        <v/>
      </c>
      <c r="F45" s="43">
        <f>COUNTIFS(Master!$C$2:$C$918,$B45,Master!$D$2:$D$918,$C45,Master!$J$2:$J$918,"Solved")+COUNTIFS(Master!$C$2:$C$918,$B45,Master!$D$2:$D$918,$C45,Master!$J$2:$J$918,"Mastered")</f>
        <v/>
      </c>
      <c r="G45" s="56">
        <f>IFERROR(AVERAGEIFS(Master!$K$2:$K$918,Master!$C$2:$C$918,$B45,Master!$D$2:$D$918,$C45,Master!$K$2:$K$918,"&gt;0"),"")</f>
        <v/>
      </c>
      <c r="H45" s="46">
        <f>IF($F45=0,"Untouched",IF($G45="","No rating",IF($G45&lt;=3,"Weak","Solid")))</f>
        <v/>
      </c>
    </row>
    <row r="46" ht="15" customHeight="1" s="32">
      <c r="B46" s="42" t="inlineStr">
        <is>
          <t>07. Binary Search</t>
        </is>
      </c>
      <c r="C46" s="42" t="inlineStr">
        <is>
          <t>BS on matrix</t>
        </is>
      </c>
      <c r="D46" s="43">
        <f>COUNTIFS(Master!$C$2:$C$918,$B46,Master!$D$2:$D$918,$C46)</f>
        <v/>
      </c>
      <c r="E46" s="43">
        <f>COUNTIFS(Master!$C$2:$C$918,$B46,Master!$D$2:$D$918,$C46,Master!$G$2:$G$918,"Core")</f>
        <v/>
      </c>
      <c r="F46" s="43">
        <f>COUNTIFS(Master!$C$2:$C$918,$B46,Master!$D$2:$D$918,$C46,Master!$J$2:$J$918,"Solved")+COUNTIFS(Master!$C$2:$C$918,$B46,Master!$D$2:$D$918,$C46,Master!$J$2:$J$918,"Mastered")</f>
        <v/>
      </c>
      <c r="G46" s="56">
        <f>IFERROR(AVERAGEIFS(Master!$K$2:$K$918,Master!$C$2:$C$918,$B46,Master!$D$2:$D$918,$C46,Master!$K$2:$K$918,"&gt;0"),"")</f>
        <v/>
      </c>
      <c r="H46" s="46">
        <f>IF($F46=0,"Untouched",IF($G46="","No rating",IF($G46&lt;=3,"Weak","Solid")))</f>
        <v/>
      </c>
    </row>
    <row r="47" ht="15" customHeight="1" s="32">
      <c r="B47" s="42" t="inlineStr">
        <is>
          <t>08. Strings</t>
        </is>
      </c>
      <c r="C47" s="42" t="inlineStr">
        <is>
          <t>Basics</t>
        </is>
      </c>
      <c r="D47" s="43">
        <f>COUNTIFS(Master!$C$2:$C$918,$B47,Master!$D$2:$D$918,$C47)</f>
        <v/>
      </c>
      <c r="E47" s="43">
        <f>COUNTIFS(Master!$C$2:$C$918,$B47,Master!$D$2:$D$918,$C47,Master!$G$2:$G$918,"Core")</f>
        <v/>
      </c>
      <c r="F47" s="43">
        <f>COUNTIFS(Master!$C$2:$C$918,$B47,Master!$D$2:$D$918,$C47,Master!$J$2:$J$918,"Solved")+COUNTIFS(Master!$C$2:$C$918,$B47,Master!$D$2:$D$918,$C47,Master!$J$2:$J$918,"Mastered")</f>
        <v/>
      </c>
      <c r="G47" s="56">
        <f>IFERROR(AVERAGEIFS(Master!$K$2:$K$918,Master!$C$2:$C$918,$B47,Master!$D$2:$D$918,$C47,Master!$K$2:$K$918,"&gt;0"),"")</f>
        <v/>
      </c>
      <c r="H47" s="46">
        <f>IF($F47=0,"Untouched",IF($G47="","No rating",IF($G47&lt;=3,"Weak","Solid")))</f>
        <v/>
      </c>
    </row>
    <row r="48" ht="15" customHeight="1" s="32">
      <c r="B48" s="42" t="inlineStr">
        <is>
          <t>08. Strings</t>
        </is>
      </c>
      <c r="C48" s="42" t="inlineStr">
        <is>
          <t>Anagram</t>
        </is>
      </c>
      <c r="D48" s="43">
        <f>COUNTIFS(Master!$C$2:$C$918,$B48,Master!$D$2:$D$918,$C48)</f>
        <v/>
      </c>
      <c r="E48" s="43">
        <f>COUNTIFS(Master!$C$2:$C$918,$B48,Master!$D$2:$D$918,$C48,Master!$G$2:$G$918,"Core")</f>
        <v/>
      </c>
      <c r="F48" s="43">
        <f>COUNTIFS(Master!$C$2:$C$918,$B48,Master!$D$2:$D$918,$C48,Master!$J$2:$J$918,"Solved")+COUNTIFS(Master!$C$2:$C$918,$B48,Master!$D$2:$D$918,$C48,Master!$J$2:$J$918,"Mastered")</f>
        <v/>
      </c>
      <c r="G48" s="56">
        <f>IFERROR(AVERAGEIFS(Master!$K$2:$K$918,Master!$C$2:$C$918,$B48,Master!$D$2:$D$918,$C48,Master!$K$2:$K$918,"&gt;0"),"")</f>
        <v/>
      </c>
      <c r="H48" s="46">
        <f>IF($F48=0,"Untouched",IF($G48="","No rating",IF($G48&lt;=3,"Weak","Solid")))</f>
        <v/>
      </c>
    </row>
    <row r="49" ht="15" customHeight="1" s="32">
      <c r="B49" s="42" t="inlineStr">
        <is>
          <t>08. Strings</t>
        </is>
      </c>
      <c r="C49" s="42" t="inlineStr">
        <is>
          <t>Mapping</t>
        </is>
      </c>
      <c r="D49" s="43">
        <f>COUNTIFS(Master!$C$2:$C$918,$B49,Master!$D$2:$D$918,$C49)</f>
        <v/>
      </c>
      <c r="E49" s="43">
        <f>COUNTIFS(Master!$C$2:$C$918,$B49,Master!$D$2:$D$918,$C49,Master!$G$2:$G$918,"Core")</f>
        <v/>
      </c>
      <c r="F49" s="43">
        <f>COUNTIFS(Master!$C$2:$C$918,$B49,Master!$D$2:$D$918,$C49,Master!$J$2:$J$918,"Solved")+COUNTIFS(Master!$C$2:$C$918,$B49,Master!$D$2:$D$918,$C49,Master!$J$2:$J$918,"Mastered")</f>
        <v/>
      </c>
      <c r="G49" s="56">
        <f>IFERROR(AVERAGEIFS(Master!$K$2:$K$918,Master!$C$2:$C$918,$B49,Master!$D$2:$D$918,$C49,Master!$K$2:$K$918,"&gt;0"),"")</f>
        <v/>
      </c>
      <c r="H49" s="46">
        <f>IF($F49=0,"Untouched",IF($G49="","No rating",IF($G49&lt;=3,"Weak","Solid")))</f>
        <v/>
      </c>
    </row>
    <row r="50" ht="15" customHeight="1" s="32">
      <c r="B50" s="42" t="inlineStr">
        <is>
          <t>08. Strings</t>
        </is>
      </c>
      <c r="C50" s="42" t="inlineStr">
        <is>
          <t>Palindrome</t>
        </is>
      </c>
      <c r="D50" s="43">
        <f>COUNTIFS(Master!$C$2:$C$918,$B50,Master!$D$2:$D$918,$C50)</f>
        <v/>
      </c>
      <c r="E50" s="43">
        <f>COUNTIFS(Master!$C$2:$C$918,$B50,Master!$D$2:$D$918,$C50,Master!$G$2:$G$918,"Core")</f>
        <v/>
      </c>
      <c r="F50" s="43">
        <f>COUNTIFS(Master!$C$2:$C$918,$B50,Master!$D$2:$D$918,$C50,Master!$J$2:$J$918,"Solved")+COUNTIFS(Master!$C$2:$C$918,$B50,Master!$D$2:$D$918,$C50,Master!$J$2:$J$918,"Mastered")</f>
        <v/>
      </c>
      <c r="G50" s="56">
        <f>IFERROR(AVERAGEIFS(Master!$K$2:$K$918,Master!$C$2:$C$918,$B50,Master!$D$2:$D$918,$C50,Master!$K$2:$K$918,"&gt;0"),"")</f>
        <v/>
      </c>
      <c r="H50" s="46">
        <f>IF($F50=0,"Untouched",IF($G50="","No rating",IF($G50&lt;=3,"Weak","Solid")))</f>
        <v/>
      </c>
    </row>
    <row r="51" ht="15" customHeight="1" s="32">
      <c r="B51" s="42" t="inlineStr">
        <is>
          <t>08. Strings</t>
        </is>
      </c>
      <c r="C51" s="42" t="inlineStr">
        <is>
          <t>Parsing</t>
        </is>
      </c>
      <c r="D51" s="43">
        <f>COUNTIFS(Master!$C$2:$C$918,$B51,Master!$D$2:$D$918,$C51)</f>
        <v/>
      </c>
      <c r="E51" s="43">
        <f>COUNTIFS(Master!$C$2:$C$918,$B51,Master!$D$2:$D$918,$C51,Master!$G$2:$G$918,"Core")</f>
        <v/>
      </c>
      <c r="F51" s="43">
        <f>COUNTIFS(Master!$C$2:$C$918,$B51,Master!$D$2:$D$918,$C51,Master!$J$2:$J$918,"Solved")+COUNTIFS(Master!$C$2:$C$918,$B51,Master!$D$2:$D$918,$C51,Master!$J$2:$J$918,"Mastered")</f>
        <v/>
      </c>
      <c r="G51" s="56">
        <f>IFERROR(AVERAGEIFS(Master!$K$2:$K$918,Master!$C$2:$C$918,$B51,Master!$D$2:$D$918,$C51,Master!$K$2:$K$918,"&gt;0"),"")</f>
        <v/>
      </c>
      <c r="H51" s="46">
        <f>IF($F51=0,"Untouched",IF($G51="","No rating",IF($G51&lt;=3,"Weak","Solid")))</f>
        <v/>
      </c>
    </row>
    <row r="52" ht="15" customHeight="1" s="32">
      <c r="B52" s="42" t="inlineStr">
        <is>
          <t>08. Strings</t>
        </is>
      </c>
      <c r="C52" s="42" t="inlineStr">
        <is>
          <t>Simulation</t>
        </is>
      </c>
      <c r="D52" s="43">
        <f>COUNTIFS(Master!$C$2:$C$918,$B52,Master!$D$2:$D$918,$C52)</f>
        <v/>
      </c>
      <c r="E52" s="43">
        <f>COUNTIFS(Master!$C$2:$C$918,$B52,Master!$D$2:$D$918,$C52,Master!$G$2:$G$918,"Core")</f>
        <v/>
      </c>
      <c r="F52" s="43">
        <f>COUNTIFS(Master!$C$2:$C$918,$B52,Master!$D$2:$D$918,$C52,Master!$J$2:$J$918,"Solved")+COUNTIFS(Master!$C$2:$C$918,$B52,Master!$D$2:$D$918,$C52,Master!$J$2:$J$918,"Mastered")</f>
        <v/>
      </c>
      <c r="G52" s="56">
        <f>IFERROR(AVERAGEIFS(Master!$K$2:$K$918,Master!$C$2:$C$918,$B52,Master!$D$2:$D$918,$C52,Master!$K$2:$K$918,"&gt;0"),"")</f>
        <v/>
      </c>
      <c r="H52" s="46">
        <f>IF($F52=0,"Untouched",IF($G52="","No rating",IF($G52&lt;=3,"Weak","Solid")))</f>
        <v/>
      </c>
    </row>
    <row r="53" ht="15" customHeight="1" s="32">
      <c r="B53" s="42" t="inlineStr">
        <is>
          <t>08. Strings</t>
        </is>
      </c>
      <c r="C53" s="42" t="inlineStr">
        <is>
          <t>Pattern matching</t>
        </is>
      </c>
      <c r="D53" s="43">
        <f>COUNTIFS(Master!$C$2:$C$918,$B53,Master!$D$2:$D$918,$C53)</f>
        <v/>
      </c>
      <c r="E53" s="43">
        <f>COUNTIFS(Master!$C$2:$C$918,$B53,Master!$D$2:$D$918,$C53,Master!$G$2:$G$918,"Core")</f>
        <v/>
      </c>
      <c r="F53" s="43">
        <f>COUNTIFS(Master!$C$2:$C$918,$B53,Master!$D$2:$D$918,$C53,Master!$J$2:$J$918,"Solved")+COUNTIFS(Master!$C$2:$C$918,$B53,Master!$D$2:$D$918,$C53,Master!$J$2:$J$918,"Mastered")</f>
        <v/>
      </c>
      <c r="G53" s="56">
        <f>IFERROR(AVERAGEIFS(Master!$K$2:$K$918,Master!$C$2:$C$918,$B53,Master!$D$2:$D$918,$C53,Master!$K$2:$K$918,"&gt;0"),"")</f>
        <v/>
      </c>
      <c r="H53" s="46">
        <f>IF($F53=0,"Untouched",IF($G53="","No rating",IF($G53&lt;=3,"Weak","Solid")))</f>
        <v/>
      </c>
    </row>
    <row r="54" ht="15" customHeight="1" s="32">
      <c r="B54" s="42" t="inlineStr">
        <is>
          <t>09. Bit Manipulation</t>
        </is>
      </c>
      <c r="C54" s="42" t="inlineStr">
        <is>
          <t>Basics</t>
        </is>
      </c>
      <c r="D54" s="43">
        <f>COUNTIFS(Master!$C$2:$C$918,$B54,Master!$D$2:$D$918,$C54)</f>
        <v/>
      </c>
      <c r="E54" s="43">
        <f>COUNTIFS(Master!$C$2:$C$918,$B54,Master!$D$2:$D$918,$C54,Master!$G$2:$G$918,"Core")</f>
        <v/>
      </c>
      <c r="F54" s="43">
        <f>COUNTIFS(Master!$C$2:$C$918,$B54,Master!$D$2:$D$918,$C54,Master!$J$2:$J$918,"Solved")+COUNTIFS(Master!$C$2:$C$918,$B54,Master!$D$2:$D$918,$C54,Master!$J$2:$J$918,"Mastered")</f>
        <v/>
      </c>
      <c r="G54" s="56">
        <f>IFERROR(AVERAGEIFS(Master!$K$2:$K$918,Master!$C$2:$C$918,$B54,Master!$D$2:$D$918,$C54,Master!$K$2:$K$918,"&gt;0"),"")</f>
        <v/>
      </c>
      <c r="H54" s="46">
        <f>IF($F54=0,"Untouched",IF($G54="","No rating",IF($G54&lt;=3,"Weak","Solid")))</f>
        <v/>
      </c>
    </row>
    <row r="55" ht="15" customHeight="1" s="32">
      <c r="B55" s="42" t="inlineStr">
        <is>
          <t>09. Bit Manipulation</t>
        </is>
      </c>
      <c r="C55" s="42" t="inlineStr">
        <is>
          <t>XOR tricks</t>
        </is>
      </c>
      <c r="D55" s="43">
        <f>COUNTIFS(Master!$C$2:$C$918,$B55,Master!$D$2:$D$918,$C55)</f>
        <v/>
      </c>
      <c r="E55" s="43">
        <f>COUNTIFS(Master!$C$2:$C$918,$B55,Master!$D$2:$D$918,$C55,Master!$G$2:$G$918,"Core")</f>
        <v/>
      </c>
      <c r="F55" s="43">
        <f>COUNTIFS(Master!$C$2:$C$918,$B55,Master!$D$2:$D$918,$C55,Master!$J$2:$J$918,"Solved")+COUNTIFS(Master!$C$2:$C$918,$B55,Master!$D$2:$D$918,$C55,Master!$J$2:$J$918,"Mastered")</f>
        <v/>
      </c>
      <c r="G55" s="56">
        <f>IFERROR(AVERAGEIFS(Master!$K$2:$K$918,Master!$C$2:$C$918,$B55,Master!$D$2:$D$918,$C55,Master!$K$2:$K$918,"&gt;0"),"")</f>
        <v/>
      </c>
      <c r="H55" s="46">
        <f>IF($F55=0,"Untouched",IF($G55="","No rating",IF($G55&lt;=3,"Weak","Solid")))</f>
        <v/>
      </c>
    </row>
    <row r="56" ht="15" customHeight="1" s="32">
      <c r="B56" s="42" t="inlineStr">
        <is>
          <t>09. Bit Manipulation</t>
        </is>
      </c>
      <c r="C56" s="42" t="inlineStr">
        <is>
          <t>Bit arithmetic</t>
        </is>
      </c>
      <c r="D56" s="43">
        <f>COUNTIFS(Master!$C$2:$C$918,$B56,Master!$D$2:$D$918,$C56)</f>
        <v/>
      </c>
      <c r="E56" s="43">
        <f>COUNTIFS(Master!$C$2:$C$918,$B56,Master!$D$2:$D$918,$C56,Master!$G$2:$G$918,"Core")</f>
        <v/>
      </c>
      <c r="F56" s="43">
        <f>COUNTIFS(Master!$C$2:$C$918,$B56,Master!$D$2:$D$918,$C56,Master!$J$2:$J$918,"Solved")+COUNTIFS(Master!$C$2:$C$918,$B56,Master!$D$2:$D$918,$C56,Master!$J$2:$J$918,"Mastered")</f>
        <v/>
      </c>
      <c r="G56" s="56">
        <f>IFERROR(AVERAGEIFS(Master!$K$2:$K$918,Master!$C$2:$C$918,$B56,Master!$D$2:$D$918,$C56,Master!$K$2:$K$918,"&gt;0"),"")</f>
        <v/>
      </c>
      <c r="H56" s="46">
        <f>IF($F56=0,"Untouched",IF($G56="","No rating",IF($G56&lt;=3,"Weak","Solid")))</f>
        <v/>
      </c>
    </row>
    <row r="57" ht="15" customHeight="1" s="32">
      <c r="B57" s="42" t="inlineStr">
        <is>
          <t>09. Bit Manipulation</t>
        </is>
      </c>
      <c r="C57" s="42" t="inlineStr">
        <is>
          <t>Counting</t>
        </is>
      </c>
      <c r="D57" s="43">
        <f>COUNTIFS(Master!$C$2:$C$918,$B57,Master!$D$2:$D$918,$C57)</f>
        <v/>
      </c>
      <c r="E57" s="43">
        <f>COUNTIFS(Master!$C$2:$C$918,$B57,Master!$D$2:$D$918,$C57,Master!$G$2:$G$918,"Core")</f>
        <v/>
      </c>
      <c r="F57" s="43">
        <f>COUNTIFS(Master!$C$2:$C$918,$B57,Master!$D$2:$D$918,$C57,Master!$J$2:$J$918,"Solved")+COUNTIFS(Master!$C$2:$C$918,$B57,Master!$D$2:$D$918,$C57,Master!$J$2:$J$918,"Mastered")</f>
        <v/>
      </c>
      <c r="G57" s="56">
        <f>IFERROR(AVERAGEIFS(Master!$K$2:$K$918,Master!$C$2:$C$918,$B57,Master!$D$2:$D$918,$C57,Master!$K$2:$K$918,"&gt;0"),"")</f>
        <v/>
      </c>
      <c r="H57" s="46">
        <f>IF($F57=0,"Untouched",IF($G57="","No rating",IF($G57&lt;=3,"Weak","Solid")))</f>
        <v/>
      </c>
    </row>
    <row r="58" ht="15" customHeight="1" s="32">
      <c r="B58" s="42" t="inlineStr">
        <is>
          <t>09. Bit Manipulation</t>
        </is>
      </c>
      <c r="C58" s="42" t="inlineStr">
        <is>
          <t>Bitmask</t>
        </is>
      </c>
      <c r="D58" s="43">
        <f>COUNTIFS(Master!$C$2:$C$918,$B58,Master!$D$2:$D$918,$C58)</f>
        <v/>
      </c>
      <c r="E58" s="43">
        <f>COUNTIFS(Master!$C$2:$C$918,$B58,Master!$D$2:$D$918,$C58,Master!$G$2:$G$918,"Core")</f>
        <v/>
      </c>
      <c r="F58" s="43">
        <f>COUNTIFS(Master!$C$2:$C$918,$B58,Master!$D$2:$D$918,$C58,Master!$J$2:$J$918,"Solved")+COUNTIFS(Master!$C$2:$C$918,$B58,Master!$D$2:$D$918,$C58,Master!$J$2:$J$918,"Mastered")</f>
        <v/>
      </c>
      <c r="G58" s="56">
        <f>IFERROR(AVERAGEIFS(Master!$K$2:$K$918,Master!$C$2:$C$918,$B58,Master!$D$2:$D$918,$C58,Master!$K$2:$K$918,"&gt;0"),"")</f>
        <v/>
      </c>
      <c r="H58" s="46">
        <f>IF($F58=0,"Untouched",IF($G58="","No rating",IF($G58&lt;=3,"Weak","Solid")))</f>
        <v/>
      </c>
    </row>
    <row r="59" ht="15" customHeight="1" s="32">
      <c r="B59" s="42" t="inlineStr">
        <is>
          <t>10. Math &amp; Number Theory</t>
        </is>
      </c>
      <c r="C59" s="42" t="inlineStr">
        <is>
          <t>Digits</t>
        </is>
      </c>
      <c r="D59" s="43">
        <f>COUNTIFS(Master!$C$2:$C$918,$B59,Master!$D$2:$D$918,$C59)</f>
        <v/>
      </c>
      <c r="E59" s="43">
        <f>COUNTIFS(Master!$C$2:$C$918,$B59,Master!$D$2:$D$918,$C59,Master!$G$2:$G$918,"Core")</f>
        <v/>
      </c>
      <c r="F59" s="43">
        <f>COUNTIFS(Master!$C$2:$C$918,$B59,Master!$D$2:$D$918,$C59,Master!$J$2:$J$918,"Solved")+COUNTIFS(Master!$C$2:$C$918,$B59,Master!$D$2:$D$918,$C59,Master!$J$2:$J$918,"Mastered")</f>
        <v/>
      </c>
      <c r="G59" s="56">
        <f>IFERROR(AVERAGEIFS(Master!$K$2:$K$918,Master!$C$2:$C$918,$B59,Master!$D$2:$D$918,$C59,Master!$K$2:$K$918,"&gt;0"),"")</f>
        <v/>
      </c>
      <c r="H59" s="46">
        <f>IF($F59=0,"Untouched",IF($G59="","No rating",IF($G59&lt;=3,"Weak","Solid")))</f>
        <v/>
      </c>
    </row>
    <row r="60" ht="15" customHeight="1" s="32">
      <c r="B60" s="42" t="inlineStr">
        <is>
          <t>10. Math &amp; Number Theory</t>
        </is>
      </c>
      <c r="C60" s="42" t="inlineStr">
        <is>
          <t>GCD/LCM</t>
        </is>
      </c>
      <c r="D60" s="43">
        <f>COUNTIFS(Master!$C$2:$C$918,$B60,Master!$D$2:$D$918,$C60)</f>
        <v/>
      </c>
      <c r="E60" s="43">
        <f>COUNTIFS(Master!$C$2:$C$918,$B60,Master!$D$2:$D$918,$C60,Master!$G$2:$G$918,"Core")</f>
        <v/>
      </c>
      <c r="F60" s="43">
        <f>COUNTIFS(Master!$C$2:$C$918,$B60,Master!$D$2:$D$918,$C60,Master!$J$2:$J$918,"Solved")+COUNTIFS(Master!$C$2:$C$918,$B60,Master!$D$2:$D$918,$C60,Master!$J$2:$J$918,"Mastered")</f>
        <v/>
      </c>
      <c r="G60" s="56">
        <f>IFERROR(AVERAGEIFS(Master!$K$2:$K$918,Master!$C$2:$C$918,$B60,Master!$D$2:$D$918,$C60,Master!$K$2:$K$918,"&gt;0"),"")</f>
        <v/>
      </c>
      <c r="H60" s="46">
        <f>IF($F60=0,"Untouched",IF($G60="","No rating",IF($G60&lt;=3,"Weak","Solid")))</f>
        <v/>
      </c>
    </row>
    <row r="61" ht="15" customHeight="1" s="32">
      <c r="B61" s="42" t="inlineStr">
        <is>
          <t>10. Math &amp; Number Theory</t>
        </is>
      </c>
      <c r="C61" s="42" t="inlineStr">
        <is>
          <t>Base conversion</t>
        </is>
      </c>
      <c r="D61" s="43">
        <f>COUNTIFS(Master!$C$2:$C$918,$B61,Master!$D$2:$D$918,$C61)</f>
        <v/>
      </c>
      <c r="E61" s="43">
        <f>COUNTIFS(Master!$C$2:$C$918,$B61,Master!$D$2:$D$918,$C61,Master!$G$2:$G$918,"Core")</f>
        <v/>
      </c>
      <c r="F61" s="43">
        <f>COUNTIFS(Master!$C$2:$C$918,$B61,Master!$D$2:$D$918,$C61,Master!$J$2:$J$918,"Solved")+COUNTIFS(Master!$C$2:$C$918,$B61,Master!$D$2:$D$918,$C61,Master!$J$2:$J$918,"Mastered")</f>
        <v/>
      </c>
      <c r="G61" s="56">
        <f>IFERROR(AVERAGEIFS(Master!$K$2:$K$918,Master!$C$2:$C$918,$B61,Master!$D$2:$D$918,$C61,Master!$K$2:$K$918,"&gt;0"),"")</f>
        <v/>
      </c>
      <c r="H61" s="46">
        <f>IF($F61=0,"Untouched",IF($G61="","No rating",IF($G61&lt;=3,"Weak","Solid")))</f>
        <v/>
      </c>
    </row>
    <row r="62" ht="15" customHeight="1" s="32">
      <c r="B62" s="42" t="inlineStr">
        <is>
          <t>10. Math &amp; Number Theory</t>
        </is>
      </c>
      <c r="C62" s="42" t="inlineStr">
        <is>
          <t>Primes</t>
        </is>
      </c>
      <c r="D62" s="43">
        <f>COUNTIFS(Master!$C$2:$C$918,$B62,Master!$D$2:$D$918,$C62)</f>
        <v/>
      </c>
      <c r="E62" s="43">
        <f>COUNTIFS(Master!$C$2:$C$918,$B62,Master!$D$2:$D$918,$C62,Master!$G$2:$G$918,"Core")</f>
        <v/>
      </c>
      <c r="F62" s="43">
        <f>COUNTIFS(Master!$C$2:$C$918,$B62,Master!$D$2:$D$918,$C62,Master!$J$2:$J$918,"Solved")+COUNTIFS(Master!$C$2:$C$918,$B62,Master!$D$2:$D$918,$C62,Master!$J$2:$J$918,"Mastered")</f>
        <v/>
      </c>
      <c r="G62" s="56">
        <f>IFERROR(AVERAGEIFS(Master!$K$2:$K$918,Master!$C$2:$C$918,$B62,Master!$D$2:$D$918,$C62,Master!$K$2:$K$918,"&gt;0"),"")</f>
        <v/>
      </c>
      <c r="H62" s="46">
        <f>IF($F62=0,"Untouched",IF($G62="","No rating",IF($G62&lt;=3,"Weak","Solid")))</f>
        <v/>
      </c>
    </row>
    <row r="63" ht="15" customHeight="1" s="32">
      <c r="B63" s="42" t="inlineStr">
        <is>
          <t>10. Math &amp; Number Theory</t>
        </is>
      </c>
      <c r="C63" s="42" t="inlineStr">
        <is>
          <t>Sequences</t>
        </is>
      </c>
      <c r="D63" s="43">
        <f>COUNTIFS(Master!$C$2:$C$918,$B63,Master!$D$2:$D$918,$C63)</f>
        <v/>
      </c>
      <c r="E63" s="43">
        <f>COUNTIFS(Master!$C$2:$C$918,$B63,Master!$D$2:$D$918,$C63,Master!$G$2:$G$918,"Core")</f>
        <v/>
      </c>
      <c r="F63" s="43">
        <f>COUNTIFS(Master!$C$2:$C$918,$B63,Master!$D$2:$D$918,$C63,Master!$J$2:$J$918,"Solved")+COUNTIFS(Master!$C$2:$C$918,$B63,Master!$D$2:$D$918,$C63,Master!$J$2:$J$918,"Mastered")</f>
        <v/>
      </c>
      <c r="G63" s="56">
        <f>IFERROR(AVERAGEIFS(Master!$K$2:$K$918,Master!$C$2:$C$918,$B63,Master!$D$2:$D$918,$C63,Master!$K$2:$K$918,"&gt;0"),"")</f>
        <v/>
      </c>
      <c r="H63" s="46">
        <f>IF($F63=0,"Untouched",IF($G63="","No rating",IF($G63&lt;=3,"Weak","Solid")))</f>
        <v/>
      </c>
    </row>
    <row r="64" ht="15" customHeight="1" s="32">
      <c r="B64" s="42" t="inlineStr">
        <is>
          <t>10. Math &amp; Number Theory</t>
        </is>
      </c>
      <c r="C64" s="42" t="inlineStr">
        <is>
          <t>Modular</t>
        </is>
      </c>
      <c r="D64" s="43">
        <f>COUNTIFS(Master!$C$2:$C$918,$B64,Master!$D$2:$D$918,$C64)</f>
        <v/>
      </c>
      <c r="E64" s="43">
        <f>COUNTIFS(Master!$C$2:$C$918,$B64,Master!$D$2:$D$918,$C64,Master!$G$2:$G$918,"Core")</f>
        <v/>
      </c>
      <c r="F64" s="43">
        <f>COUNTIFS(Master!$C$2:$C$918,$B64,Master!$D$2:$D$918,$C64,Master!$J$2:$J$918,"Solved")+COUNTIFS(Master!$C$2:$C$918,$B64,Master!$D$2:$D$918,$C64,Master!$J$2:$J$918,"Mastered")</f>
        <v/>
      </c>
      <c r="G64" s="56">
        <f>IFERROR(AVERAGEIFS(Master!$K$2:$K$918,Master!$C$2:$C$918,$B64,Master!$D$2:$D$918,$C64,Master!$K$2:$K$918,"&gt;0"),"")</f>
        <v/>
      </c>
      <c r="H64" s="46">
        <f>IF($F64=0,"Untouched",IF($G64="","No rating",IF($G64&lt;=3,"Weak","Solid")))</f>
        <v/>
      </c>
    </row>
    <row r="65" ht="15" customHeight="1" s="32">
      <c r="B65" s="42" t="inlineStr">
        <is>
          <t>10. Math &amp; Number Theory</t>
        </is>
      </c>
      <c r="C65" s="42" t="inlineStr">
        <is>
          <t>Factorials</t>
        </is>
      </c>
      <c r="D65" s="43">
        <f>COUNTIFS(Master!$C$2:$C$918,$B65,Master!$D$2:$D$918,$C65)</f>
        <v/>
      </c>
      <c r="E65" s="43">
        <f>COUNTIFS(Master!$C$2:$C$918,$B65,Master!$D$2:$D$918,$C65,Master!$G$2:$G$918,"Core")</f>
        <v/>
      </c>
      <c r="F65" s="43">
        <f>COUNTIFS(Master!$C$2:$C$918,$B65,Master!$D$2:$D$918,$C65,Master!$J$2:$J$918,"Solved")+COUNTIFS(Master!$C$2:$C$918,$B65,Master!$D$2:$D$918,$C65,Master!$J$2:$J$918,"Mastered")</f>
        <v/>
      </c>
      <c r="G65" s="56">
        <f>IFERROR(AVERAGEIFS(Master!$K$2:$K$918,Master!$C$2:$C$918,$B65,Master!$D$2:$D$918,$C65,Master!$K$2:$K$918,"&gt;0"),"")</f>
        <v/>
      </c>
      <c r="H65" s="46">
        <f>IF($F65=0,"Untouched",IF($G65="","No rating",IF($G65&lt;=3,"Weak","Solid")))</f>
        <v/>
      </c>
    </row>
    <row r="66" ht="15" customHeight="1" s="32">
      <c r="B66" s="42" t="inlineStr">
        <is>
          <t>10. Math &amp; Number Theory</t>
        </is>
      </c>
      <c r="C66" s="42" t="inlineStr">
        <is>
          <t>Classic</t>
        </is>
      </c>
      <c r="D66" s="43">
        <f>COUNTIFS(Master!$C$2:$C$918,$B66,Master!$D$2:$D$918,$C66)</f>
        <v/>
      </c>
      <c r="E66" s="43">
        <f>COUNTIFS(Master!$C$2:$C$918,$B66,Master!$D$2:$D$918,$C66,Master!$G$2:$G$918,"Core")</f>
        <v/>
      </c>
      <c r="F66" s="43">
        <f>COUNTIFS(Master!$C$2:$C$918,$B66,Master!$D$2:$D$918,$C66,Master!$J$2:$J$918,"Solved")+COUNTIFS(Master!$C$2:$C$918,$B66,Master!$D$2:$D$918,$C66,Master!$J$2:$J$918,"Mastered")</f>
        <v/>
      </c>
      <c r="G66" s="56">
        <f>IFERROR(AVERAGEIFS(Master!$K$2:$K$918,Master!$C$2:$C$918,$B66,Master!$D$2:$D$918,$C66,Master!$K$2:$K$918,"&gt;0"),"")</f>
        <v/>
      </c>
      <c r="H66" s="46">
        <f>IF($F66=0,"Untouched",IF($G66="","No rating",IF($G66&lt;=3,"Weak","Solid")))</f>
        <v/>
      </c>
    </row>
    <row r="67" ht="15" customHeight="1" s="32">
      <c r="B67" s="42" t="inlineStr">
        <is>
          <t>11. Matrix / 2D</t>
        </is>
      </c>
      <c r="C67" s="42" t="inlineStr">
        <is>
          <t>Traversal</t>
        </is>
      </c>
      <c r="D67" s="43">
        <f>COUNTIFS(Master!$C$2:$C$918,$B67,Master!$D$2:$D$918,$C67)</f>
        <v/>
      </c>
      <c r="E67" s="43">
        <f>COUNTIFS(Master!$C$2:$C$918,$B67,Master!$D$2:$D$918,$C67,Master!$G$2:$G$918,"Core")</f>
        <v/>
      </c>
      <c r="F67" s="43">
        <f>COUNTIFS(Master!$C$2:$C$918,$B67,Master!$D$2:$D$918,$C67,Master!$J$2:$J$918,"Solved")+COUNTIFS(Master!$C$2:$C$918,$B67,Master!$D$2:$D$918,$C67,Master!$J$2:$J$918,"Mastered")</f>
        <v/>
      </c>
      <c r="G67" s="56">
        <f>IFERROR(AVERAGEIFS(Master!$K$2:$K$918,Master!$C$2:$C$918,$B67,Master!$D$2:$D$918,$C67,Master!$K$2:$K$918,"&gt;0"),"")</f>
        <v/>
      </c>
      <c r="H67" s="46">
        <f>IF($F67=0,"Untouched",IF($G67="","No rating",IF($G67&lt;=3,"Weak","Solid")))</f>
        <v/>
      </c>
    </row>
    <row r="68" ht="15" customHeight="1" s="32">
      <c r="B68" s="42" t="inlineStr">
        <is>
          <t>11. Matrix / 2D</t>
        </is>
      </c>
      <c r="C68" s="42" t="inlineStr">
        <is>
          <t>Properties</t>
        </is>
      </c>
      <c r="D68" s="43">
        <f>COUNTIFS(Master!$C$2:$C$918,$B68,Master!$D$2:$D$918,$C68)</f>
        <v/>
      </c>
      <c r="E68" s="43">
        <f>COUNTIFS(Master!$C$2:$C$918,$B68,Master!$D$2:$D$918,$C68,Master!$G$2:$G$918,"Core")</f>
        <v/>
      </c>
      <c r="F68" s="43">
        <f>COUNTIFS(Master!$C$2:$C$918,$B68,Master!$D$2:$D$918,$C68,Master!$J$2:$J$918,"Solved")+COUNTIFS(Master!$C$2:$C$918,$B68,Master!$D$2:$D$918,$C68,Master!$J$2:$J$918,"Mastered")</f>
        <v/>
      </c>
      <c r="G68" s="56">
        <f>IFERROR(AVERAGEIFS(Master!$K$2:$K$918,Master!$C$2:$C$918,$B68,Master!$D$2:$D$918,$C68,Master!$K$2:$K$918,"&gt;0"),"")</f>
        <v/>
      </c>
      <c r="H68" s="46">
        <f>IF($F68=0,"Untouched",IF($G68="","No rating",IF($G68&lt;=3,"Weak","Solid")))</f>
        <v/>
      </c>
    </row>
    <row r="69" ht="15" customHeight="1" s="32">
      <c r="B69" s="42" t="inlineStr">
        <is>
          <t>11. Matrix / 2D</t>
        </is>
      </c>
      <c r="C69" s="42" t="inlineStr">
        <is>
          <t>In-place ops</t>
        </is>
      </c>
      <c r="D69" s="43">
        <f>COUNTIFS(Master!$C$2:$C$918,$B69,Master!$D$2:$D$918,$C69)</f>
        <v/>
      </c>
      <c r="E69" s="43">
        <f>COUNTIFS(Master!$C$2:$C$918,$B69,Master!$D$2:$D$918,$C69,Master!$G$2:$G$918,"Core")</f>
        <v/>
      </c>
      <c r="F69" s="43">
        <f>COUNTIFS(Master!$C$2:$C$918,$B69,Master!$D$2:$D$918,$C69,Master!$J$2:$J$918,"Solved")+COUNTIFS(Master!$C$2:$C$918,$B69,Master!$D$2:$D$918,$C69,Master!$J$2:$J$918,"Mastered")</f>
        <v/>
      </c>
      <c r="G69" s="56">
        <f>IFERROR(AVERAGEIFS(Master!$K$2:$K$918,Master!$C$2:$C$918,$B69,Master!$D$2:$D$918,$C69,Master!$K$2:$K$918,"&gt;0"),"")</f>
        <v/>
      </c>
      <c r="H69" s="46">
        <f>IF($F69=0,"Untouched",IF($G69="","No rating",IF($G69&lt;=3,"Weak","Solid")))</f>
        <v/>
      </c>
    </row>
    <row r="70" ht="15" customHeight="1" s="32">
      <c r="B70" s="42" t="inlineStr">
        <is>
          <t>11. Matrix / 2D</t>
        </is>
      </c>
      <c r="C70" s="42" t="inlineStr">
        <is>
          <t>Construction</t>
        </is>
      </c>
      <c r="D70" s="43">
        <f>COUNTIFS(Master!$C$2:$C$918,$B70,Master!$D$2:$D$918,$C70)</f>
        <v/>
      </c>
      <c r="E70" s="43">
        <f>COUNTIFS(Master!$C$2:$C$918,$B70,Master!$D$2:$D$918,$C70,Master!$G$2:$G$918,"Core")</f>
        <v/>
      </c>
      <c r="F70" s="43">
        <f>COUNTIFS(Master!$C$2:$C$918,$B70,Master!$D$2:$D$918,$C70,Master!$J$2:$J$918,"Solved")+COUNTIFS(Master!$C$2:$C$918,$B70,Master!$D$2:$D$918,$C70,Master!$J$2:$J$918,"Mastered")</f>
        <v/>
      </c>
      <c r="G70" s="56">
        <f>IFERROR(AVERAGEIFS(Master!$K$2:$K$918,Master!$C$2:$C$918,$B70,Master!$D$2:$D$918,$C70,Master!$K$2:$K$918,"&gt;0"),"")</f>
        <v/>
      </c>
      <c r="H70" s="46">
        <f>IF($F70=0,"Untouched",IF($G70="","No rating",IF($G70&lt;=3,"Weak","Solid")))</f>
        <v/>
      </c>
    </row>
    <row r="71" ht="15" customHeight="1" s="32">
      <c r="B71" s="42" t="inlineStr">
        <is>
          <t>07. Binary Search</t>
        </is>
      </c>
      <c r="C71" s="42" t="inlineStr">
        <is>
          <t>Partition BS</t>
        </is>
      </c>
      <c r="D71" s="43">
        <f>COUNTIFS(Master!$C$2:$C$918,$B71,Master!$D$2:$D$918,$C71)</f>
        <v/>
      </c>
      <c r="E71" s="43">
        <f>COUNTIFS(Master!$C$2:$C$918,$B71,Master!$D$2:$D$918,$C71,Master!$G$2:$G$918,"Core")</f>
        <v/>
      </c>
      <c r="F71" s="43">
        <f>COUNTIFS(Master!$C$2:$C$918,$B71,Master!$D$2:$D$918,$C71,Master!$J$2:$J$918,"Solved")+COUNTIFS(Master!$C$2:$C$918,$B71,Master!$D$2:$D$918,$C71,Master!$J$2:$J$918,"Mastered")</f>
        <v/>
      </c>
      <c r="G71" s="56">
        <f>IFERROR(AVERAGEIFS(Master!$K$2:$K$918,Master!$C$2:$C$918,$B71,Master!$D$2:$D$918,$C71,Master!$K$2:$K$918,"&gt;0"),"")</f>
        <v/>
      </c>
      <c r="H71" s="46">
        <f>IF($F71=0,"Untouched",IF($G71="","No rating",IF($G71&lt;=3,"Weak","Solid")))</f>
        <v/>
      </c>
    </row>
    <row r="72" ht="15" customHeight="1" s="32">
      <c r="B72" s="42" t="inlineStr">
        <is>
          <t>12. Linked List</t>
        </is>
      </c>
      <c r="C72" s="42" t="inlineStr">
        <is>
          <t>Reversal</t>
        </is>
      </c>
      <c r="D72" s="43">
        <f>COUNTIFS(Master!$C$2:$C$918,$B72,Master!$D$2:$D$918,$C72)</f>
        <v/>
      </c>
      <c r="E72" s="43">
        <f>COUNTIFS(Master!$C$2:$C$918,$B72,Master!$D$2:$D$918,$C72,Master!$G$2:$G$918,"Core")</f>
        <v/>
      </c>
      <c r="F72" s="43">
        <f>COUNTIFS(Master!$C$2:$C$918,$B72,Master!$D$2:$D$918,$C72,Master!$J$2:$J$918,"Solved")+COUNTIFS(Master!$C$2:$C$918,$B72,Master!$D$2:$D$918,$C72,Master!$J$2:$J$918,"Mastered")</f>
        <v/>
      </c>
      <c r="G72" s="56">
        <f>IFERROR(AVERAGEIFS(Master!$K$2:$K$918,Master!$C$2:$C$918,$B72,Master!$D$2:$D$918,$C72,Master!$K$2:$K$918,"&gt;0"),"")</f>
        <v/>
      </c>
      <c r="H72" s="46">
        <f>IF($F72=0,"Untouched",IF($G72="","No rating",IF($G72&lt;=3,"Weak","Solid")))</f>
        <v/>
      </c>
    </row>
    <row r="73" ht="15" customHeight="1" s="32">
      <c r="B73" s="42" t="inlineStr">
        <is>
          <t>12. Linked List</t>
        </is>
      </c>
      <c r="C73" s="42" t="inlineStr">
        <is>
          <t>Fast &amp; slow</t>
        </is>
      </c>
      <c r="D73" s="43">
        <f>COUNTIFS(Master!$C$2:$C$918,$B73,Master!$D$2:$D$918,$C73)</f>
        <v/>
      </c>
      <c r="E73" s="43">
        <f>COUNTIFS(Master!$C$2:$C$918,$B73,Master!$D$2:$D$918,$C73,Master!$G$2:$G$918,"Core")</f>
        <v/>
      </c>
      <c r="F73" s="43">
        <f>COUNTIFS(Master!$C$2:$C$918,$B73,Master!$D$2:$D$918,$C73,Master!$J$2:$J$918,"Solved")+COUNTIFS(Master!$C$2:$C$918,$B73,Master!$D$2:$D$918,$C73,Master!$J$2:$J$918,"Mastered")</f>
        <v/>
      </c>
      <c r="G73" s="56">
        <f>IFERROR(AVERAGEIFS(Master!$K$2:$K$918,Master!$C$2:$C$918,$B73,Master!$D$2:$D$918,$C73,Master!$K$2:$K$918,"&gt;0"),"")</f>
        <v/>
      </c>
      <c r="H73" s="46">
        <f>IF($F73=0,"Untouched",IF($G73="","No rating",IF($G73&lt;=3,"Weak","Solid")))</f>
        <v/>
      </c>
    </row>
    <row r="74" ht="15" customHeight="1" s="32">
      <c r="B74" s="42" t="inlineStr">
        <is>
          <t>12. Linked List</t>
        </is>
      </c>
      <c r="C74" s="42" t="inlineStr">
        <is>
          <t>Deletion</t>
        </is>
      </c>
      <c r="D74" s="43">
        <f>COUNTIFS(Master!$C$2:$C$918,$B74,Master!$D$2:$D$918,$C74)</f>
        <v/>
      </c>
      <c r="E74" s="43">
        <f>COUNTIFS(Master!$C$2:$C$918,$B74,Master!$D$2:$D$918,$C74,Master!$G$2:$G$918,"Core")</f>
        <v/>
      </c>
      <c r="F74" s="43">
        <f>COUNTIFS(Master!$C$2:$C$918,$B74,Master!$D$2:$D$918,$C74,Master!$J$2:$J$918,"Solved")+COUNTIFS(Master!$C$2:$C$918,$B74,Master!$D$2:$D$918,$C74,Master!$J$2:$J$918,"Mastered")</f>
        <v/>
      </c>
      <c r="G74" s="56">
        <f>IFERROR(AVERAGEIFS(Master!$K$2:$K$918,Master!$C$2:$C$918,$B74,Master!$D$2:$D$918,$C74,Master!$K$2:$K$918,"&gt;0"),"")</f>
        <v/>
      </c>
      <c r="H74" s="46">
        <f>IF($F74=0,"Untouched",IF($G74="","No rating",IF($G74&lt;=3,"Weak","Solid")))</f>
        <v/>
      </c>
    </row>
    <row r="75" ht="15" customHeight="1" s="32">
      <c r="B75" s="42" t="inlineStr">
        <is>
          <t>12. Linked List</t>
        </is>
      </c>
      <c r="C75" s="42" t="inlineStr">
        <is>
          <t>Merging</t>
        </is>
      </c>
      <c r="D75" s="43">
        <f>COUNTIFS(Master!$C$2:$C$918,$B75,Master!$D$2:$D$918,$C75)</f>
        <v/>
      </c>
      <c r="E75" s="43">
        <f>COUNTIFS(Master!$C$2:$C$918,$B75,Master!$D$2:$D$918,$C75,Master!$G$2:$G$918,"Core")</f>
        <v/>
      </c>
      <c r="F75" s="43">
        <f>COUNTIFS(Master!$C$2:$C$918,$B75,Master!$D$2:$D$918,$C75,Master!$J$2:$J$918,"Solved")+COUNTIFS(Master!$C$2:$C$918,$B75,Master!$D$2:$D$918,$C75,Master!$J$2:$J$918,"Mastered")</f>
        <v/>
      </c>
      <c r="G75" s="56">
        <f>IFERROR(AVERAGEIFS(Master!$K$2:$K$918,Master!$C$2:$C$918,$B75,Master!$D$2:$D$918,$C75,Master!$K$2:$K$918,"&gt;0"),"")</f>
        <v/>
      </c>
      <c r="H75" s="46">
        <f>IF($F75=0,"Untouched",IF($G75="","No rating",IF($G75&lt;=3,"Weak","Solid")))</f>
        <v/>
      </c>
    </row>
    <row r="76" ht="15" customHeight="1" s="32">
      <c r="B76" s="42" t="inlineStr">
        <is>
          <t>12. Linked List</t>
        </is>
      </c>
      <c r="C76" s="42" t="inlineStr">
        <is>
          <t>Rearrangement</t>
        </is>
      </c>
      <c r="D76" s="43">
        <f>COUNTIFS(Master!$C$2:$C$918,$B76,Master!$D$2:$D$918,$C76)</f>
        <v/>
      </c>
      <c r="E76" s="43">
        <f>COUNTIFS(Master!$C$2:$C$918,$B76,Master!$D$2:$D$918,$C76,Master!$G$2:$G$918,"Core")</f>
        <v/>
      </c>
      <c r="F76" s="43">
        <f>COUNTIFS(Master!$C$2:$C$918,$B76,Master!$D$2:$D$918,$C76,Master!$J$2:$J$918,"Solved")+COUNTIFS(Master!$C$2:$C$918,$B76,Master!$D$2:$D$918,$C76,Master!$J$2:$J$918,"Mastered")</f>
        <v/>
      </c>
      <c r="G76" s="56">
        <f>IFERROR(AVERAGEIFS(Master!$K$2:$K$918,Master!$C$2:$C$918,$B76,Master!$D$2:$D$918,$C76,Master!$K$2:$K$918,"&gt;0"),"")</f>
        <v/>
      </c>
      <c r="H76" s="46">
        <f>IF($F76=0,"Untouched",IF($G76="","No rating",IF($G76&lt;=3,"Weak","Solid")))</f>
        <v/>
      </c>
    </row>
    <row r="77" ht="15" customHeight="1" s="32">
      <c r="B77" s="42" t="inlineStr">
        <is>
          <t>12. Linked List</t>
        </is>
      </c>
      <c r="C77" s="42" t="inlineStr">
        <is>
          <t>Arithmetic</t>
        </is>
      </c>
      <c r="D77" s="43">
        <f>COUNTIFS(Master!$C$2:$C$918,$B77,Master!$D$2:$D$918,$C77)</f>
        <v/>
      </c>
      <c r="E77" s="43">
        <f>COUNTIFS(Master!$C$2:$C$918,$B77,Master!$D$2:$D$918,$C77,Master!$G$2:$G$918,"Core")</f>
        <v/>
      </c>
      <c r="F77" s="43">
        <f>COUNTIFS(Master!$C$2:$C$918,$B77,Master!$D$2:$D$918,$C77,Master!$J$2:$J$918,"Solved")+COUNTIFS(Master!$C$2:$C$918,$B77,Master!$D$2:$D$918,$C77,Master!$J$2:$J$918,"Mastered")</f>
        <v/>
      </c>
      <c r="G77" s="56">
        <f>IFERROR(AVERAGEIFS(Master!$K$2:$K$918,Master!$C$2:$C$918,$B77,Master!$D$2:$D$918,$C77,Master!$K$2:$K$918,"&gt;0"),"")</f>
        <v/>
      </c>
      <c r="H77" s="46">
        <f>IF($F77=0,"Untouched",IF($G77="","No rating",IF($G77&lt;=3,"Weak","Solid")))</f>
        <v/>
      </c>
    </row>
    <row r="78" ht="15" customHeight="1" s="32">
      <c r="B78" s="42" t="inlineStr">
        <is>
          <t>12. Linked List</t>
        </is>
      </c>
      <c r="C78" s="42" t="inlineStr">
        <is>
          <t>Pointers</t>
        </is>
      </c>
      <c r="D78" s="43">
        <f>COUNTIFS(Master!$C$2:$C$918,$B78,Master!$D$2:$D$918,$C78)</f>
        <v/>
      </c>
      <c r="E78" s="43">
        <f>COUNTIFS(Master!$C$2:$C$918,$B78,Master!$D$2:$D$918,$C78,Master!$G$2:$G$918,"Core")</f>
        <v/>
      </c>
      <c r="F78" s="43">
        <f>COUNTIFS(Master!$C$2:$C$918,$B78,Master!$D$2:$D$918,$C78,Master!$J$2:$J$918,"Solved")+COUNTIFS(Master!$C$2:$C$918,$B78,Master!$D$2:$D$918,$C78,Master!$J$2:$J$918,"Mastered")</f>
        <v/>
      </c>
      <c r="G78" s="56">
        <f>IFERROR(AVERAGEIFS(Master!$K$2:$K$918,Master!$C$2:$C$918,$B78,Master!$D$2:$D$918,$C78,Master!$K$2:$K$918,"&gt;0"),"")</f>
        <v/>
      </c>
      <c r="H78" s="46">
        <f>IF($F78=0,"Untouched",IF($G78="","No rating",IF($G78&lt;=3,"Weak","Solid")))</f>
        <v/>
      </c>
    </row>
    <row r="79" ht="15" customHeight="1" s="32">
      <c r="B79" s="42" t="inlineStr">
        <is>
          <t>12. Linked List</t>
        </is>
      </c>
      <c r="C79" s="42" t="inlineStr">
        <is>
          <t>Design</t>
        </is>
      </c>
      <c r="D79" s="43">
        <f>COUNTIFS(Master!$C$2:$C$918,$B79,Master!$D$2:$D$918,$C79)</f>
        <v/>
      </c>
      <c r="E79" s="43">
        <f>COUNTIFS(Master!$C$2:$C$918,$B79,Master!$D$2:$D$918,$C79,Master!$G$2:$G$918,"Core")</f>
        <v/>
      </c>
      <c r="F79" s="43">
        <f>COUNTIFS(Master!$C$2:$C$918,$B79,Master!$D$2:$D$918,$C79,Master!$J$2:$J$918,"Solved")+COUNTIFS(Master!$C$2:$C$918,$B79,Master!$D$2:$D$918,$C79,Master!$J$2:$J$918,"Mastered")</f>
        <v/>
      </c>
      <c r="G79" s="56">
        <f>IFERROR(AVERAGEIFS(Master!$K$2:$K$918,Master!$C$2:$C$918,$B79,Master!$D$2:$D$918,$C79,Master!$K$2:$K$918,"&gt;0"),"")</f>
        <v/>
      </c>
      <c r="H79" s="46">
        <f>IF($F79=0,"Untouched",IF($G79="","No rating",IF($G79&lt;=3,"Weak","Solid")))</f>
        <v/>
      </c>
    </row>
    <row r="80" ht="15" customHeight="1" s="32">
      <c r="B80" s="42" t="inlineStr">
        <is>
          <t>13. Stack &amp; Queue</t>
        </is>
      </c>
      <c r="C80" s="42" t="inlineStr">
        <is>
          <t>Parentheses</t>
        </is>
      </c>
      <c r="D80" s="43">
        <f>COUNTIFS(Master!$C$2:$C$918,$B80,Master!$D$2:$D$918,$C80)</f>
        <v/>
      </c>
      <c r="E80" s="43">
        <f>COUNTIFS(Master!$C$2:$C$918,$B80,Master!$D$2:$D$918,$C80,Master!$G$2:$G$918,"Core")</f>
        <v/>
      </c>
      <c r="F80" s="43">
        <f>COUNTIFS(Master!$C$2:$C$918,$B80,Master!$D$2:$D$918,$C80,Master!$J$2:$J$918,"Solved")+COUNTIFS(Master!$C$2:$C$918,$B80,Master!$D$2:$D$918,$C80,Master!$J$2:$J$918,"Mastered")</f>
        <v/>
      </c>
      <c r="G80" s="56">
        <f>IFERROR(AVERAGEIFS(Master!$K$2:$K$918,Master!$C$2:$C$918,$B80,Master!$D$2:$D$918,$C80,Master!$K$2:$K$918,"&gt;0"),"")</f>
        <v/>
      </c>
      <c r="H80" s="46">
        <f>IF($F80=0,"Untouched",IF($G80="","No rating",IF($G80&lt;=3,"Weak","Solid")))</f>
        <v/>
      </c>
    </row>
    <row r="81" ht="15" customHeight="1" s="32">
      <c r="B81" s="42" t="inlineStr">
        <is>
          <t>13. Stack &amp; Queue</t>
        </is>
      </c>
      <c r="C81" s="42" t="inlineStr">
        <is>
          <t>Design</t>
        </is>
      </c>
      <c r="D81" s="43">
        <f>COUNTIFS(Master!$C$2:$C$918,$B81,Master!$D$2:$D$918,$C81)</f>
        <v/>
      </c>
      <c r="E81" s="43">
        <f>COUNTIFS(Master!$C$2:$C$918,$B81,Master!$D$2:$D$918,$C81,Master!$G$2:$G$918,"Core")</f>
        <v/>
      </c>
      <c r="F81" s="43">
        <f>COUNTIFS(Master!$C$2:$C$918,$B81,Master!$D$2:$D$918,$C81,Master!$J$2:$J$918,"Solved")+COUNTIFS(Master!$C$2:$C$918,$B81,Master!$D$2:$D$918,$C81,Master!$J$2:$J$918,"Mastered")</f>
        <v/>
      </c>
      <c r="G81" s="56">
        <f>IFERROR(AVERAGEIFS(Master!$K$2:$K$918,Master!$C$2:$C$918,$B81,Master!$D$2:$D$918,$C81,Master!$K$2:$K$918,"&gt;0"),"")</f>
        <v/>
      </c>
      <c r="H81" s="46">
        <f>IF($F81=0,"Untouched",IF($G81="","No rating",IF($G81&lt;=3,"Weak","Solid")))</f>
        <v/>
      </c>
    </row>
    <row r="82" ht="15" customHeight="1" s="32">
      <c r="B82" s="42" t="inlineStr">
        <is>
          <t>13. Stack &amp; Queue</t>
        </is>
      </c>
      <c r="C82" s="42" t="inlineStr">
        <is>
          <t>Simulation</t>
        </is>
      </c>
      <c r="D82" s="43">
        <f>COUNTIFS(Master!$C$2:$C$918,$B82,Master!$D$2:$D$918,$C82)</f>
        <v/>
      </c>
      <c r="E82" s="43">
        <f>COUNTIFS(Master!$C$2:$C$918,$B82,Master!$D$2:$D$918,$C82,Master!$G$2:$G$918,"Core")</f>
        <v/>
      </c>
      <c r="F82" s="43">
        <f>COUNTIFS(Master!$C$2:$C$918,$B82,Master!$D$2:$D$918,$C82,Master!$J$2:$J$918,"Solved")+COUNTIFS(Master!$C$2:$C$918,$B82,Master!$D$2:$D$918,$C82,Master!$J$2:$J$918,"Mastered")</f>
        <v/>
      </c>
      <c r="G82" s="56">
        <f>IFERROR(AVERAGEIFS(Master!$K$2:$K$918,Master!$C$2:$C$918,$B82,Master!$D$2:$D$918,$C82,Master!$K$2:$K$918,"&gt;0"),"")</f>
        <v/>
      </c>
      <c r="H82" s="46">
        <f>IF($F82=0,"Untouched",IF($G82="","No rating",IF($G82&lt;=3,"Weak","Solid")))</f>
        <v/>
      </c>
    </row>
    <row r="83" ht="15" customHeight="1" s="32">
      <c r="B83" s="42" t="inlineStr">
        <is>
          <t>13. Stack &amp; Queue</t>
        </is>
      </c>
      <c r="C83" s="42" t="inlineStr">
        <is>
          <t>Expression</t>
        </is>
      </c>
      <c r="D83" s="43">
        <f>COUNTIFS(Master!$C$2:$C$918,$B83,Master!$D$2:$D$918,$C83)</f>
        <v/>
      </c>
      <c r="E83" s="43">
        <f>COUNTIFS(Master!$C$2:$C$918,$B83,Master!$D$2:$D$918,$C83,Master!$G$2:$G$918,"Core")</f>
        <v/>
      </c>
      <c r="F83" s="43">
        <f>COUNTIFS(Master!$C$2:$C$918,$B83,Master!$D$2:$D$918,$C83,Master!$J$2:$J$918,"Solved")+COUNTIFS(Master!$C$2:$C$918,$B83,Master!$D$2:$D$918,$C83,Master!$J$2:$J$918,"Mastered")</f>
        <v/>
      </c>
      <c r="G83" s="56">
        <f>IFERROR(AVERAGEIFS(Master!$K$2:$K$918,Master!$C$2:$C$918,$B83,Master!$D$2:$D$918,$C83,Master!$K$2:$K$918,"&gt;0"),"")</f>
        <v/>
      </c>
      <c r="H83" s="46">
        <f>IF($F83=0,"Untouched",IF($G83="","No rating",IF($G83&lt;=3,"Weak","Solid")))</f>
        <v/>
      </c>
    </row>
    <row r="84" ht="15" customHeight="1" s="32">
      <c r="B84" s="42" t="inlineStr">
        <is>
          <t>13. Stack &amp; Queue</t>
        </is>
      </c>
      <c r="C84" s="42" t="inlineStr">
        <is>
          <t>Monotonic stack</t>
        </is>
      </c>
      <c r="D84" s="43">
        <f>COUNTIFS(Master!$C$2:$C$918,$B84,Master!$D$2:$D$918,$C84)</f>
        <v/>
      </c>
      <c r="E84" s="43">
        <f>COUNTIFS(Master!$C$2:$C$918,$B84,Master!$D$2:$D$918,$C84,Master!$G$2:$G$918,"Core")</f>
        <v/>
      </c>
      <c r="F84" s="43">
        <f>COUNTIFS(Master!$C$2:$C$918,$B84,Master!$D$2:$D$918,$C84,Master!$J$2:$J$918,"Solved")+COUNTIFS(Master!$C$2:$C$918,$B84,Master!$D$2:$D$918,$C84,Master!$J$2:$J$918,"Mastered")</f>
        <v/>
      </c>
      <c r="G84" s="56">
        <f>IFERROR(AVERAGEIFS(Master!$K$2:$K$918,Master!$C$2:$C$918,$B84,Master!$D$2:$D$918,$C84,Master!$K$2:$K$918,"&gt;0"),"")</f>
        <v/>
      </c>
      <c r="H84" s="46">
        <f>IF($F84=0,"Untouched",IF($G84="","No rating",IF($G84&lt;=3,"Weak","Solid")))</f>
        <v/>
      </c>
    </row>
    <row r="85" ht="15" customHeight="1" s="32">
      <c r="B85" s="42" t="inlineStr">
        <is>
          <t>13. Stack &amp; Queue</t>
        </is>
      </c>
      <c r="C85" s="42" t="inlineStr">
        <is>
          <t>Monotonic deque</t>
        </is>
      </c>
      <c r="D85" s="43">
        <f>COUNTIFS(Master!$C$2:$C$918,$B85,Master!$D$2:$D$918,$C85)</f>
        <v/>
      </c>
      <c r="E85" s="43">
        <f>COUNTIFS(Master!$C$2:$C$918,$B85,Master!$D$2:$D$918,$C85,Master!$G$2:$G$918,"Core")</f>
        <v/>
      </c>
      <c r="F85" s="43">
        <f>COUNTIFS(Master!$C$2:$C$918,$B85,Master!$D$2:$D$918,$C85,Master!$J$2:$J$918,"Solved")+COUNTIFS(Master!$C$2:$C$918,$B85,Master!$D$2:$D$918,$C85,Master!$J$2:$J$918,"Mastered")</f>
        <v/>
      </c>
      <c r="G85" s="56">
        <f>IFERROR(AVERAGEIFS(Master!$K$2:$K$918,Master!$C$2:$C$918,$B85,Master!$D$2:$D$918,$C85,Master!$K$2:$K$918,"&gt;0"),"")</f>
        <v/>
      </c>
      <c r="H85" s="46">
        <f>IF($F85=0,"Untouched",IF($G85="","No rating",IF($G85&lt;=3,"Weak","Solid")))</f>
        <v/>
      </c>
    </row>
    <row r="86" ht="15" customHeight="1" s="32">
      <c r="B86" s="42" t="inlineStr">
        <is>
          <t>14. Heap &amp; Priority Queue</t>
        </is>
      </c>
      <c r="C86" s="42" t="inlineStr">
        <is>
          <t>Kth element</t>
        </is>
      </c>
      <c r="D86" s="43">
        <f>COUNTIFS(Master!$C$2:$C$918,$B86,Master!$D$2:$D$918,$C86)</f>
        <v/>
      </c>
      <c r="E86" s="43">
        <f>COUNTIFS(Master!$C$2:$C$918,$B86,Master!$D$2:$D$918,$C86,Master!$G$2:$G$918,"Core")</f>
        <v/>
      </c>
      <c r="F86" s="43">
        <f>COUNTIFS(Master!$C$2:$C$918,$B86,Master!$D$2:$D$918,$C86,Master!$J$2:$J$918,"Solved")+COUNTIFS(Master!$C$2:$C$918,$B86,Master!$D$2:$D$918,$C86,Master!$J$2:$J$918,"Mastered")</f>
        <v/>
      </c>
      <c r="G86" s="56">
        <f>IFERROR(AVERAGEIFS(Master!$K$2:$K$918,Master!$C$2:$C$918,$B86,Master!$D$2:$D$918,$C86,Master!$K$2:$K$918,"&gt;0"),"")</f>
        <v/>
      </c>
      <c r="H86" s="46">
        <f>IF($F86=0,"Untouched",IF($G86="","No rating",IF($G86&lt;=3,"Weak","Solid")))</f>
        <v/>
      </c>
    </row>
    <row r="87" ht="15" customHeight="1" s="32">
      <c r="B87" s="42" t="inlineStr">
        <is>
          <t>14. Heap &amp; Priority Queue</t>
        </is>
      </c>
      <c r="C87" s="42" t="inlineStr">
        <is>
          <t>Top K</t>
        </is>
      </c>
      <c r="D87" s="43">
        <f>COUNTIFS(Master!$C$2:$C$918,$B87,Master!$D$2:$D$918,$C87)</f>
        <v/>
      </c>
      <c r="E87" s="43">
        <f>COUNTIFS(Master!$C$2:$C$918,$B87,Master!$D$2:$D$918,$C87,Master!$G$2:$G$918,"Core")</f>
        <v/>
      </c>
      <c r="F87" s="43">
        <f>COUNTIFS(Master!$C$2:$C$918,$B87,Master!$D$2:$D$918,$C87,Master!$J$2:$J$918,"Solved")+COUNTIFS(Master!$C$2:$C$918,$B87,Master!$D$2:$D$918,$C87,Master!$J$2:$J$918,"Mastered")</f>
        <v/>
      </c>
      <c r="G87" s="56">
        <f>IFERROR(AVERAGEIFS(Master!$K$2:$K$918,Master!$C$2:$C$918,$B87,Master!$D$2:$D$918,$C87,Master!$K$2:$K$918,"&gt;0"),"")</f>
        <v/>
      </c>
      <c r="H87" s="46">
        <f>IF($F87=0,"Untouched",IF($G87="","No rating",IF($G87&lt;=3,"Weak","Solid")))</f>
        <v/>
      </c>
    </row>
    <row r="88" ht="15" customHeight="1" s="32">
      <c r="B88" s="42" t="inlineStr">
        <is>
          <t>14. Heap &amp; Priority Queue</t>
        </is>
      </c>
      <c r="C88" s="42" t="inlineStr">
        <is>
          <t>K-way merge</t>
        </is>
      </c>
      <c r="D88" s="43">
        <f>COUNTIFS(Master!$C$2:$C$918,$B88,Master!$D$2:$D$918,$C88)</f>
        <v/>
      </c>
      <c r="E88" s="43">
        <f>COUNTIFS(Master!$C$2:$C$918,$B88,Master!$D$2:$D$918,$C88,Master!$G$2:$G$918,"Core")</f>
        <v/>
      </c>
      <c r="F88" s="43">
        <f>COUNTIFS(Master!$C$2:$C$918,$B88,Master!$D$2:$D$918,$C88,Master!$J$2:$J$918,"Solved")+COUNTIFS(Master!$C$2:$C$918,$B88,Master!$D$2:$D$918,$C88,Master!$J$2:$J$918,"Mastered")</f>
        <v/>
      </c>
      <c r="G88" s="56">
        <f>IFERROR(AVERAGEIFS(Master!$K$2:$K$918,Master!$C$2:$C$918,$B88,Master!$D$2:$D$918,$C88,Master!$K$2:$K$918,"&gt;0"),"")</f>
        <v/>
      </c>
      <c r="H88" s="46">
        <f>IF($F88=0,"Untouched",IF($G88="","No rating",IF($G88&lt;=3,"Weak","Solid")))</f>
        <v/>
      </c>
    </row>
    <row r="89" ht="15" customHeight="1" s="32">
      <c r="B89" s="42" t="inlineStr">
        <is>
          <t>14. Heap &amp; Priority Queue</t>
        </is>
      </c>
      <c r="C89" s="42" t="inlineStr">
        <is>
          <t>Two heaps</t>
        </is>
      </c>
      <c r="D89" s="43">
        <f>COUNTIFS(Master!$C$2:$C$918,$B89,Master!$D$2:$D$918,$C89)</f>
        <v/>
      </c>
      <c r="E89" s="43">
        <f>COUNTIFS(Master!$C$2:$C$918,$B89,Master!$D$2:$D$918,$C89,Master!$G$2:$G$918,"Core")</f>
        <v/>
      </c>
      <c r="F89" s="43">
        <f>COUNTIFS(Master!$C$2:$C$918,$B89,Master!$D$2:$D$918,$C89,Master!$J$2:$J$918,"Solved")+COUNTIFS(Master!$C$2:$C$918,$B89,Master!$D$2:$D$918,$C89,Master!$J$2:$J$918,"Mastered")</f>
        <v/>
      </c>
      <c r="G89" s="56">
        <f>IFERROR(AVERAGEIFS(Master!$K$2:$K$918,Master!$C$2:$C$918,$B89,Master!$D$2:$D$918,$C89,Master!$K$2:$K$918,"&gt;0"),"")</f>
        <v/>
      </c>
      <c r="H89" s="46">
        <f>IF($F89=0,"Untouched",IF($G89="","No rating",IF($G89&lt;=3,"Weak","Solid")))</f>
        <v/>
      </c>
    </row>
    <row r="90" ht="15" customHeight="1" s="32">
      <c r="B90" s="42" t="inlineStr">
        <is>
          <t>14. Heap &amp; Priority Queue</t>
        </is>
      </c>
      <c r="C90" s="42" t="inlineStr">
        <is>
          <t>Greedy + heap</t>
        </is>
      </c>
      <c r="D90" s="43">
        <f>COUNTIFS(Master!$C$2:$C$918,$B90,Master!$D$2:$D$918,$C90)</f>
        <v/>
      </c>
      <c r="E90" s="43">
        <f>COUNTIFS(Master!$C$2:$C$918,$B90,Master!$D$2:$D$918,$C90,Master!$G$2:$G$918,"Core")</f>
        <v/>
      </c>
      <c r="F90" s="43">
        <f>COUNTIFS(Master!$C$2:$C$918,$B90,Master!$D$2:$D$918,$C90,Master!$J$2:$J$918,"Solved")+COUNTIFS(Master!$C$2:$C$918,$B90,Master!$D$2:$D$918,$C90,Master!$J$2:$J$918,"Mastered")</f>
        <v/>
      </c>
      <c r="G90" s="56">
        <f>IFERROR(AVERAGEIFS(Master!$K$2:$K$918,Master!$C$2:$C$918,$B90,Master!$D$2:$D$918,$C90,Master!$K$2:$K$918,"&gt;0"),"")</f>
        <v/>
      </c>
      <c r="H90" s="46">
        <f>IF($F90=0,"Untouched",IF($G90="","No rating",IF($G90&lt;=3,"Weak","Solid")))</f>
        <v/>
      </c>
    </row>
    <row r="91" ht="15" customHeight="1" s="32">
      <c r="B91" s="42" t="inlineStr">
        <is>
          <t>14. Heap &amp; Priority Queue</t>
        </is>
      </c>
      <c r="C91" s="42" t="inlineStr">
        <is>
          <t>Design</t>
        </is>
      </c>
      <c r="D91" s="43">
        <f>COUNTIFS(Master!$C$2:$C$918,$B91,Master!$D$2:$D$918,$C91)</f>
        <v/>
      </c>
      <c r="E91" s="43">
        <f>COUNTIFS(Master!$C$2:$C$918,$B91,Master!$D$2:$D$918,$C91,Master!$G$2:$G$918,"Core")</f>
        <v/>
      </c>
      <c r="F91" s="43">
        <f>COUNTIFS(Master!$C$2:$C$918,$B91,Master!$D$2:$D$918,$C91,Master!$J$2:$J$918,"Solved")+COUNTIFS(Master!$C$2:$C$918,$B91,Master!$D$2:$D$918,$C91,Master!$J$2:$J$918,"Mastered")</f>
        <v/>
      </c>
      <c r="G91" s="56">
        <f>IFERROR(AVERAGEIFS(Master!$K$2:$K$918,Master!$C$2:$C$918,$B91,Master!$D$2:$D$918,$C91,Master!$K$2:$K$918,"&gt;0"),"")</f>
        <v/>
      </c>
      <c r="H91" s="46">
        <f>IF($F91=0,"Untouched",IF($G91="","No rating",IF($G91&lt;=3,"Weak","Solid")))</f>
        <v/>
      </c>
    </row>
    <row r="92" ht="15" customHeight="1" s="32">
      <c r="B92" s="42" t="inlineStr">
        <is>
          <t>12. Linked List</t>
        </is>
      </c>
      <c r="C92" s="42" t="inlineStr">
        <is>
          <t>Sorting</t>
        </is>
      </c>
      <c r="D92" s="43">
        <f>COUNTIFS(Master!$C$2:$C$918,$B92,Master!$D$2:$D$918,$C92)</f>
        <v/>
      </c>
      <c r="E92" s="43">
        <f>COUNTIFS(Master!$C$2:$C$918,$B92,Master!$D$2:$D$918,$C92,Master!$G$2:$G$918,"Core")</f>
        <v/>
      </c>
      <c r="F92" s="43">
        <f>COUNTIFS(Master!$C$2:$C$918,$B92,Master!$D$2:$D$918,$C92,Master!$J$2:$J$918,"Solved")+COUNTIFS(Master!$C$2:$C$918,$B92,Master!$D$2:$D$918,$C92,Master!$J$2:$J$918,"Mastered")</f>
        <v/>
      </c>
      <c r="G92" s="56">
        <f>IFERROR(AVERAGEIFS(Master!$K$2:$K$918,Master!$C$2:$C$918,$B92,Master!$D$2:$D$918,$C92,Master!$K$2:$K$918,"&gt;0"),"")</f>
        <v/>
      </c>
      <c r="H92" s="46">
        <f>IF($F92=0,"Untouched",IF($G92="","No rating",IF($G92&lt;=3,"Weak","Solid")))</f>
        <v/>
      </c>
    </row>
    <row r="93" ht="15" customHeight="1" s="32">
      <c r="B93" s="42" t="inlineStr">
        <is>
          <t>15. Intervals</t>
        </is>
      </c>
      <c r="C93" s="42" t="inlineStr">
        <is>
          <t>Merging</t>
        </is>
      </c>
      <c r="D93" s="43">
        <f>COUNTIFS(Master!$C$2:$C$918,$B93,Master!$D$2:$D$918,$C93)</f>
        <v/>
      </c>
      <c r="E93" s="43">
        <f>COUNTIFS(Master!$C$2:$C$918,$B93,Master!$D$2:$D$918,$C93,Master!$G$2:$G$918,"Core")</f>
        <v/>
      </c>
      <c r="F93" s="43">
        <f>COUNTIFS(Master!$C$2:$C$918,$B93,Master!$D$2:$D$918,$C93,Master!$J$2:$J$918,"Solved")+COUNTIFS(Master!$C$2:$C$918,$B93,Master!$D$2:$D$918,$C93,Master!$J$2:$J$918,"Mastered")</f>
        <v/>
      </c>
      <c r="G93" s="56">
        <f>IFERROR(AVERAGEIFS(Master!$K$2:$K$918,Master!$C$2:$C$918,$B93,Master!$D$2:$D$918,$C93,Master!$K$2:$K$918,"&gt;0"),"")</f>
        <v/>
      </c>
      <c r="H93" s="46">
        <f>IF($F93=0,"Untouched",IF($G93="","No rating",IF($G93&lt;=3,"Weak","Solid")))</f>
        <v/>
      </c>
    </row>
    <row r="94" ht="15" customHeight="1" s="32">
      <c r="B94" s="42" t="inlineStr">
        <is>
          <t>15. Intervals</t>
        </is>
      </c>
      <c r="C94" s="42" t="inlineStr">
        <is>
          <t>Scheduling</t>
        </is>
      </c>
      <c r="D94" s="43">
        <f>COUNTIFS(Master!$C$2:$C$918,$B94,Master!$D$2:$D$918,$C94)</f>
        <v/>
      </c>
      <c r="E94" s="43">
        <f>COUNTIFS(Master!$C$2:$C$918,$B94,Master!$D$2:$D$918,$C94,Master!$G$2:$G$918,"Core")</f>
        <v/>
      </c>
      <c r="F94" s="43">
        <f>COUNTIFS(Master!$C$2:$C$918,$B94,Master!$D$2:$D$918,$C94,Master!$J$2:$J$918,"Solved")+COUNTIFS(Master!$C$2:$C$918,$B94,Master!$D$2:$D$918,$C94,Master!$J$2:$J$918,"Mastered")</f>
        <v/>
      </c>
      <c r="G94" s="56">
        <f>IFERROR(AVERAGEIFS(Master!$K$2:$K$918,Master!$C$2:$C$918,$B94,Master!$D$2:$D$918,$C94,Master!$K$2:$K$918,"&gt;0"),"")</f>
        <v/>
      </c>
      <c r="H94" s="46">
        <f>IF($F94=0,"Untouched",IF($G94="","No rating",IF($G94&lt;=3,"Weak","Solid")))</f>
        <v/>
      </c>
    </row>
    <row r="95" ht="15" customHeight="1" s="32">
      <c r="B95" s="42" t="inlineStr">
        <is>
          <t>15. Intervals</t>
        </is>
      </c>
      <c r="C95" s="42" t="inlineStr">
        <is>
          <t>Booking</t>
        </is>
      </c>
      <c r="D95" s="43">
        <f>COUNTIFS(Master!$C$2:$C$918,$B95,Master!$D$2:$D$918,$C95)</f>
        <v/>
      </c>
      <c r="E95" s="43">
        <f>COUNTIFS(Master!$C$2:$C$918,$B95,Master!$D$2:$D$918,$C95,Master!$G$2:$G$918,"Core")</f>
        <v/>
      </c>
      <c r="F95" s="43">
        <f>COUNTIFS(Master!$C$2:$C$918,$B95,Master!$D$2:$D$918,$C95,Master!$J$2:$J$918,"Solved")+COUNTIFS(Master!$C$2:$C$918,$B95,Master!$D$2:$D$918,$C95,Master!$J$2:$J$918,"Mastered")</f>
        <v/>
      </c>
      <c r="G95" s="56">
        <f>IFERROR(AVERAGEIFS(Master!$K$2:$K$918,Master!$C$2:$C$918,$B95,Master!$D$2:$D$918,$C95,Master!$K$2:$K$918,"&gt;0"),"")</f>
        <v/>
      </c>
      <c r="H95" s="46">
        <f>IF($F95=0,"Untouched",IF($G95="","No rating",IF($G95&lt;=3,"Weak","Solid")))</f>
        <v/>
      </c>
    </row>
    <row r="96" ht="15" customHeight="1" s="32">
      <c r="B96" s="42" t="inlineStr">
        <is>
          <t>16. Greedy</t>
        </is>
      </c>
      <c r="C96" s="42" t="inlineStr">
        <is>
          <t>Sort + pick</t>
        </is>
      </c>
      <c r="D96" s="43">
        <f>COUNTIFS(Master!$C$2:$C$918,$B96,Master!$D$2:$D$918,$C96)</f>
        <v/>
      </c>
      <c r="E96" s="43">
        <f>COUNTIFS(Master!$C$2:$C$918,$B96,Master!$D$2:$D$918,$C96,Master!$G$2:$G$918,"Core")</f>
        <v/>
      </c>
      <c r="F96" s="43">
        <f>COUNTIFS(Master!$C$2:$C$918,$B96,Master!$D$2:$D$918,$C96,Master!$J$2:$J$918,"Solved")+COUNTIFS(Master!$C$2:$C$918,$B96,Master!$D$2:$D$918,$C96,Master!$J$2:$J$918,"Mastered")</f>
        <v/>
      </c>
      <c r="G96" s="56">
        <f>IFERROR(AVERAGEIFS(Master!$K$2:$K$918,Master!$C$2:$C$918,$B96,Master!$D$2:$D$918,$C96,Master!$K$2:$K$918,"&gt;0"),"")</f>
        <v/>
      </c>
      <c r="H96" s="46">
        <f>IF($F96=0,"Untouched",IF($G96="","No rating",IF($G96&lt;=3,"Weak","Solid")))</f>
        <v/>
      </c>
    </row>
    <row r="97" ht="15" customHeight="1" s="32">
      <c r="B97" s="42" t="inlineStr">
        <is>
          <t>16. Greedy</t>
        </is>
      </c>
      <c r="C97" s="42" t="inlineStr">
        <is>
          <t>Classic greedy</t>
        </is>
      </c>
      <c r="D97" s="43">
        <f>COUNTIFS(Master!$C$2:$C$918,$B97,Master!$D$2:$D$918,$C97)</f>
        <v/>
      </c>
      <c r="E97" s="43">
        <f>COUNTIFS(Master!$C$2:$C$918,$B97,Master!$D$2:$D$918,$C97,Master!$G$2:$G$918,"Core")</f>
        <v/>
      </c>
      <c r="F97" s="43">
        <f>COUNTIFS(Master!$C$2:$C$918,$B97,Master!$D$2:$D$918,$C97,Master!$J$2:$J$918,"Solved")+COUNTIFS(Master!$C$2:$C$918,$B97,Master!$D$2:$D$918,$C97,Master!$J$2:$J$918,"Mastered")</f>
        <v/>
      </c>
      <c r="G97" s="56">
        <f>IFERROR(AVERAGEIFS(Master!$K$2:$K$918,Master!$C$2:$C$918,$B97,Master!$D$2:$D$918,$C97,Master!$K$2:$K$918,"&gt;0"),"")</f>
        <v/>
      </c>
      <c r="H97" s="46">
        <f>IF($F97=0,"Untouched",IF($G97="","No rating",IF($G97&lt;=3,"Weak","Solid")))</f>
        <v/>
      </c>
    </row>
    <row r="98" ht="15" customHeight="1" s="32">
      <c r="B98" s="42" t="inlineStr">
        <is>
          <t>16. Greedy</t>
        </is>
      </c>
      <c r="C98" s="42" t="inlineStr">
        <is>
          <t>Simulation</t>
        </is>
      </c>
      <c r="D98" s="43">
        <f>COUNTIFS(Master!$C$2:$C$918,$B98,Master!$D$2:$D$918,$C98)</f>
        <v/>
      </c>
      <c r="E98" s="43">
        <f>COUNTIFS(Master!$C$2:$C$918,$B98,Master!$D$2:$D$918,$C98,Master!$G$2:$G$918,"Core")</f>
        <v/>
      </c>
      <c r="F98" s="43">
        <f>COUNTIFS(Master!$C$2:$C$918,$B98,Master!$D$2:$D$918,$C98,Master!$J$2:$J$918,"Solved")+COUNTIFS(Master!$C$2:$C$918,$B98,Master!$D$2:$D$918,$C98,Master!$J$2:$J$918,"Mastered")</f>
        <v/>
      </c>
      <c r="G98" s="56">
        <f>IFERROR(AVERAGEIFS(Master!$K$2:$K$918,Master!$C$2:$C$918,$B98,Master!$D$2:$D$918,$C98,Master!$K$2:$K$918,"&gt;0"),"")</f>
        <v/>
      </c>
      <c r="H98" s="46">
        <f>IF($F98=0,"Untouched",IF($G98="","No rating",IF($G98&lt;=3,"Weak","Solid")))</f>
        <v/>
      </c>
    </row>
    <row r="99" ht="15" customHeight="1" s="32">
      <c r="B99" s="42" t="inlineStr">
        <is>
          <t>16. Greedy</t>
        </is>
      </c>
      <c r="C99" s="42" t="inlineStr">
        <is>
          <t>Prefix scan</t>
        </is>
      </c>
      <c r="D99" s="43">
        <f>COUNTIFS(Master!$C$2:$C$918,$B99,Master!$D$2:$D$918,$C99)</f>
        <v/>
      </c>
      <c r="E99" s="43">
        <f>COUNTIFS(Master!$C$2:$C$918,$B99,Master!$D$2:$D$918,$C99,Master!$G$2:$G$918,"Core")</f>
        <v/>
      </c>
      <c r="F99" s="43">
        <f>COUNTIFS(Master!$C$2:$C$918,$B99,Master!$D$2:$D$918,$C99,Master!$J$2:$J$918,"Solved")+COUNTIFS(Master!$C$2:$C$918,$B99,Master!$D$2:$D$918,$C99,Master!$J$2:$J$918,"Mastered")</f>
        <v/>
      </c>
      <c r="G99" s="56">
        <f>IFERROR(AVERAGEIFS(Master!$K$2:$K$918,Master!$C$2:$C$918,$B99,Master!$D$2:$D$918,$C99,Master!$K$2:$K$918,"&gt;0"),"")</f>
        <v/>
      </c>
      <c r="H99" s="46">
        <f>IF($F99=0,"Untouched",IF($G99="","No rating",IF($G99&lt;=3,"Weak","Solid")))</f>
        <v/>
      </c>
    </row>
    <row r="100" ht="15" customHeight="1" s="32">
      <c r="B100" s="42" t="inlineStr">
        <is>
          <t>16. Greedy</t>
        </is>
      </c>
      <c r="C100" s="42" t="inlineStr">
        <is>
          <t>Two pass</t>
        </is>
      </c>
      <c r="D100" s="43">
        <f>COUNTIFS(Master!$C$2:$C$918,$B100,Master!$D$2:$D$918,$C100)</f>
        <v/>
      </c>
      <c r="E100" s="43">
        <f>COUNTIFS(Master!$C$2:$C$918,$B100,Master!$D$2:$D$918,$C100,Master!$G$2:$G$918,"Core")</f>
        <v/>
      </c>
      <c r="F100" s="43">
        <f>COUNTIFS(Master!$C$2:$C$918,$B100,Master!$D$2:$D$918,$C100,Master!$J$2:$J$918,"Solved")+COUNTIFS(Master!$C$2:$C$918,$B100,Master!$D$2:$D$918,$C100,Master!$J$2:$J$918,"Mastered")</f>
        <v/>
      </c>
      <c r="G100" s="56">
        <f>IFERROR(AVERAGEIFS(Master!$K$2:$K$918,Master!$C$2:$C$918,$B100,Master!$D$2:$D$918,$C100,Master!$K$2:$K$918,"&gt;0"),"")</f>
        <v/>
      </c>
      <c r="H100" s="46">
        <f>IF($F100=0,"Untouched",IF($G100="","No rating",IF($G100&lt;=3,"Weak","Solid")))</f>
        <v/>
      </c>
    </row>
    <row r="101" ht="15" customHeight="1" s="32">
      <c r="B101" s="42" t="inlineStr">
        <is>
          <t>16. Greedy</t>
        </is>
      </c>
      <c r="C101" s="42" t="inlineStr">
        <is>
          <t>Validation</t>
        </is>
      </c>
      <c r="D101" s="43">
        <f>COUNTIFS(Master!$C$2:$C$918,$B101,Master!$D$2:$D$918,$C101)</f>
        <v/>
      </c>
      <c r="E101" s="43">
        <f>COUNTIFS(Master!$C$2:$C$918,$B101,Master!$D$2:$D$918,$C101,Master!$G$2:$G$918,"Core")</f>
        <v/>
      </c>
      <c r="F101" s="43">
        <f>COUNTIFS(Master!$C$2:$C$918,$B101,Master!$D$2:$D$918,$C101,Master!$J$2:$J$918,"Solved")+COUNTIFS(Master!$C$2:$C$918,$B101,Master!$D$2:$D$918,$C101,Master!$J$2:$J$918,"Mastered")</f>
        <v/>
      </c>
      <c r="G101" s="56">
        <f>IFERROR(AVERAGEIFS(Master!$K$2:$K$918,Master!$C$2:$C$918,$B101,Master!$D$2:$D$918,$C101,Master!$K$2:$K$918,"&gt;0"),"")</f>
        <v/>
      </c>
      <c r="H101" s="46">
        <f>IF($F101=0,"Untouched",IF($G101="","No rating",IF($G101&lt;=3,"Weak","Solid")))</f>
        <v/>
      </c>
    </row>
    <row r="102" ht="15" customHeight="1" s="32">
      <c r="B102" s="42" t="inlineStr">
        <is>
          <t>16. Greedy</t>
        </is>
      </c>
      <c r="C102" s="42" t="inlineStr">
        <is>
          <t>Reachability</t>
        </is>
      </c>
      <c r="D102" s="43">
        <f>COUNTIFS(Master!$C$2:$C$918,$B102,Master!$D$2:$D$918,$C102)</f>
        <v/>
      </c>
      <c r="E102" s="43">
        <f>COUNTIFS(Master!$C$2:$C$918,$B102,Master!$D$2:$D$918,$C102,Master!$G$2:$G$918,"Core")</f>
        <v/>
      </c>
      <c r="F102" s="43">
        <f>COUNTIFS(Master!$C$2:$C$918,$B102,Master!$D$2:$D$918,$C102,Master!$J$2:$J$918,"Solved")+COUNTIFS(Master!$C$2:$C$918,$B102,Master!$D$2:$D$918,$C102,Master!$J$2:$J$918,"Mastered")</f>
        <v/>
      </c>
      <c r="G102" s="56">
        <f>IFERROR(AVERAGEIFS(Master!$K$2:$K$918,Master!$C$2:$C$918,$B102,Master!$D$2:$D$918,$C102,Master!$K$2:$K$918,"&gt;0"),"")</f>
        <v/>
      </c>
      <c r="H102" s="46">
        <f>IF($F102=0,"Untouched",IF($G102="","No rating",IF($G102&lt;=3,"Weak","Solid")))</f>
        <v/>
      </c>
    </row>
    <row r="103" ht="15" customHeight="1" s="32">
      <c r="B103" s="42" t="inlineStr">
        <is>
          <t>16. Greedy</t>
        </is>
      </c>
      <c r="C103" s="42" t="inlineStr">
        <is>
          <t>Partitioning</t>
        </is>
      </c>
      <c r="D103" s="43">
        <f>COUNTIFS(Master!$C$2:$C$918,$B103,Master!$D$2:$D$918,$C103)</f>
        <v/>
      </c>
      <c r="E103" s="43">
        <f>COUNTIFS(Master!$C$2:$C$918,$B103,Master!$D$2:$D$918,$C103,Master!$G$2:$G$918,"Core")</f>
        <v/>
      </c>
      <c r="F103" s="43">
        <f>COUNTIFS(Master!$C$2:$C$918,$B103,Master!$D$2:$D$918,$C103,Master!$J$2:$J$918,"Solved")+COUNTIFS(Master!$C$2:$C$918,$B103,Master!$D$2:$D$918,$C103,Master!$J$2:$J$918,"Mastered")</f>
        <v/>
      </c>
      <c r="G103" s="56">
        <f>IFERROR(AVERAGEIFS(Master!$K$2:$K$918,Master!$C$2:$C$918,$B103,Master!$D$2:$D$918,$C103,Master!$K$2:$K$918,"&gt;0"),"")</f>
        <v/>
      </c>
      <c r="H103" s="46">
        <f>IF($F103=0,"Untouched",IF($G103="","No rating",IF($G103&lt;=3,"Weak","Solid")))</f>
        <v/>
      </c>
    </row>
    <row r="104" ht="15" customHeight="1" s="32">
      <c r="B104" s="42" t="inlineStr">
        <is>
          <t>16. Greedy</t>
        </is>
      </c>
      <c r="C104" s="42" t="inlineStr">
        <is>
          <t>Reconstruction</t>
        </is>
      </c>
      <c r="D104" s="43">
        <f>COUNTIFS(Master!$C$2:$C$918,$B104,Master!$D$2:$D$918,$C104)</f>
        <v/>
      </c>
      <c r="E104" s="43">
        <f>COUNTIFS(Master!$C$2:$C$918,$B104,Master!$D$2:$D$918,$C104,Master!$G$2:$G$918,"Core")</f>
        <v/>
      </c>
      <c r="F104" s="43">
        <f>COUNTIFS(Master!$C$2:$C$918,$B104,Master!$D$2:$D$918,$C104,Master!$J$2:$J$918,"Solved")+COUNTIFS(Master!$C$2:$C$918,$B104,Master!$D$2:$D$918,$C104,Master!$J$2:$J$918,"Mastered")</f>
        <v/>
      </c>
      <c r="G104" s="56">
        <f>IFERROR(AVERAGEIFS(Master!$K$2:$K$918,Master!$C$2:$C$918,$B104,Master!$D$2:$D$918,$C104,Master!$K$2:$K$918,"&gt;0"),"")</f>
        <v/>
      </c>
      <c r="H104" s="46">
        <f>IF($F104=0,"Untouched",IF($G104="","No rating",IF($G104&lt;=3,"Weak","Solid")))</f>
        <v/>
      </c>
    </row>
    <row r="105" ht="15" customHeight="1" s="32">
      <c r="B105" s="42" t="inlineStr">
        <is>
          <t>17. Backtracking</t>
        </is>
      </c>
      <c r="C105" s="42" t="inlineStr">
        <is>
          <t>Subsets</t>
        </is>
      </c>
      <c r="D105" s="43">
        <f>COUNTIFS(Master!$C$2:$C$918,$B105,Master!$D$2:$D$918,$C105)</f>
        <v/>
      </c>
      <c r="E105" s="43">
        <f>COUNTIFS(Master!$C$2:$C$918,$B105,Master!$D$2:$D$918,$C105,Master!$G$2:$G$918,"Core")</f>
        <v/>
      </c>
      <c r="F105" s="43">
        <f>COUNTIFS(Master!$C$2:$C$918,$B105,Master!$D$2:$D$918,$C105,Master!$J$2:$J$918,"Solved")+COUNTIFS(Master!$C$2:$C$918,$B105,Master!$D$2:$D$918,$C105,Master!$J$2:$J$918,"Mastered")</f>
        <v/>
      </c>
      <c r="G105" s="56">
        <f>IFERROR(AVERAGEIFS(Master!$K$2:$K$918,Master!$C$2:$C$918,$B105,Master!$D$2:$D$918,$C105,Master!$K$2:$K$918,"&gt;0"),"")</f>
        <v/>
      </c>
      <c r="H105" s="46">
        <f>IF($F105=0,"Untouched",IF($G105="","No rating",IF($G105&lt;=3,"Weak","Solid")))</f>
        <v/>
      </c>
    </row>
    <row r="106" ht="15" customHeight="1" s="32">
      <c r="B106" s="42" t="inlineStr">
        <is>
          <t>17. Backtracking</t>
        </is>
      </c>
      <c r="C106" s="42" t="inlineStr">
        <is>
          <t>Permutations</t>
        </is>
      </c>
      <c r="D106" s="43">
        <f>COUNTIFS(Master!$C$2:$C$918,$B106,Master!$D$2:$D$918,$C106)</f>
        <v/>
      </c>
      <c r="E106" s="43">
        <f>COUNTIFS(Master!$C$2:$C$918,$B106,Master!$D$2:$D$918,$C106,Master!$G$2:$G$918,"Core")</f>
        <v/>
      </c>
      <c r="F106" s="43">
        <f>COUNTIFS(Master!$C$2:$C$918,$B106,Master!$D$2:$D$918,$C106,Master!$J$2:$J$918,"Solved")+COUNTIFS(Master!$C$2:$C$918,$B106,Master!$D$2:$D$918,$C106,Master!$J$2:$J$918,"Mastered")</f>
        <v/>
      </c>
      <c r="G106" s="56">
        <f>IFERROR(AVERAGEIFS(Master!$K$2:$K$918,Master!$C$2:$C$918,$B106,Master!$D$2:$D$918,$C106,Master!$K$2:$K$918,"&gt;0"),"")</f>
        <v/>
      </c>
      <c r="H106" s="46">
        <f>IF($F106=0,"Untouched",IF($G106="","No rating",IF($G106&lt;=3,"Weak","Solid")))</f>
        <v/>
      </c>
    </row>
    <row r="107" ht="15" customHeight="1" s="32">
      <c r="B107" s="42" t="inlineStr">
        <is>
          <t>17. Backtracking</t>
        </is>
      </c>
      <c r="C107" s="42" t="inlineStr">
        <is>
          <t>Combinations</t>
        </is>
      </c>
      <c r="D107" s="43">
        <f>COUNTIFS(Master!$C$2:$C$918,$B107,Master!$D$2:$D$918,$C107)</f>
        <v/>
      </c>
      <c r="E107" s="43">
        <f>COUNTIFS(Master!$C$2:$C$918,$B107,Master!$D$2:$D$918,$C107,Master!$G$2:$G$918,"Core")</f>
        <v/>
      </c>
      <c r="F107" s="43">
        <f>COUNTIFS(Master!$C$2:$C$918,$B107,Master!$D$2:$D$918,$C107,Master!$J$2:$J$918,"Solved")+COUNTIFS(Master!$C$2:$C$918,$B107,Master!$D$2:$D$918,$C107,Master!$J$2:$J$918,"Mastered")</f>
        <v/>
      </c>
      <c r="G107" s="56">
        <f>IFERROR(AVERAGEIFS(Master!$K$2:$K$918,Master!$C$2:$C$918,$B107,Master!$D$2:$D$918,$C107,Master!$K$2:$K$918,"&gt;0"),"")</f>
        <v/>
      </c>
      <c r="H107" s="46">
        <f>IF($F107=0,"Untouched",IF($G107="","No rating",IF($G107&lt;=3,"Weak","Solid")))</f>
        <v/>
      </c>
    </row>
    <row r="108" ht="15" customHeight="1" s="32">
      <c r="B108" s="42" t="inlineStr">
        <is>
          <t>17. Backtracking</t>
        </is>
      </c>
      <c r="C108" s="42" t="inlineStr">
        <is>
          <t>String building</t>
        </is>
      </c>
      <c r="D108" s="43">
        <f>COUNTIFS(Master!$C$2:$C$918,$B108,Master!$D$2:$D$918,$C108)</f>
        <v/>
      </c>
      <c r="E108" s="43">
        <f>COUNTIFS(Master!$C$2:$C$918,$B108,Master!$D$2:$D$918,$C108,Master!$G$2:$G$918,"Core")</f>
        <v/>
      </c>
      <c r="F108" s="43">
        <f>COUNTIFS(Master!$C$2:$C$918,$B108,Master!$D$2:$D$918,$C108,Master!$J$2:$J$918,"Solved")+COUNTIFS(Master!$C$2:$C$918,$B108,Master!$D$2:$D$918,$C108,Master!$J$2:$J$918,"Mastered")</f>
        <v/>
      </c>
      <c r="G108" s="56">
        <f>IFERROR(AVERAGEIFS(Master!$K$2:$K$918,Master!$C$2:$C$918,$B108,Master!$D$2:$D$918,$C108,Master!$K$2:$K$918,"&gt;0"),"")</f>
        <v/>
      </c>
      <c r="H108" s="46">
        <f>IF($F108=0,"Untouched",IF($G108="","No rating",IF($G108&lt;=3,"Weak","Solid")))</f>
        <v/>
      </c>
    </row>
    <row r="109" ht="15" customHeight="1" s="32">
      <c r="B109" s="42" t="inlineStr">
        <is>
          <t>17. Backtracking</t>
        </is>
      </c>
      <c r="C109" s="42" t="inlineStr">
        <is>
          <t>String partition</t>
        </is>
      </c>
      <c r="D109" s="43">
        <f>COUNTIFS(Master!$C$2:$C$918,$B109,Master!$D$2:$D$918,$C109)</f>
        <v/>
      </c>
      <c r="E109" s="43">
        <f>COUNTIFS(Master!$C$2:$C$918,$B109,Master!$D$2:$D$918,$C109,Master!$G$2:$G$918,"Core")</f>
        <v/>
      </c>
      <c r="F109" s="43">
        <f>COUNTIFS(Master!$C$2:$C$918,$B109,Master!$D$2:$D$918,$C109,Master!$J$2:$J$918,"Solved")+COUNTIFS(Master!$C$2:$C$918,$B109,Master!$D$2:$D$918,$C109,Master!$J$2:$J$918,"Mastered")</f>
        <v/>
      </c>
      <c r="G109" s="56">
        <f>IFERROR(AVERAGEIFS(Master!$K$2:$K$918,Master!$C$2:$C$918,$B109,Master!$D$2:$D$918,$C109,Master!$K$2:$K$918,"&gt;0"),"")</f>
        <v/>
      </c>
      <c r="H109" s="46">
        <f>IF($F109=0,"Untouched",IF($G109="","No rating",IF($G109&lt;=3,"Weak","Solid")))</f>
        <v/>
      </c>
    </row>
    <row r="110" ht="15" customHeight="1" s="32">
      <c r="B110" s="42" t="inlineStr">
        <is>
          <t>17. Backtracking</t>
        </is>
      </c>
      <c r="C110" s="42" t="inlineStr">
        <is>
          <t>Grid backtracking</t>
        </is>
      </c>
      <c r="D110" s="43">
        <f>COUNTIFS(Master!$C$2:$C$918,$B110,Master!$D$2:$D$918,$C110)</f>
        <v/>
      </c>
      <c r="E110" s="43">
        <f>COUNTIFS(Master!$C$2:$C$918,$B110,Master!$D$2:$D$918,$C110,Master!$G$2:$G$918,"Core")</f>
        <v/>
      </c>
      <c r="F110" s="43">
        <f>COUNTIFS(Master!$C$2:$C$918,$B110,Master!$D$2:$D$918,$C110,Master!$J$2:$J$918,"Solved")+COUNTIFS(Master!$C$2:$C$918,$B110,Master!$D$2:$D$918,$C110,Master!$J$2:$J$918,"Mastered")</f>
        <v/>
      </c>
      <c r="G110" s="56">
        <f>IFERROR(AVERAGEIFS(Master!$K$2:$K$918,Master!$C$2:$C$918,$B110,Master!$D$2:$D$918,$C110,Master!$K$2:$K$918,"&gt;0"),"")</f>
        <v/>
      </c>
      <c r="H110" s="46">
        <f>IF($F110=0,"Untouched",IF($G110="","No rating",IF($G110&lt;=3,"Weak","Solid")))</f>
        <v/>
      </c>
    </row>
    <row r="111" ht="15" customHeight="1" s="32">
      <c r="B111" s="42" t="inlineStr">
        <is>
          <t>17. Backtracking</t>
        </is>
      </c>
      <c r="C111" s="42" t="inlineStr">
        <is>
          <t>Partition into K</t>
        </is>
      </c>
      <c r="D111" s="43">
        <f>COUNTIFS(Master!$C$2:$C$918,$B111,Master!$D$2:$D$918,$C111)</f>
        <v/>
      </c>
      <c r="E111" s="43">
        <f>COUNTIFS(Master!$C$2:$C$918,$B111,Master!$D$2:$D$918,$C111,Master!$G$2:$G$918,"Core")</f>
        <v/>
      </c>
      <c r="F111" s="43">
        <f>COUNTIFS(Master!$C$2:$C$918,$B111,Master!$D$2:$D$918,$C111,Master!$J$2:$J$918,"Solved")+COUNTIFS(Master!$C$2:$C$918,$B111,Master!$D$2:$D$918,$C111,Master!$J$2:$J$918,"Mastered")</f>
        <v/>
      </c>
      <c r="G111" s="56">
        <f>IFERROR(AVERAGEIFS(Master!$K$2:$K$918,Master!$C$2:$C$918,$B111,Master!$D$2:$D$918,$C111,Master!$K$2:$K$918,"&gt;0"),"")</f>
        <v/>
      </c>
      <c r="H111" s="46">
        <f>IF($F111=0,"Untouched",IF($G111="","No rating",IF($G111&lt;=3,"Weak","Solid")))</f>
        <v/>
      </c>
    </row>
    <row r="112" ht="15" customHeight="1" s="32">
      <c r="B112" s="42" t="inlineStr">
        <is>
          <t>17. Backtracking</t>
        </is>
      </c>
      <c r="C112" s="42" t="inlineStr">
        <is>
          <t>Counting</t>
        </is>
      </c>
      <c r="D112" s="43">
        <f>COUNTIFS(Master!$C$2:$C$918,$B112,Master!$D$2:$D$918,$C112)</f>
        <v/>
      </c>
      <c r="E112" s="43">
        <f>COUNTIFS(Master!$C$2:$C$918,$B112,Master!$D$2:$D$918,$C112,Master!$G$2:$G$918,"Core")</f>
        <v/>
      </c>
      <c r="F112" s="43">
        <f>COUNTIFS(Master!$C$2:$C$918,$B112,Master!$D$2:$D$918,$C112,Master!$J$2:$J$918,"Solved")+COUNTIFS(Master!$C$2:$C$918,$B112,Master!$D$2:$D$918,$C112,Master!$J$2:$J$918,"Mastered")</f>
        <v/>
      </c>
      <c r="G112" s="56">
        <f>IFERROR(AVERAGEIFS(Master!$K$2:$K$918,Master!$C$2:$C$918,$B112,Master!$D$2:$D$918,$C112,Master!$K$2:$K$918,"&gt;0"),"")</f>
        <v/>
      </c>
      <c r="H112" s="46">
        <f>IF($F112=0,"Untouched",IF($G112="","No rating",IF($G112&lt;=3,"Weak","Solid")))</f>
        <v/>
      </c>
    </row>
    <row r="113" ht="15" customHeight="1" s="32">
      <c r="B113" s="42" t="inlineStr">
        <is>
          <t>16. Greedy</t>
        </is>
      </c>
      <c r="C113" s="42" t="inlineStr">
        <is>
          <t>Interval greedy</t>
        </is>
      </c>
      <c r="D113" s="43">
        <f>COUNTIFS(Master!$C$2:$C$918,$B113,Master!$D$2:$D$918,$C113)</f>
        <v/>
      </c>
      <c r="E113" s="43">
        <f>COUNTIFS(Master!$C$2:$C$918,$B113,Master!$D$2:$D$918,$C113,Master!$G$2:$G$918,"Core")</f>
        <v/>
      </c>
      <c r="F113" s="43">
        <f>COUNTIFS(Master!$C$2:$C$918,$B113,Master!$D$2:$D$918,$C113,Master!$J$2:$J$918,"Solved")+COUNTIFS(Master!$C$2:$C$918,$B113,Master!$D$2:$D$918,$C113,Master!$J$2:$J$918,"Mastered")</f>
        <v/>
      </c>
      <c r="G113" s="56">
        <f>IFERROR(AVERAGEIFS(Master!$K$2:$K$918,Master!$C$2:$C$918,$B113,Master!$D$2:$D$918,$C113,Master!$K$2:$K$918,"&gt;0"),"")</f>
        <v/>
      </c>
      <c r="H113" s="46">
        <f>IF($F113=0,"Untouched",IF($G113="","No rating",IF($G113&lt;=3,"Weak","Solid")))</f>
        <v/>
      </c>
    </row>
    <row r="114" ht="15" customHeight="1" s="32">
      <c r="B114" s="42" t="inlineStr">
        <is>
          <t>17. Backtracking</t>
        </is>
      </c>
      <c r="C114" s="42" t="inlineStr">
        <is>
          <t>Expression</t>
        </is>
      </c>
      <c r="D114" s="43">
        <f>COUNTIFS(Master!$C$2:$C$918,$B114,Master!$D$2:$D$918,$C114)</f>
        <v/>
      </c>
      <c r="E114" s="43">
        <f>COUNTIFS(Master!$C$2:$C$918,$B114,Master!$D$2:$D$918,$C114,Master!$G$2:$G$918,"Core")</f>
        <v/>
      </c>
      <c r="F114" s="43">
        <f>COUNTIFS(Master!$C$2:$C$918,$B114,Master!$D$2:$D$918,$C114,Master!$J$2:$J$918,"Solved")+COUNTIFS(Master!$C$2:$C$918,$B114,Master!$D$2:$D$918,$C114,Master!$J$2:$J$918,"Mastered")</f>
        <v/>
      </c>
      <c r="G114" s="56">
        <f>IFERROR(AVERAGEIFS(Master!$K$2:$K$918,Master!$C$2:$C$918,$B114,Master!$D$2:$D$918,$C114,Master!$K$2:$K$918,"&gt;0"),"")</f>
        <v/>
      </c>
      <c r="H114" s="46">
        <f>IF($F114=0,"Untouched",IF($G114="","No rating",IF($G114&lt;=3,"Weak","Solid")))</f>
        <v/>
      </c>
    </row>
    <row r="115" ht="15" customHeight="1" s="32">
      <c r="B115" s="42" t="inlineStr">
        <is>
          <t>17. Backtracking</t>
        </is>
      </c>
      <c r="C115" s="42" t="inlineStr">
        <is>
          <t>Bitmask assignment</t>
        </is>
      </c>
      <c r="D115" s="43">
        <f>COUNTIFS(Master!$C$2:$C$918,$B115,Master!$D$2:$D$918,$C115)</f>
        <v/>
      </c>
      <c r="E115" s="43">
        <f>COUNTIFS(Master!$C$2:$C$918,$B115,Master!$D$2:$D$918,$C115,Master!$G$2:$G$918,"Core")</f>
        <v/>
      </c>
      <c r="F115" s="43">
        <f>COUNTIFS(Master!$C$2:$C$918,$B115,Master!$D$2:$D$918,$C115,Master!$J$2:$J$918,"Solved")+COUNTIFS(Master!$C$2:$C$918,$B115,Master!$D$2:$D$918,$C115,Master!$J$2:$J$918,"Mastered")</f>
        <v/>
      </c>
      <c r="G115" s="56">
        <f>IFERROR(AVERAGEIFS(Master!$K$2:$K$918,Master!$C$2:$C$918,$B115,Master!$D$2:$D$918,$C115,Master!$K$2:$K$918,"&gt;0"),"")</f>
        <v/>
      </c>
      <c r="H115" s="46">
        <f>IF($F115=0,"Untouched",IF($G115="","No rating",IF($G115&lt;=3,"Weak","Solid")))</f>
        <v/>
      </c>
    </row>
    <row r="116" ht="15" customHeight="1" s="32">
      <c r="B116" s="42" t="inlineStr">
        <is>
          <t>15. Intervals</t>
        </is>
      </c>
      <c r="C116" s="42" t="inlineStr">
        <is>
          <t>Streaming</t>
        </is>
      </c>
      <c r="D116" s="43">
        <f>COUNTIFS(Master!$C$2:$C$918,$B116,Master!$D$2:$D$918,$C116)</f>
        <v/>
      </c>
      <c r="E116" s="43">
        <f>COUNTIFS(Master!$C$2:$C$918,$B116,Master!$D$2:$D$918,$C116,Master!$G$2:$G$918,"Core")</f>
        <v/>
      </c>
      <c r="F116" s="43">
        <f>COUNTIFS(Master!$C$2:$C$918,$B116,Master!$D$2:$D$918,$C116,Master!$J$2:$J$918,"Solved")+COUNTIFS(Master!$C$2:$C$918,$B116,Master!$D$2:$D$918,$C116,Master!$J$2:$J$918,"Mastered")</f>
        <v/>
      </c>
      <c r="G116" s="56">
        <f>IFERROR(AVERAGEIFS(Master!$K$2:$K$918,Master!$C$2:$C$918,$B116,Master!$D$2:$D$918,$C116,Master!$K$2:$K$918,"&gt;0"),"")</f>
        <v/>
      </c>
      <c r="H116" s="46">
        <f>IF($F116=0,"Untouched",IF($G116="","No rating",IF($G116&lt;=3,"Weak","Solid")))</f>
        <v/>
      </c>
    </row>
    <row r="117" ht="15" customHeight="1" s="32">
      <c r="B117" s="42" t="inlineStr">
        <is>
          <t>17. Backtracking</t>
        </is>
      </c>
      <c r="C117" s="42" t="inlineStr">
        <is>
          <t>Greedy + backtracking</t>
        </is>
      </c>
      <c r="D117" s="43">
        <f>COUNTIFS(Master!$C$2:$C$918,$B117,Master!$D$2:$D$918,$C117)</f>
        <v/>
      </c>
      <c r="E117" s="43">
        <f>COUNTIFS(Master!$C$2:$C$918,$B117,Master!$D$2:$D$918,$C117,Master!$G$2:$G$918,"Core")</f>
        <v/>
      </c>
      <c r="F117" s="43">
        <f>COUNTIFS(Master!$C$2:$C$918,$B117,Master!$D$2:$D$918,$C117,Master!$J$2:$J$918,"Solved")+COUNTIFS(Master!$C$2:$C$918,$B117,Master!$D$2:$D$918,$C117,Master!$J$2:$J$918,"Mastered")</f>
        <v/>
      </c>
      <c r="G117" s="56">
        <f>IFERROR(AVERAGEIFS(Master!$K$2:$K$918,Master!$C$2:$C$918,$B117,Master!$D$2:$D$918,$C117,Master!$K$2:$K$918,"&gt;0"),"")</f>
        <v/>
      </c>
      <c r="H117" s="46">
        <f>IF($F117=0,"Untouched",IF($G117="","No rating",IF($G117&lt;=3,"Weak","Solid")))</f>
        <v/>
      </c>
    </row>
    <row r="118" ht="15" customHeight="1" s="32">
      <c r="B118" s="42" t="inlineStr">
        <is>
          <t>18. Trees &amp; BST</t>
        </is>
      </c>
      <c r="C118" s="42" t="inlineStr">
        <is>
          <t>Traversal</t>
        </is>
      </c>
      <c r="D118" s="43">
        <f>COUNTIFS(Master!$C$2:$C$918,$B118,Master!$D$2:$D$918,$C118)</f>
        <v/>
      </c>
      <c r="E118" s="43">
        <f>COUNTIFS(Master!$C$2:$C$918,$B118,Master!$D$2:$D$918,$C118,Master!$G$2:$G$918,"Core")</f>
        <v/>
      </c>
      <c r="F118" s="43">
        <f>COUNTIFS(Master!$C$2:$C$918,$B118,Master!$D$2:$D$918,$C118,Master!$J$2:$J$918,"Solved")+COUNTIFS(Master!$C$2:$C$918,$B118,Master!$D$2:$D$918,$C118,Master!$J$2:$J$918,"Mastered")</f>
        <v/>
      </c>
      <c r="G118" s="56">
        <f>IFERROR(AVERAGEIFS(Master!$K$2:$K$918,Master!$C$2:$C$918,$B118,Master!$D$2:$D$918,$C118,Master!$K$2:$K$918,"&gt;0"),"")</f>
        <v/>
      </c>
      <c r="H118" s="46">
        <f>IF($F118=0,"Untouched",IF($G118="","No rating",IF($G118&lt;=3,"Weak","Solid")))</f>
        <v/>
      </c>
    </row>
    <row r="119" ht="15" customHeight="1" s="32">
      <c r="B119" s="42" t="inlineStr">
        <is>
          <t>18. Trees &amp; BST</t>
        </is>
      </c>
      <c r="C119" s="42" t="inlineStr">
        <is>
          <t>Depth &amp; balance</t>
        </is>
      </c>
      <c r="D119" s="43">
        <f>COUNTIFS(Master!$C$2:$C$918,$B119,Master!$D$2:$D$918,$C119)</f>
        <v/>
      </c>
      <c r="E119" s="43">
        <f>COUNTIFS(Master!$C$2:$C$918,$B119,Master!$D$2:$D$918,$C119,Master!$G$2:$G$918,"Core")</f>
        <v/>
      </c>
      <c r="F119" s="43">
        <f>COUNTIFS(Master!$C$2:$C$918,$B119,Master!$D$2:$D$918,$C119,Master!$J$2:$J$918,"Solved")+COUNTIFS(Master!$C$2:$C$918,$B119,Master!$D$2:$D$918,$C119,Master!$J$2:$J$918,"Mastered")</f>
        <v/>
      </c>
      <c r="G119" s="56">
        <f>IFERROR(AVERAGEIFS(Master!$K$2:$K$918,Master!$C$2:$C$918,$B119,Master!$D$2:$D$918,$C119,Master!$K$2:$K$918,"&gt;0"),"")</f>
        <v/>
      </c>
      <c r="H119" s="46">
        <f>IF($F119=0,"Untouched",IF($G119="","No rating",IF($G119&lt;=3,"Weak","Solid")))</f>
        <v/>
      </c>
    </row>
    <row r="120" ht="15" customHeight="1" s="32">
      <c r="B120" s="42" t="inlineStr">
        <is>
          <t>18. Trees &amp; BST</t>
        </is>
      </c>
      <c r="C120" s="42" t="inlineStr">
        <is>
          <t>Structure</t>
        </is>
      </c>
      <c r="D120" s="43">
        <f>COUNTIFS(Master!$C$2:$C$918,$B120,Master!$D$2:$D$918,$C120)</f>
        <v/>
      </c>
      <c r="E120" s="43">
        <f>COUNTIFS(Master!$C$2:$C$918,$B120,Master!$D$2:$D$918,$C120,Master!$G$2:$G$918,"Core")</f>
        <v/>
      </c>
      <c r="F120" s="43">
        <f>COUNTIFS(Master!$C$2:$C$918,$B120,Master!$D$2:$D$918,$C120,Master!$J$2:$J$918,"Solved")+COUNTIFS(Master!$C$2:$C$918,$B120,Master!$D$2:$D$918,$C120,Master!$J$2:$J$918,"Mastered")</f>
        <v/>
      </c>
      <c r="G120" s="56">
        <f>IFERROR(AVERAGEIFS(Master!$K$2:$K$918,Master!$C$2:$C$918,$B120,Master!$D$2:$D$918,$C120,Master!$K$2:$K$918,"&gt;0"),"")</f>
        <v/>
      </c>
      <c r="H120" s="46">
        <f>IF($F120=0,"Untouched",IF($G120="","No rating",IF($G120&lt;=3,"Weak","Solid")))</f>
        <v/>
      </c>
    </row>
    <row r="121" ht="15" customHeight="1" s="32">
      <c r="B121" s="42" t="inlineStr">
        <is>
          <t>18. Trees &amp; BST</t>
        </is>
      </c>
      <c r="C121" s="42" t="inlineStr">
        <is>
          <t>BFS</t>
        </is>
      </c>
      <c r="D121" s="43">
        <f>COUNTIFS(Master!$C$2:$C$918,$B121,Master!$D$2:$D$918,$C121)</f>
        <v/>
      </c>
      <c r="E121" s="43">
        <f>COUNTIFS(Master!$C$2:$C$918,$B121,Master!$D$2:$D$918,$C121,Master!$G$2:$G$918,"Core")</f>
        <v/>
      </c>
      <c r="F121" s="43">
        <f>COUNTIFS(Master!$C$2:$C$918,$B121,Master!$D$2:$D$918,$C121,Master!$J$2:$J$918,"Solved")+COUNTIFS(Master!$C$2:$C$918,$B121,Master!$D$2:$D$918,$C121,Master!$J$2:$J$918,"Mastered")</f>
        <v/>
      </c>
      <c r="G121" s="56">
        <f>IFERROR(AVERAGEIFS(Master!$K$2:$K$918,Master!$C$2:$C$918,$B121,Master!$D$2:$D$918,$C121,Master!$K$2:$K$918,"&gt;0"),"")</f>
        <v/>
      </c>
      <c r="H121" s="46">
        <f>IF($F121=0,"Untouched",IF($G121="","No rating",IF($G121&lt;=3,"Weak","Solid")))</f>
        <v/>
      </c>
    </row>
    <row r="122" ht="15" customHeight="1" s="32">
      <c r="B122" s="42" t="inlineStr">
        <is>
          <t>18. Trees &amp; BST</t>
        </is>
      </c>
      <c r="C122" s="42" t="inlineStr">
        <is>
          <t>Views</t>
        </is>
      </c>
      <c r="D122" s="43">
        <f>COUNTIFS(Master!$C$2:$C$918,$B122,Master!$D$2:$D$918,$C122)</f>
        <v/>
      </c>
      <c r="E122" s="43">
        <f>COUNTIFS(Master!$C$2:$C$918,$B122,Master!$D$2:$D$918,$C122,Master!$G$2:$G$918,"Core")</f>
        <v/>
      </c>
      <c r="F122" s="43">
        <f>COUNTIFS(Master!$C$2:$C$918,$B122,Master!$D$2:$D$918,$C122,Master!$J$2:$J$918,"Solved")+COUNTIFS(Master!$C$2:$C$918,$B122,Master!$D$2:$D$918,$C122,Master!$J$2:$J$918,"Mastered")</f>
        <v/>
      </c>
      <c r="G122" s="56">
        <f>IFERROR(AVERAGEIFS(Master!$K$2:$K$918,Master!$C$2:$C$918,$B122,Master!$D$2:$D$918,$C122,Master!$K$2:$K$918,"&gt;0"),"")</f>
        <v/>
      </c>
      <c r="H122" s="46">
        <f>IF($F122=0,"Untouched",IF($G122="","No rating",IF($G122&lt;=3,"Weak","Solid")))</f>
        <v/>
      </c>
    </row>
    <row r="123" ht="15" customHeight="1" s="32">
      <c r="B123" s="42" t="inlineStr">
        <is>
          <t>18. Trees &amp; BST</t>
        </is>
      </c>
      <c r="C123" s="42" t="inlineStr">
        <is>
          <t>Path sum</t>
        </is>
      </c>
      <c r="D123" s="43">
        <f>COUNTIFS(Master!$C$2:$C$918,$B123,Master!$D$2:$D$918,$C123)</f>
        <v/>
      </c>
      <c r="E123" s="43">
        <f>COUNTIFS(Master!$C$2:$C$918,$B123,Master!$D$2:$D$918,$C123,Master!$G$2:$G$918,"Core")</f>
        <v/>
      </c>
      <c r="F123" s="43">
        <f>COUNTIFS(Master!$C$2:$C$918,$B123,Master!$D$2:$D$918,$C123,Master!$J$2:$J$918,"Solved")+COUNTIFS(Master!$C$2:$C$918,$B123,Master!$D$2:$D$918,$C123,Master!$J$2:$J$918,"Mastered")</f>
        <v/>
      </c>
      <c r="G123" s="56">
        <f>IFERROR(AVERAGEIFS(Master!$K$2:$K$918,Master!$C$2:$C$918,$B123,Master!$D$2:$D$918,$C123,Master!$K$2:$K$918,"&gt;0"),"")</f>
        <v/>
      </c>
      <c r="H123" s="46">
        <f>IF($F123=0,"Untouched",IF($G123="","No rating",IF($G123&lt;=3,"Weak","Solid")))</f>
        <v/>
      </c>
    </row>
    <row r="124" ht="15" customHeight="1" s="32">
      <c r="B124" s="42" t="inlineStr">
        <is>
          <t>18. Trees &amp; BST</t>
        </is>
      </c>
      <c r="C124" s="42" t="inlineStr">
        <is>
          <t>Construction</t>
        </is>
      </c>
      <c r="D124" s="43">
        <f>COUNTIFS(Master!$C$2:$C$918,$B124,Master!$D$2:$D$918,$C124)</f>
        <v/>
      </c>
      <c r="E124" s="43">
        <f>COUNTIFS(Master!$C$2:$C$918,$B124,Master!$D$2:$D$918,$C124,Master!$G$2:$G$918,"Core")</f>
        <v/>
      </c>
      <c r="F124" s="43">
        <f>COUNTIFS(Master!$C$2:$C$918,$B124,Master!$D$2:$D$918,$C124,Master!$J$2:$J$918,"Solved")+COUNTIFS(Master!$C$2:$C$918,$B124,Master!$D$2:$D$918,$C124,Master!$J$2:$J$918,"Mastered")</f>
        <v/>
      </c>
      <c r="G124" s="56">
        <f>IFERROR(AVERAGEIFS(Master!$K$2:$K$918,Master!$C$2:$C$918,$B124,Master!$D$2:$D$918,$C124,Master!$K$2:$K$918,"&gt;0"),"")</f>
        <v/>
      </c>
      <c r="H124" s="46">
        <f>IF($F124=0,"Untouched",IF($G124="","No rating",IF($G124&lt;=3,"Weak","Solid")))</f>
        <v/>
      </c>
    </row>
    <row r="125" ht="15" customHeight="1" s="32">
      <c r="B125" s="42" t="inlineStr">
        <is>
          <t>18. Trees &amp; BST</t>
        </is>
      </c>
      <c r="C125" s="42" t="inlineStr">
        <is>
          <t>LCA</t>
        </is>
      </c>
      <c r="D125" s="43">
        <f>COUNTIFS(Master!$C$2:$C$918,$B125,Master!$D$2:$D$918,$C125)</f>
        <v/>
      </c>
      <c r="E125" s="43">
        <f>COUNTIFS(Master!$C$2:$C$918,$B125,Master!$D$2:$D$918,$C125,Master!$G$2:$G$918,"Core")</f>
        <v/>
      </c>
      <c r="F125" s="43">
        <f>COUNTIFS(Master!$C$2:$C$918,$B125,Master!$D$2:$D$918,$C125,Master!$J$2:$J$918,"Solved")+COUNTIFS(Master!$C$2:$C$918,$B125,Master!$D$2:$D$918,$C125,Master!$J$2:$J$918,"Mastered")</f>
        <v/>
      </c>
      <c r="G125" s="56">
        <f>IFERROR(AVERAGEIFS(Master!$K$2:$K$918,Master!$C$2:$C$918,$B125,Master!$D$2:$D$918,$C125,Master!$K$2:$K$918,"&gt;0"),"")</f>
        <v/>
      </c>
      <c r="H125" s="46">
        <f>IF($F125=0,"Untouched",IF($G125="","No rating",IF($G125&lt;=3,"Weak","Solid")))</f>
        <v/>
      </c>
    </row>
    <row r="126" ht="15" customHeight="1" s="32">
      <c r="B126" s="42" t="inlineStr">
        <is>
          <t>18. Trees &amp; BST</t>
        </is>
      </c>
      <c r="C126" s="42" t="inlineStr">
        <is>
          <t>Distance</t>
        </is>
      </c>
      <c r="D126" s="43">
        <f>COUNTIFS(Master!$C$2:$C$918,$B126,Master!$D$2:$D$918,$C126)</f>
        <v/>
      </c>
      <c r="E126" s="43">
        <f>COUNTIFS(Master!$C$2:$C$918,$B126,Master!$D$2:$D$918,$C126,Master!$G$2:$G$918,"Core")</f>
        <v/>
      </c>
      <c r="F126" s="43">
        <f>COUNTIFS(Master!$C$2:$C$918,$B126,Master!$D$2:$D$918,$C126,Master!$J$2:$J$918,"Solved")+COUNTIFS(Master!$C$2:$C$918,$B126,Master!$D$2:$D$918,$C126,Master!$J$2:$J$918,"Mastered")</f>
        <v/>
      </c>
      <c r="G126" s="56">
        <f>IFERROR(AVERAGEIFS(Master!$K$2:$K$918,Master!$C$2:$C$918,$B126,Master!$D$2:$D$918,$C126,Master!$K$2:$K$918,"&gt;0"),"")</f>
        <v/>
      </c>
      <c r="H126" s="46">
        <f>IF($F126=0,"Untouched",IF($G126="","No rating",IF($G126&lt;=3,"Weak","Solid")))</f>
        <v/>
      </c>
    </row>
    <row r="127" ht="15" customHeight="1" s="32">
      <c r="B127" s="42" t="inlineStr">
        <is>
          <t>18. Trees &amp; BST</t>
        </is>
      </c>
      <c r="C127" s="42" t="inlineStr">
        <is>
          <t>BST basics</t>
        </is>
      </c>
      <c r="D127" s="43">
        <f>COUNTIFS(Master!$C$2:$C$918,$B127,Master!$D$2:$D$918,$C127)</f>
        <v/>
      </c>
      <c r="E127" s="43">
        <f>COUNTIFS(Master!$C$2:$C$918,$B127,Master!$D$2:$D$918,$C127,Master!$G$2:$G$918,"Core")</f>
        <v/>
      </c>
      <c r="F127" s="43">
        <f>COUNTIFS(Master!$C$2:$C$918,$B127,Master!$D$2:$D$918,$C127,Master!$J$2:$J$918,"Solved")+COUNTIFS(Master!$C$2:$C$918,$B127,Master!$D$2:$D$918,$C127,Master!$J$2:$J$918,"Mastered")</f>
        <v/>
      </c>
      <c r="G127" s="56">
        <f>IFERROR(AVERAGEIFS(Master!$K$2:$K$918,Master!$C$2:$C$918,$B127,Master!$D$2:$D$918,$C127,Master!$K$2:$K$918,"&gt;0"),"")</f>
        <v/>
      </c>
      <c r="H127" s="46">
        <f>IF($F127=0,"Untouched",IF($G127="","No rating",IF($G127&lt;=3,"Weak","Solid")))</f>
        <v/>
      </c>
    </row>
    <row r="128" ht="15" customHeight="1" s="32">
      <c r="B128" s="42" t="inlineStr">
        <is>
          <t>18. Trees &amp; BST</t>
        </is>
      </c>
      <c r="C128" s="42" t="inlineStr">
        <is>
          <t>BST properties</t>
        </is>
      </c>
      <c r="D128" s="43">
        <f>COUNTIFS(Master!$C$2:$C$918,$B128,Master!$D$2:$D$918,$C128)</f>
        <v/>
      </c>
      <c r="E128" s="43">
        <f>COUNTIFS(Master!$C$2:$C$918,$B128,Master!$D$2:$D$918,$C128,Master!$G$2:$G$918,"Core")</f>
        <v/>
      </c>
      <c r="F128" s="43">
        <f>COUNTIFS(Master!$C$2:$C$918,$B128,Master!$D$2:$D$918,$C128,Master!$J$2:$J$918,"Solved")+COUNTIFS(Master!$C$2:$C$918,$B128,Master!$D$2:$D$918,$C128,Master!$J$2:$J$918,"Mastered")</f>
        <v/>
      </c>
      <c r="G128" s="56">
        <f>IFERROR(AVERAGEIFS(Master!$K$2:$K$918,Master!$C$2:$C$918,$B128,Master!$D$2:$D$918,$C128,Master!$K$2:$K$918,"&gt;0"),"")</f>
        <v/>
      </c>
      <c r="H128" s="46">
        <f>IF($F128=0,"Untouched",IF($G128="","No rating",IF($G128&lt;=3,"Weak","Solid")))</f>
        <v/>
      </c>
    </row>
    <row r="129" ht="15" customHeight="1" s="32">
      <c r="B129" s="42" t="inlineStr">
        <is>
          <t>19. Tries</t>
        </is>
      </c>
      <c r="C129" s="42" t="inlineStr">
        <is>
          <t>Design</t>
        </is>
      </c>
      <c r="D129" s="43">
        <f>COUNTIFS(Master!$C$2:$C$918,$B129,Master!$D$2:$D$918,$C129)</f>
        <v/>
      </c>
      <c r="E129" s="43">
        <f>COUNTIFS(Master!$C$2:$C$918,$B129,Master!$D$2:$D$918,$C129,Master!$G$2:$G$918,"Core")</f>
        <v/>
      </c>
      <c r="F129" s="43">
        <f>COUNTIFS(Master!$C$2:$C$918,$B129,Master!$D$2:$D$918,$C129,Master!$J$2:$J$918,"Solved")+COUNTIFS(Master!$C$2:$C$918,$B129,Master!$D$2:$D$918,$C129,Master!$J$2:$J$918,"Mastered")</f>
        <v/>
      </c>
      <c r="G129" s="56">
        <f>IFERROR(AVERAGEIFS(Master!$K$2:$K$918,Master!$C$2:$C$918,$B129,Master!$D$2:$D$918,$C129,Master!$K$2:$K$918,"&gt;0"),"")</f>
        <v/>
      </c>
      <c r="H129" s="46">
        <f>IF($F129=0,"Untouched",IF($G129="","No rating",IF($G129&lt;=3,"Weak","Solid")))</f>
        <v/>
      </c>
    </row>
    <row r="130" ht="15" customHeight="1" s="32">
      <c r="B130" s="42" t="inlineStr">
        <is>
          <t>19. Tries</t>
        </is>
      </c>
      <c r="C130" s="42" t="inlineStr">
        <is>
          <t>Prefix search</t>
        </is>
      </c>
      <c r="D130" s="43">
        <f>COUNTIFS(Master!$C$2:$C$918,$B130,Master!$D$2:$D$918,$C130)</f>
        <v/>
      </c>
      <c r="E130" s="43">
        <f>COUNTIFS(Master!$C$2:$C$918,$B130,Master!$D$2:$D$918,$C130,Master!$G$2:$G$918,"Core")</f>
        <v/>
      </c>
      <c r="F130" s="43">
        <f>COUNTIFS(Master!$C$2:$C$918,$B130,Master!$D$2:$D$918,$C130,Master!$J$2:$J$918,"Solved")+COUNTIFS(Master!$C$2:$C$918,$B130,Master!$D$2:$D$918,$C130,Master!$J$2:$J$918,"Mastered")</f>
        <v/>
      </c>
      <c r="G130" s="56">
        <f>IFERROR(AVERAGEIFS(Master!$K$2:$K$918,Master!$C$2:$C$918,$B130,Master!$D$2:$D$918,$C130,Master!$K$2:$K$918,"&gt;0"),"")</f>
        <v/>
      </c>
      <c r="H130" s="46">
        <f>IF($F130=0,"Untouched",IF($G130="","No rating",IF($G130&lt;=3,"Weak","Solid")))</f>
        <v/>
      </c>
    </row>
    <row r="131" ht="15" customHeight="1" s="32">
      <c r="B131" s="42" t="inlineStr">
        <is>
          <t>19. Tries</t>
        </is>
      </c>
      <c r="C131" s="42" t="inlineStr">
        <is>
          <t>Counting</t>
        </is>
      </c>
      <c r="D131" s="43">
        <f>COUNTIFS(Master!$C$2:$C$918,$B131,Master!$D$2:$D$918,$C131)</f>
        <v/>
      </c>
      <c r="E131" s="43">
        <f>COUNTIFS(Master!$C$2:$C$918,$B131,Master!$D$2:$D$918,$C131,Master!$G$2:$G$918,"Core")</f>
        <v/>
      </c>
      <c r="F131" s="43">
        <f>COUNTIFS(Master!$C$2:$C$918,$B131,Master!$D$2:$D$918,$C131,Master!$J$2:$J$918,"Solved")+COUNTIFS(Master!$C$2:$C$918,$B131,Master!$D$2:$D$918,$C131,Master!$J$2:$J$918,"Mastered")</f>
        <v/>
      </c>
      <c r="G131" s="56">
        <f>IFERROR(AVERAGEIFS(Master!$K$2:$K$918,Master!$C$2:$C$918,$B131,Master!$D$2:$D$918,$C131,Master!$K$2:$K$918,"&gt;0"),"")</f>
        <v/>
      </c>
      <c r="H131" s="46">
        <f>IF($F131=0,"Untouched",IF($G131="","No rating",IF($G131&lt;=3,"Weak","Solid")))</f>
        <v/>
      </c>
    </row>
    <row r="132" ht="15" customHeight="1" s="32">
      <c r="B132" s="42" t="inlineStr">
        <is>
          <t>19. Tries</t>
        </is>
      </c>
      <c r="C132" s="42" t="inlineStr">
        <is>
          <t>Trie + grid</t>
        </is>
      </c>
      <c r="D132" s="43">
        <f>COUNTIFS(Master!$C$2:$C$918,$B132,Master!$D$2:$D$918,$C132)</f>
        <v/>
      </c>
      <c r="E132" s="43">
        <f>COUNTIFS(Master!$C$2:$C$918,$B132,Master!$D$2:$D$918,$C132,Master!$G$2:$G$918,"Core")</f>
        <v/>
      </c>
      <c r="F132" s="43">
        <f>COUNTIFS(Master!$C$2:$C$918,$B132,Master!$D$2:$D$918,$C132,Master!$J$2:$J$918,"Solved")+COUNTIFS(Master!$C$2:$C$918,$B132,Master!$D$2:$D$918,$C132,Master!$J$2:$J$918,"Mastered")</f>
        <v/>
      </c>
      <c r="G132" s="56">
        <f>IFERROR(AVERAGEIFS(Master!$K$2:$K$918,Master!$C$2:$C$918,$B132,Master!$D$2:$D$918,$C132,Master!$K$2:$K$918,"&gt;0"),"")</f>
        <v/>
      </c>
      <c r="H132" s="46">
        <f>IF($F132=0,"Untouched",IF($G132="","No rating",IF($G132&lt;=3,"Weak","Solid")))</f>
        <v/>
      </c>
    </row>
    <row r="133" ht="15" customHeight="1" s="32">
      <c r="B133" s="42" t="inlineStr">
        <is>
          <t>19. Tries</t>
        </is>
      </c>
      <c r="C133" s="42" t="inlineStr">
        <is>
          <t>Bit trie</t>
        </is>
      </c>
      <c r="D133" s="43">
        <f>COUNTIFS(Master!$C$2:$C$918,$B133,Master!$D$2:$D$918,$C133)</f>
        <v/>
      </c>
      <c r="E133" s="43">
        <f>COUNTIFS(Master!$C$2:$C$918,$B133,Master!$D$2:$D$918,$C133,Master!$G$2:$G$918,"Core")</f>
        <v/>
      </c>
      <c r="F133" s="43">
        <f>COUNTIFS(Master!$C$2:$C$918,$B133,Master!$D$2:$D$918,$C133,Master!$J$2:$J$918,"Solved")+COUNTIFS(Master!$C$2:$C$918,$B133,Master!$D$2:$D$918,$C133,Master!$J$2:$J$918,"Mastered")</f>
        <v/>
      </c>
      <c r="G133" s="56">
        <f>IFERROR(AVERAGEIFS(Master!$K$2:$K$918,Master!$C$2:$C$918,$B133,Master!$D$2:$D$918,$C133,Master!$K$2:$K$918,"&gt;0"),"")</f>
        <v/>
      </c>
      <c r="H133" s="46">
        <f>IF($F133=0,"Untouched",IF($G133="","No rating",IF($G133&lt;=3,"Weak","Solid")))</f>
        <v/>
      </c>
    </row>
    <row r="134" ht="15" customHeight="1" s="32">
      <c r="B134" s="42" t="inlineStr">
        <is>
          <t>20. Graphs</t>
        </is>
      </c>
      <c r="C134" s="42" t="inlineStr">
        <is>
          <t>Representation</t>
        </is>
      </c>
      <c r="D134" s="43">
        <f>COUNTIFS(Master!$C$2:$C$918,$B134,Master!$D$2:$D$918,$C134)</f>
        <v/>
      </c>
      <c r="E134" s="43">
        <f>COUNTIFS(Master!$C$2:$C$918,$B134,Master!$D$2:$D$918,$C134,Master!$G$2:$G$918,"Core")</f>
        <v/>
      </c>
      <c r="F134" s="43">
        <f>COUNTIFS(Master!$C$2:$C$918,$B134,Master!$D$2:$D$918,$C134,Master!$J$2:$J$918,"Solved")+COUNTIFS(Master!$C$2:$C$918,$B134,Master!$D$2:$D$918,$C134,Master!$J$2:$J$918,"Mastered")</f>
        <v/>
      </c>
      <c r="G134" s="56">
        <f>IFERROR(AVERAGEIFS(Master!$K$2:$K$918,Master!$C$2:$C$918,$B134,Master!$D$2:$D$918,$C134,Master!$K$2:$K$918,"&gt;0"),"")</f>
        <v/>
      </c>
      <c r="H134" s="46">
        <f>IF($F134=0,"Untouched",IF($G134="","No rating",IF($G134&lt;=3,"Weak","Solid")))</f>
        <v/>
      </c>
    </row>
    <row r="135" ht="15" customHeight="1" s="32">
      <c r="B135" s="42" t="inlineStr">
        <is>
          <t>20. Graphs</t>
        </is>
      </c>
      <c r="C135" s="42" t="inlineStr">
        <is>
          <t>Traversal</t>
        </is>
      </c>
      <c r="D135" s="43">
        <f>COUNTIFS(Master!$C$2:$C$918,$B135,Master!$D$2:$D$918,$C135)</f>
        <v/>
      </c>
      <c r="E135" s="43">
        <f>COUNTIFS(Master!$C$2:$C$918,$B135,Master!$D$2:$D$918,$C135,Master!$G$2:$G$918,"Core")</f>
        <v/>
      </c>
      <c r="F135" s="43">
        <f>COUNTIFS(Master!$C$2:$C$918,$B135,Master!$D$2:$D$918,$C135,Master!$J$2:$J$918,"Solved")+COUNTIFS(Master!$C$2:$C$918,$B135,Master!$D$2:$D$918,$C135,Master!$J$2:$J$918,"Mastered")</f>
        <v/>
      </c>
      <c r="G135" s="56">
        <f>IFERROR(AVERAGEIFS(Master!$K$2:$K$918,Master!$C$2:$C$918,$B135,Master!$D$2:$D$918,$C135,Master!$K$2:$K$918,"&gt;0"),"")</f>
        <v/>
      </c>
      <c r="H135" s="46">
        <f>IF($F135=0,"Untouched",IF($G135="","No rating",IF($G135&lt;=3,"Weak","Solid")))</f>
        <v/>
      </c>
    </row>
    <row r="136" ht="15" customHeight="1" s="32">
      <c r="B136" s="42" t="inlineStr">
        <is>
          <t>20. Graphs</t>
        </is>
      </c>
      <c r="C136" s="42" t="inlineStr">
        <is>
          <t>Grid DFS/BFS</t>
        </is>
      </c>
      <c r="D136" s="43">
        <f>COUNTIFS(Master!$C$2:$C$918,$B136,Master!$D$2:$D$918,$C136)</f>
        <v/>
      </c>
      <c r="E136" s="43">
        <f>COUNTIFS(Master!$C$2:$C$918,$B136,Master!$D$2:$D$918,$C136,Master!$G$2:$G$918,"Core")</f>
        <v/>
      </c>
      <c r="F136" s="43">
        <f>COUNTIFS(Master!$C$2:$C$918,$B136,Master!$D$2:$D$918,$C136,Master!$J$2:$J$918,"Solved")+COUNTIFS(Master!$C$2:$C$918,$B136,Master!$D$2:$D$918,$C136,Master!$J$2:$J$918,"Mastered")</f>
        <v/>
      </c>
      <c r="G136" s="56">
        <f>IFERROR(AVERAGEIFS(Master!$K$2:$K$918,Master!$C$2:$C$918,$B136,Master!$D$2:$D$918,$C136,Master!$K$2:$K$918,"&gt;0"),"")</f>
        <v/>
      </c>
      <c r="H136" s="46">
        <f>IF($F136=0,"Untouched",IF($G136="","No rating",IF($G136&lt;=3,"Weak","Solid")))</f>
        <v/>
      </c>
    </row>
    <row r="137" ht="15" customHeight="1" s="32">
      <c r="B137" s="42" t="inlineStr">
        <is>
          <t>20. Graphs</t>
        </is>
      </c>
      <c r="C137" s="42" t="inlineStr">
        <is>
          <t>Multi-source BFS</t>
        </is>
      </c>
      <c r="D137" s="43">
        <f>COUNTIFS(Master!$C$2:$C$918,$B137,Master!$D$2:$D$918,$C137)</f>
        <v/>
      </c>
      <c r="E137" s="43">
        <f>COUNTIFS(Master!$C$2:$C$918,$B137,Master!$D$2:$D$918,$C137,Master!$G$2:$G$918,"Core")</f>
        <v/>
      </c>
      <c r="F137" s="43">
        <f>COUNTIFS(Master!$C$2:$C$918,$B137,Master!$D$2:$D$918,$C137,Master!$J$2:$J$918,"Solved")+COUNTIFS(Master!$C$2:$C$918,$B137,Master!$D$2:$D$918,$C137,Master!$J$2:$J$918,"Mastered")</f>
        <v/>
      </c>
      <c r="G137" s="56">
        <f>IFERROR(AVERAGEIFS(Master!$K$2:$K$918,Master!$C$2:$C$918,$B137,Master!$D$2:$D$918,$C137,Master!$K$2:$K$918,"&gt;0"),"")</f>
        <v/>
      </c>
      <c r="H137" s="46">
        <f>IF($F137=0,"Untouched",IF($G137="","No rating",IF($G137&lt;=3,"Weak","Solid")))</f>
        <v/>
      </c>
    </row>
    <row r="138" ht="15" customHeight="1" s="32">
      <c r="B138" s="42" t="inlineStr">
        <is>
          <t>20. Graphs</t>
        </is>
      </c>
      <c r="C138" s="42" t="inlineStr">
        <is>
          <t>Connected components</t>
        </is>
      </c>
      <c r="D138" s="43">
        <f>COUNTIFS(Master!$C$2:$C$918,$B138,Master!$D$2:$D$918,$C138)</f>
        <v/>
      </c>
      <c r="E138" s="43">
        <f>COUNTIFS(Master!$C$2:$C$918,$B138,Master!$D$2:$D$918,$C138,Master!$G$2:$G$918,"Core")</f>
        <v/>
      </c>
      <c r="F138" s="43">
        <f>COUNTIFS(Master!$C$2:$C$918,$B138,Master!$D$2:$D$918,$C138,Master!$J$2:$J$918,"Solved")+COUNTIFS(Master!$C$2:$C$918,$B138,Master!$D$2:$D$918,$C138,Master!$J$2:$J$918,"Mastered")</f>
        <v/>
      </c>
      <c r="G138" s="56">
        <f>IFERROR(AVERAGEIFS(Master!$K$2:$K$918,Master!$C$2:$C$918,$B138,Master!$D$2:$D$918,$C138,Master!$K$2:$K$918,"&gt;0"),"")</f>
        <v/>
      </c>
      <c r="H138" s="46">
        <f>IF($F138=0,"Untouched",IF($G138="","No rating",IF($G138&lt;=3,"Weak","Solid")))</f>
        <v/>
      </c>
    </row>
    <row r="139" ht="15" customHeight="1" s="32">
      <c r="B139" s="42" t="inlineStr">
        <is>
          <t>20. Graphs</t>
        </is>
      </c>
      <c r="C139" s="42" t="inlineStr">
        <is>
          <t>Coloring</t>
        </is>
      </c>
      <c r="D139" s="43">
        <f>COUNTIFS(Master!$C$2:$C$918,$B139,Master!$D$2:$D$918,$C139)</f>
        <v/>
      </c>
      <c r="E139" s="43">
        <f>COUNTIFS(Master!$C$2:$C$918,$B139,Master!$D$2:$D$918,$C139,Master!$G$2:$G$918,"Core")</f>
        <v/>
      </c>
      <c r="F139" s="43">
        <f>COUNTIFS(Master!$C$2:$C$918,$B139,Master!$D$2:$D$918,$C139,Master!$J$2:$J$918,"Solved")+COUNTIFS(Master!$C$2:$C$918,$B139,Master!$D$2:$D$918,$C139,Master!$J$2:$J$918,"Mastered")</f>
        <v/>
      </c>
      <c r="G139" s="56">
        <f>IFERROR(AVERAGEIFS(Master!$K$2:$K$918,Master!$C$2:$C$918,$B139,Master!$D$2:$D$918,$C139,Master!$K$2:$K$918,"&gt;0"),"")</f>
        <v/>
      </c>
      <c r="H139" s="46">
        <f>IF($F139=0,"Untouched",IF($G139="","No rating",IF($G139&lt;=3,"Weak","Solid")))</f>
        <v/>
      </c>
    </row>
    <row r="140" ht="15" customHeight="1" s="32">
      <c r="B140" s="42" t="inlineStr">
        <is>
          <t>20. Graphs</t>
        </is>
      </c>
      <c r="C140" s="42" t="inlineStr">
        <is>
          <t>Cycle detection</t>
        </is>
      </c>
      <c r="D140" s="43">
        <f>COUNTIFS(Master!$C$2:$C$918,$B140,Master!$D$2:$D$918,$C140)</f>
        <v/>
      </c>
      <c r="E140" s="43">
        <f>COUNTIFS(Master!$C$2:$C$918,$B140,Master!$D$2:$D$918,$C140,Master!$G$2:$G$918,"Core")</f>
        <v/>
      </c>
      <c r="F140" s="43">
        <f>COUNTIFS(Master!$C$2:$C$918,$B140,Master!$D$2:$D$918,$C140,Master!$J$2:$J$918,"Solved")+COUNTIFS(Master!$C$2:$C$918,$B140,Master!$D$2:$D$918,$C140,Master!$J$2:$J$918,"Mastered")</f>
        <v/>
      </c>
      <c r="G140" s="56">
        <f>IFERROR(AVERAGEIFS(Master!$K$2:$K$918,Master!$C$2:$C$918,$B140,Master!$D$2:$D$918,$C140,Master!$K$2:$K$918,"&gt;0"),"")</f>
        <v/>
      </c>
      <c r="H140" s="46">
        <f>IF($F140=0,"Untouched",IF($G140="","No rating",IF($G140&lt;=3,"Weak","Solid")))</f>
        <v/>
      </c>
    </row>
    <row r="141" ht="15" customHeight="1" s="32">
      <c r="B141" s="42" t="inlineStr">
        <is>
          <t>20. Graphs</t>
        </is>
      </c>
      <c r="C141" s="42" t="inlineStr">
        <is>
          <t>BFS shortest path</t>
        </is>
      </c>
      <c r="D141" s="43">
        <f>COUNTIFS(Master!$C$2:$C$918,$B141,Master!$D$2:$D$918,$C141)</f>
        <v/>
      </c>
      <c r="E141" s="43">
        <f>COUNTIFS(Master!$C$2:$C$918,$B141,Master!$D$2:$D$918,$C141,Master!$G$2:$G$918,"Core")</f>
        <v/>
      </c>
      <c r="F141" s="43">
        <f>COUNTIFS(Master!$C$2:$C$918,$B141,Master!$D$2:$D$918,$C141,Master!$J$2:$J$918,"Solved")+COUNTIFS(Master!$C$2:$C$918,$B141,Master!$D$2:$D$918,$C141,Master!$J$2:$J$918,"Mastered")</f>
        <v/>
      </c>
      <c r="G141" s="56">
        <f>IFERROR(AVERAGEIFS(Master!$K$2:$K$918,Master!$C$2:$C$918,$B141,Master!$D$2:$D$918,$C141,Master!$K$2:$K$918,"&gt;0"),"")</f>
        <v/>
      </c>
      <c r="H141" s="46">
        <f>IF($F141=0,"Untouched",IF($G141="","No rating",IF($G141&lt;=3,"Weak","Solid")))</f>
        <v/>
      </c>
    </row>
    <row r="142" ht="15" customHeight="1" s="32">
      <c r="B142" s="42" t="inlineStr">
        <is>
          <t>20. Graphs</t>
        </is>
      </c>
      <c r="C142" s="42" t="inlineStr">
        <is>
          <t>Topological sort</t>
        </is>
      </c>
      <c r="D142" s="43">
        <f>COUNTIFS(Master!$C$2:$C$918,$B142,Master!$D$2:$D$918,$C142)</f>
        <v/>
      </c>
      <c r="E142" s="43">
        <f>COUNTIFS(Master!$C$2:$C$918,$B142,Master!$D$2:$D$918,$C142,Master!$G$2:$G$918,"Core")</f>
        <v/>
      </c>
      <c r="F142" s="43">
        <f>COUNTIFS(Master!$C$2:$C$918,$B142,Master!$D$2:$D$918,$C142,Master!$J$2:$J$918,"Solved")+COUNTIFS(Master!$C$2:$C$918,$B142,Master!$D$2:$D$918,$C142,Master!$J$2:$J$918,"Mastered")</f>
        <v/>
      </c>
      <c r="G142" s="56">
        <f>IFERROR(AVERAGEIFS(Master!$K$2:$K$918,Master!$C$2:$C$918,$B142,Master!$D$2:$D$918,$C142,Master!$K$2:$K$918,"&gt;0"),"")</f>
        <v/>
      </c>
      <c r="H142" s="46">
        <f>IF($F142=0,"Untouched",IF($G142="","No rating",IF($G142&lt;=3,"Weak","Solid")))</f>
        <v/>
      </c>
    </row>
    <row r="143" ht="15" customHeight="1" s="32">
      <c r="B143" s="42" t="inlineStr">
        <is>
          <t>20. Graphs</t>
        </is>
      </c>
      <c r="C143" s="42" t="inlineStr">
        <is>
          <t>DSU</t>
        </is>
      </c>
      <c r="D143" s="43">
        <f>COUNTIFS(Master!$C$2:$C$918,$B143,Master!$D$2:$D$918,$C143)</f>
        <v/>
      </c>
      <c r="E143" s="43">
        <f>COUNTIFS(Master!$C$2:$C$918,$B143,Master!$D$2:$D$918,$C143,Master!$G$2:$G$918,"Core")</f>
        <v/>
      </c>
      <c r="F143" s="43">
        <f>COUNTIFS(Master!$C$2:$C$918,$B143,Master!$D$2:$D$918,$C143,Master!$J$2:$J$918,"Solved")+COUNTIFS(Master!$C$2:$C$918,$B143,Master!$D$2:$D$918,$C143,Master!$J$2:$J$918,"Mastered")</f>
        <v/>
      </c>
      <c r="G143" s="56">
        <f>IFERROR(AVERAGEIFS(Master!$K$2:$K$918,Master!$C$2:$C$918,$B143,Master!$D$2:$D$918,$C143,Master!$K$2:$K$918,"&gt;0"),"")</f>
        <v/>
      </c>
      <c r="H143" s="46">
        <f>IF($F143=0,"Untouched",IF($G143="","No rating",IF($G143&lt;=3,"Weak","Solid")))</f>
        <v/>
      </c>
    </row>
    <row r="144" ht="15" customHeight="1" s="32">
      <c r="B144" s="42" t="inlineStr">
        <is>
          <t>20. Graphs</t>
        </is>
      </c>
      <c r="C144" s="42" t="inlineStr">
        <is>
          <t>Dijkstra</t>
        </is>
      </c>
      <c r="D144" s="43">
        <f>COUNTIFS(Master!$C$2:$C$918,$B144,Master!$D$2:$D$918,$C144)</f>
        <v/>
      </c>
      <c r="E144" s="43">
        <f>COUNTIFS(Master!$C$2:$C$918,$B144,Master!$D$2:$D$918,$C144,Master!$G$2:$G$918,"Core")</f>
        <v/>
      </c>
      <c r="F144" s="43">
        <f>COUNTIFS(Master!$C$2:$C$918,$B144,Master!$D$2:$D$918,$C144,Master!$J$2:$J$918,"Solved")+COUNTIFS(Master!$C$2:$C$918,$B144,Master!$D$2:$D$918,$C144,Master!$J$2:$J$918,"Mastered")</f>
        <v/>
      </c>
      <c r="G144" s="56">
        <f>IFERROR(AVERAGEIFS(Master!$K$2:$K$918,Master!$C$2:$C$918,$B144,Master!$D$2:$D$918,$C144,Master!$K$2:$K$918,"&gt;0"),"")</f>
        <v/>
      </c>
      <c r="H144" s="46">
        <f>IF($F144=0,"Untouched",IF($G144="","No rating",IF($G144&lt;=3,"Weak","Solid")))</f>
        <v/>
      </c>
    </row>
    <row r="145" ht="15" customHeight="1" s="32">
      <c r="B145" s="42" t="inlineStr">
        <is>
          <t>20. Graphs</t>
        </is>
      </c>
      <c r="C145" s="42" t="inlineStr">
        <is>
          <t>Bellman-Ford</t>
        </is>
      </c>
      <c r="D145" s="43">
        <f>COUNTIFS(Master!$C$2:$C$918,$B145,Master!$D$2:$D$918,$C145)</f>
        <v/>
      </c>
      <c r="E145" s="43">
        <f>COUNTIFS(Master!$C$2:$C$918,$B145,Master!$D$2:$D$918,$C145,Master!$G$2:$G$918,"Core")</f>
        <v/>
      </c>
      <c r="F145" s="43">
        <f>COUNTIFS(Master!$C$2:$C$918,$B145,Master!$D$2:$D$918,$C145,Master!$J$2:$J$918,"Solved")+COUNTIFS(Master!$C$2:$C$918,$B145,Master!$D$2:$D$918,$C145,Master!$J$2:$J$918,"Mastered")</f>
        <v/>
      </c>
      <c r="G145" s="56">
        <f>IFERROR(AVERAGEIFS(Master!$K$2:$K$918,Master!$C$2:$C$918,$B145,Master!$D$2:$D$918,$C145,Master!$K$2:$K$918,"&gt;0"),"")</f>
        <v/>
      </c>
      <c r="H145" s="46">
        <f>IF($F145=0,"Untouched",IF($G145="","No rating",IF($G145&lt;=3,"Weak","Solid")))</f>
        <v/>
      </c>
    </row>
    <row r="146" ht="15" customHeight="1" s="32">
      <c r="B146" s="42" t="inlineStr">
        <is>
          <t>20. Graphs</t>
        </is>
      </c>
      <c r="C146" s="42" t="inlineStr">
        <is>
          <t>Floyd-Warshall</t>
        </is>
      </c>
      <c r="D146" s="43">
        <f>COUNTIFS(Master!$C$2:$C$918,$B146,Master!$D$2:$D$918,$C146)</f>
        <v/>
      </c>
      <c r="E146" s="43">
        <f>COUNTIFS(Master!$C$2:$C$918,$B146,Master!$D$2:$D$918,$C146,Master!$G$2:$G$918,"Core")</f>
        <v/>
      </c>
      <c r="F146" s="43">
        <f>COUNTIFS(Master!$C$2:$C$918,$B146,Master!$D$2:$D$918,$C146,Master!$J$2:$J$918,"Solved")+COUNTIFS(Master!$C$2:$C$918,$B146,Master!$D$2:$D$918,$C146,Master!$J$2:$J$918,"Mastered")</f>
        <v/>
      </c>
      <c r="G146" s="56">
        <f>IFERROR(AVERAGEIFS(Master!$K$2:$K$918,Master!$C$2:$C$918,$B146,Master!$D$2:$D$918,$C146,Master!$K$2:$K$918,"&gt;0"),"")</f>
        <v/>
      </c>
      <c r="H146" s="46">
        <f>IF($F146=0,"Untouched",IF($G146="","No rating",IF($G146&lt;=3,"Weak","Solid")))</f>
        <v/>
      </c>
    </row>
    <row r="147" ht="15" customHeight="1" s="32">
      <c r="B147" s="42" t="inlineStr">
        <is>
          <t>20. Graphs</t>
        </is>
      </c>
      <c r="C147" s="42" t="inlineStr">
        <is>
          <t>MST</t>
        </is>
      </c>
      <c r="D147" s="43">
        <f>COUNTIFS(Master!$C$2:$C$918,$B147,Master!$D$2:$D$918,$C147)</f>
        <v/>
      </c>
      <c r="E147" s="43">
        <f>COUNTIFS(Master!$C$2:$C$918,$B147,Master!$D$2:$D$918,$C147,Master!$G$2:$G$918,"Core")</f>
        <v/>
      </c>
      <c r="F147" s="43">
        <f>COUNTIFS(Master!$C$2:$C$918,$B147,Master!$D$2:$D$918,$C147,Master!$J$2:$J$918,"Solved")+COUNTIFS(Master!$C$2:$C$918,$B147,Master!$D$2:$D$918,$C147,Master!$J$2:$J$918,"Mastered")</f>
        <v/>
      </c>
      <c r="G147" s="56">
        <f>IFERROR(AVERAGEIFS(Master!$K$2:$K$918,Master!$C$2:$C$918,$B147,Master!$D$2:$D$918,$C147,Master!$K$2:$K$918,"&gt;0"),"")</f>
        <v/>
      </c>
      <c r="H147" s="46">
        <f>IF($F147=0,"Untouched",IF($G147="","No rating",IF($G147&lt;=3,"Weak","Solid")))</f>
        <v/>
      </c>
    </row>
    <row r="148" ht="15" customHeight="1" s="32">
      <c r="B148" s="42" t="inlineStr">
        <is>
          <t>20. Graphs</t>
        </is>
      </c>
      <c r="C148" s="42" t="inlineStr">
        <is>
          <t>Misc</t>
        </is>
      </c>
      <c r="D148" s="43">
        <f>COUNTIFS(Master!$C$2:$C$918,$B148,Master!$D$2:$D$918,$C148)</f>
        <v/>
      </c>
      <c r="E148" s="43">
        <f>COUNTIFS(Master!$C$2:$C$918,$B148,Master!$D$2:$D$918,$C148,Master!$G$2:$G$918,"Core")</f>
        <v/>
      </c>
      <c r="F148" s="43">
        <f>COUNTIFS(Master!$C$2:$C$918,$B148,Master!$D$2:$D$918,$C148,Master!$J$2:$J$918,"Solved")+COUNTIFS(Master!$C$2:$C$918,$B148,Master!$D$2:$D$918,$C148,Master!$J$2:$J$918,"Mastered")</f>
        <v/>
      </c>
      <c r="G148" s="56">
        <f>IFERROR(AVERAGEIFS(Master!$K$2:$K$918,Master!$C$2:$C$918,$B148,Master!$D$2:$D$918,$C148,Master!$K$2:$K$918,"&gt;0"),"")</f>
        <v/>
      </c>
      <c r="H148" s="46">
        <f>IF($F148=0,"Untouched",IF($G148="","No rating",IF($G148&lt;=3,"Weak","Solid")))</f>
        <v/>
      </c>
    </row>
    <row r="149" ht="15" customHeight="1" s="32">
      <c r="B149" s="42" t="inlineStr">
        <is>
          <t>18. Trees &amp; BST</t>
        </is>
      </c>
      <c r="C149" s="42" t="inlineStr">
        <is>
          <t>Serialization</t>
        </is>
      </c>
      <c r="D149" s="43">
        <f>COUNTIFS(Master!$C$2:$C$918,$B149,Master!$D$2:$D$918,$C149)</f>
        <v/>
      </c>
      <c r="E149" s="43">
        <f>COUNTIFS(Master!$C$2:$C$918,$B149,Master!$D$2:$D$918,$C149,Master!$G$2:$G$918,"Core")</f>
        <v/>
      </c>
      <c r="F149" s="43">
        <f>COUNTIFS(Master!$C$2:$C$918,$B149,Master!$D$2:$D$918,$C149,Master!$J$2:$J$918,"Solved")+COUNTIFS(Master!$C$2:$C$918,$B149,Master!$D$2:$D$918,$C149,Master!$J$2:$J$918,"Mastered")</f>
        <v/>
      </c>
      <c r="G149" s="56">
        <f>IFERROR(AVERAGEIFS(Master!$K$2:$K$918,Master!$C$2:$C$918,$B149,Master!$D$2:$D$918,$C149,Master!$K$2:$K$918,"&gt;0"),"")</f>
        <v/>
      </c>
      <c r="H149" s="46">
        <f>IF($F149=0,"Untouched",IF($G149="","No rating",IF($G149&lt;=3,"Weak","Solid")))</f>
        <v/>
      </c>
    </row>
    <row r="150" ht="15" customHeight="1" s="32">
      <c r="B150" s="42" t="inlineStr">
        <is>
          <t>20. Graphs</t>
        </is>
      </c>
      <c r="C150" s="42" t="inlineStr">
        <is>
          <t>Bridges &amp; APs</t>
        </is>
      </c>
      <c r="D150" s="43">
        <f>COUNTIFS(Master!$C$2:$C$918,$B150,Master!$D$2:$D$918,$C150)</f>
        <v/>
      </c>
      <c r="E150" s="43">
        <f>COUNTIFS(Master!$C$2:$C$918,$B150,Master!$D$2:$D$918,$C150,Master!$G$2:$G$918,"Core")</f>
        <v/>
      </c>
      <c r="F150" s="43">
        <f>COUNTIFS(Master!$C$2:$C$918,$B150,Master!$D$2:$D$918,$C150,Master!$J$2:$J$918,"Solved")+COUNTIFS(Master!$C$2:$C$918,$B150,Master!$D$2:$D$918,$C150,Master!$J$2:$J$918,"Mastered")</f>
        <v/>
      </c>
      <c r="G150" s="56">
        <f>IFERROR(AVERAGEIFS(Master!$K$2:$K$918,Master!$C$2:$C$918,$B150,Master!$D$2:$D$918,$C150,Master!$K$2:$K$918,"&gt;0"),"")</f>
        <v/>
      </c>
      <c r="H150" s="46">
        <f>IF($F150=0,"Untouched",IF($G150="","No rating",IF($G150&lt;=3,"Weak","Solid")))</f>
        <v/>
      </c>
    </row>
    <row r="151" ht="15" customHeight="1" s="32">
      <c r="B151" s="42" t="inlineStr">
        <is>
          <t>20. Graphs</t>
        </is>
      </c>
      <c r="C151" s="42" t="inlineStr">
        <is>
          <t>SCC</t>
        </is>
      </c>
      <c r="D151" s="43">
        <f>COUNTIFS(Master!$C$2:$C$918,$B151,Master!$D$2:$D$918,$C151)</f>
        <v/>
      </c>
      <c r="E151" s="43">
        <f>COUNTIFS(Master!$C$2:$C$918,$B151,Master!$D$2:$D$918,$C151,Master!$G$2:$G$918,"Core")</f>
        <v/>
      </c>
      <c r="F151" s="43">
        <f>COUNTIFS(Master!$C$2:$C$918,$B151,Master!$D$2:$D$918,$C151,Master!$J$2:$J$918,"Solved")+COUNTIFS(Master!$C$2:$C$918,$B151,Master!$D$2:$D$918,$C151,Master!$J$2:$J$918,"Mastered")</f>
        <v/>
      </c>
      <c r="G151" s="56">
        <f>IFERROR(AVERAGEIFS(Master!$K$2:$K$918,Master!$C$2:$C$918,$B151,Master!$D$2:$D$918,$C151,Master!$K$2:$K$918,"&gt;0"),"")</f>
        <v/>
      </c>
      <c r="H151" s="46">
        <f>IF($F151=0,"Untouched",IF($G151="","No rating",IF($G151&lt;=3,"Weak","Solid")))</f>
        <v/>
      </c>
    </row>
    <row r="152" ht="15" customHeight="1" s="32">
      <c r="B152" s="42" t="inlineStr">
        <is>
          <t>20. Graphs</t>
        </is>
      </c>
      <c r="C152" s="42" t="inlineStr">
        <is>
          <t>Euler path</t>
        </is>
      </c>
      <c r="D152" s="43">
        <f>COUNTIFS(Master!$C$2:$C$918,$B152,Master!$D$2:$D$918,$C152)</f>
        <v/>
      </c>
      <c r="E152" s="43">
        <f>COUNTIFS(Master!$C$2:$C$918,$B152,Master!$D$2:$D$918,$C152,Master!$G$2:$G$918,"Core")</f>
        <v/>
      </c>
      <c r="F152" s="43">
        <f>COUNTIFS(Master!$C$2:$C$918,$B152,Master!$D$2:$D$918,$C152,Master!$J$2:$J$918,"Solved")+COUNTIFS(Master!$C$2:$C$918,$B152,Master!$D$2:$D$918,$C152,Master!$J$2:$J$918,"Mastered")</f>
        <v/>
      </c>
      <c r="G152" s="56">
        <f>IFERROR(AVERAGEIFS(Master!$K$2:$K$918,Master!$C$2:$C$918,$B152,Master!$D$2:$D$918,$C152,Master!$K$2:$K$918,"&gt;0"),"")</f>
        <v/>
      </c>
      <c r="H152" s="46">
        <f>IF($F152=0,"Untouched",IF($G152="","No rating",IF($G152&lt;=3,"Weak","Solid")))</f>
        <v/>
      </c>
    </row>
    <row r="153" ht="15" customHeight="1" s="32">
      <c r="B153" s="42" t="inlineStr">
        <is>
          <t>20. Graphs</t>
        </is>
      </c>
      <c r="C153" s="42" t="inlineStr">
        <is>
          <t>0-1 BFS</t>
        </is>
      </c>
      <c r="D153" s="43">
        <f>COUNTIFS(Master!$C$2:$C$918,$B153,Master!$D$2:$D$918,$C153)</f>
        <v/>
      </c>
      <c r="E153" s="43">
        <f>COUNTIFS(Master!$C$2:$C$918,$B153,Master!$D$2:$D$918,$C153,Master!$G$2:$G$918,"Core")</f>
        <v/>
      </c>
      <c r="F153" s="43">
        <f>COUNTIFS(Master!$C$2:$C$918,$B153,Master!$D$2:$D$918,$C153,Master!$J$2:$J$918,"Solved")+COUNTIFS(Master!$C$2:$C$918,$B153,Master!$D$2:$D$918,$C153,Master!$J$2:$J$918,"Mastered")</f>
        <v/>
      </c>
      <c r="G153" s="56">
        <f>IFERROR(AVERAGEIFS(Master!$K$2:$K$918,Master!$C$2:$C$918,$B153,Master!$D$2:$D$918,$C153,Master!$K$2:$K$918,"&gt;0"),"")</f>
        <v/>
      </c>
      <c r="H153" s="46">
        <f>IF($F153=0,"Untouched",IF($G153="","No rating",IF($G153&lt;=3,"Weak","Solid")))</f>
        <v/>
      </c>
    </row>
    <row r="154" ht="15" customHeight="1" s="32">
      <c r="B154" s="42" t="inlineStr">
        <is>
          <t>20. Graphs</t>
        </is>
      </c>
      <c r="C154" s="42" t="inlineStr">
        <is>
          <t>Binary lifting</t>
        </is>
      </c>
      <c r="D154" s="43">
        <f>COUNTIFS(Master!$C$2:$C$918,$B154,Master!$D$2:$D$918,$C154)</f>
        <v/>
      </c>
      <c r="E154" s="43">
        <f>COUNTIFS(Master!$C$2:$C$918,$B154,Master!$D$2:$D$918,$C154,Master!$G$2:$G$918,"Core")</f>
        <v/>
      </c>
      <c r="F154" s="43">
        <f>COUNTIFS(Master!$C$2:$C$918,$B154,Master!$D$2:$D$918,$C154,Master!$J$2:$J$918,"Solved")+COUNTIFS(Master!$C$2:$C$918,$B154,Master!$D$2:$D$918,$C154,Master!$J$2:$J$918,"Mastered")</f>
        <v/>
      </c>
      <c r="G154" s="56">
        <f>IFERROR(AVERAGEIFS(Master!$K$2:$K$918,Master!$C$2:$C$918,$B154,Master!$D$2:$D$918,$C154,Master!$K$2:$K$918,"&gt;0"),"")</f>
        <v/>
      </c>
      <c r="H154" s="46">
        <f>IF($F154=0,"Untouched",IF($G154="","No rating",IF($G154&lt;=3,"Weak","Solid")))</f>
        <v/>
      </c>
    </row>
    <row r="155" ht="15" customHeight="1" s="32">
      <c r="B155" s="42" t="inlineStr">
        <is>
          <t>21. Dynamic Programming</t>
        </is>
      </c>
      <c r="C155" s="42" t="inlineStr">
        <is>
          <t>1D DP</t>
        </is>
      </c>
      <c r="D155" s="43">
        <f>COUNTIFS(Master!$C$2:$C$918,$B155,Master!$D$2:$D$918,$C155)</f>
        <v/>
      </c>
      <c r="E155" s="43">
        <f>COUNTIFS(Master!$C$2:$C$918,$B155,Master!$D$2:$D$918,$C155,Master!$G$2:$G$918,"Core")</f>
        <v/>
      </c>
      <c r="F155" s="43">
        <f>COUNTIFS(Master!$C$2:$C$918,$B155,Master!$D$2:$D$918,$C155,Master!$J$2:$J$918,"Solved")+COUNTIFS(Master!$C$2:$C$918,$B155,Master!$D$2:$D$918,$C155,Master!$J$2:$J$918,"Mastered")</f>
        <v/>
      </c>
      <c r="G155" s="56">
        <f>IFERROR(AVERAGEIFS(Master!$K$2:$K$918,Master!$C$2:$C$918,$B155,Master!$D$2:$D$918,$C155,Master!$K$2:$K$918,"&gt;0"),"")</f>
        <v/>
      </c>
      <c r="H155" s="46">
        <f>IF($F155=0,"Untouched",IF($G155="","No rating",IF($G155&lt;=3,"Weak","Solid")))</f>
        <v/>
      </c>
    </row>
    <row r="156" ht="15" customHeight="1" s="32">
      <c r="B156" s="42" t="inlineStr">
        <is>
          <t>21. Dynamic Programming</t>
        </is>
      </c>
      <c r="C156" s="42" t="inlineStr">
        <is>
          <t>Grid DP</t>
        </is>
      </c>
      <c r="D156" s="43">
        <f>COUNTIFS(Master!$C$2:$C$918,$B156,Master!$D$2:$D$918,$C156)</f>
        <v/>
      </c>
      <c r="E156" s="43">
        <f>COUNTIFS(Master!$C$2:$C$918,$B156,Master!$D$2:$D$918,$C156,Master!$G$2:$G$918,"Core")</f>
        <v/>
      </c>
      <c r="F156" s="43">
        <f>COUNTIFS(Master!$C$2:$C$918,$B156,Master!$D$2:$D$918,$C156,Master!$J$2:$J$918,"Solved")+COUNTIFS(Master!$C$2:$C$918,$B156,Master!$D$2:$D$918,$C156,Master!$J$2:$J$918,"Mastered")</f>
        <v/>
      </c>
      <c r="G156" s="56">
        <f>IFERROR(AVERAGEIFS(Master!$K$2:$K$918,Master!$C$2:$C$918,$B156,Master!$D$2:$D$918,$C156,Master!$K$2:$K$918,"&gt;0"),"")</f>
        <v/>
      </c>
      <c r="H156" s="46">
        <f>IF($F156=0,"Untouched",IF($G156="","No rating",IF($G156&lt;=3,"Weak","Solid")))</f>
        <v/>
      </c>
    </row>
    <row r="157" ht="15" customHeight="1" s="32">
      <c r="B157" s="42" t="inlineStr">
        <is>
          <t>21. Dynamic Programming</t>
        </is>
      </c>
      <c r="C157" s="42" t="inlineStr">
        <is>
          <t>0/1 Knapsack</t>
        </is>
      </c>
      <c r="D157" s="43">
        <f>COUNTIFS(Master!$C$2:$C$918,$B157,Master!$D$2:$D$918,$C157)</f>
        <v/>
      </c>
      <c r="E157" s="43">
        <f>COUNTIFS(Master!$C$2:$C$918,$B157,Master!$D$2:$D$918,$C157,Master!$G$2:$G$918,"Core")</f>
        <v/>
      </c>
      <c r="F157" s="43">
        <f>COUNTIFS(Master!$C$2:$C$918,$B157,Master!$D$2:$D$918,$C157,Master!$J$2:$J$918,"Solved")+COUNTIFS(Master!$C$2:$C$918,$B157,Master!$D$2:$D$918,$C157,Master!$J$2:$J$918,"Mastered")</f>
        <v/>
      </c>
      <c r="G157" s="56">
        <f>IFERROR(AVERAGEIFS(Master!$K$2:$K$918,Master!$C$2:$C$918,$B157,Master!$D$2:$D$918,$C157,Master!$K$2:$K$918,"&gt;0"),"")</f>
        <v/>
      </c>
      <c r="H157" s="46">
        <f>IF($F157=0,"Untouched",IF($G157="","No rating",IF($G157&lt;=3,"Weak","Solid")))</f>
        <v/>
      </c>
    </row>
    <row r="158" ht="15" customHeight="1" s="32">
      <c r="B158" s="42" t="inlineStr">
        <is>
          <t>21. Dynamic Programming</t>
        </is>
      </c>
      <c r="C158" s="42" t="inlineStr">
        <is>
          <t>Unbounded Knapsack</t>
        </is>
      </c>
      <c r="D158" s="43">
        <f>COUNTIFS(Master!$C$2:$C$918,$B158,Master!$D$2:$D$918,$C158)</f>
        <v/>
      </c>
      <c r="E158" s="43">
        <f>COUNTIFS(Master!$C$2:$C$918,$B158,Master!$D$2:$D$918,$C158,Master!$G$2:$G$918,"Core")</f>
        <v/>
      </c>
      <c r="F158" s="43">
        <f>COUNTIFS(Master!$C$2:$C$918,$B158,Master!$D$2:$D$918,$C158,Master!$J$2:$J$918,"Solved")+COUNTIFS(Master!$C$2:$C$918,$B158,Master!$D$2:$D$918,$C158,Master!$J$2:$J$918,"Mastered")</f>
        <v/>
      </c>
      <c r="G158" s="56">
        <f>IFERROR(AVERAGEIFS(Master!$K$2:$K$918,Master!$C$2:$C$918,$B158,Master!$D$2:$D$918,$C158,Master!$K$2:$K$918,"&gt;0"),"")</f>
        <v/>
      </c>
      <c r="H158" s="46">
        <f>IF($F158=0,"Untouched",IF($G158="","No rating",IF($G158&lt;=3,"Weak","Solid")))</f>
        <v/>
      </c>
    </row>
    <row r="159" ht="15" customHeight="1" s="32">
      <c r="B159" s="42" t="inlineStr">
        <is>
          <t>21. Dynamic Programming</t>
        </is>
      </c>
      <c r="C159" s="42" t="inlineStr">
        <is>
          <t>LIS</t>
        </is>
      </c>
      <c r="D159" s="43">
        <f>COUNTIFS(Master!$C$2:$C$918,$B159,Master!$D$2:$D$918,$C159)</f>
        <v/>
      </c>
      <c r="E159" s="43">
        <f>COUNTIFS(Master!$C$2:$C$918,$B159,Master!$D$2:$D$918,$C159,Master!$G$2:$G$918,"Core")</f>
        <v/>
      </c>
      <c r="F159" s="43">
        <f>COUNTIFS(Master!$C$2:$C$918,$B159,Master!$D$2:$D$918,$C159,Master!$J$2:$J$918,"Solved")+COUNTIFS(Master!$C$2:$C$918,$B159,Master!$D$2:$D$918,$C159,Master!$J$2:$J$918,"Mastered")</f>
        <v/>
      </c>
      <c r="G159" s="56">
        <f>IFERROR(AVERAGEIFS(Master!$K$2:$K$918,Master!$C$2:$C$918,$B159,Master!$D$2:$D$918,$C159,Master!$K$2:$K$918,"&gt;0"),"")</f>
        <v/>
      </c>
      <c r="H159" s="46">
        <f>IF($F159=0,"Untouched",IF($G159="","No rating",IF($G159&lt;=3,"Weak","Solid")))</f>
        <v/>
      </c>
    </row>
    <row r="160" ht="15" customHeight="1" s="32">
      <c r="B160" s="42" t="inlineStr">
        <is>
          <t>21. Dynamic Programming</t>
        </is>
      </c>
      <c r="C160" s="42" t="inlineStr">
        <is>
          <t>Stocks DP</t>
        </is>
      </c>
      <c r="D160" s="43">
        <f>COUNTIFS(Master!$C$2:$C$918,$B160,Master!$D$2:$D$918,$C160)</f>
        <v/>
      </c>
      <c r="E160" s="43">
        <f>COUNTIFS(Master!$C$2:$C$918,$B160,Master!$D$2:$D$918,$C160,Master!$G$2:$G$918,"Core")</f>
        <v/>
      </c>
      <c r="F160" s="43">
        <f>COUNTIFS(Master!$C$2:$C$918,$B160,Master!$D$2:$D$918,$C160,Master!$J$2:$J$918,"Solved")+COUNTIFS(Master!$C$2:$C$918,$B160,Master!$D$2:$D$918,$C160,Master!$J$2:$J$918,"Mastered")</f>
        <v/>
      </c>
      <c r="G160" s="56">
        <f>IFERROR(AVERAGEIFS(Master!$K$2:$K$918,Master!$C$2:$C$918,$B160,Master!$D$2:$D$918,$C160,Master!$K$2:$K$918,"&gt;0"),"")</f>
        <v/>
      </c>
      <c r="H160" s="46">
        <f>IF($F160=0,"Untouched",IF($G160="","No rating",IF($G160&lt;=3,"Weak","Solid")))</f>
        <v/>
      </c>
    </row>
    <row r="161" ht="15" customHeight="1" s="32">
      <c r="B161" s="42" t="inlineStr">
        <is>
          <t>21. Dynamic Programming</t>
        </is>
      </c>
      <c r="C161" s="42" t="inlineStr">
        <is>
          <t>Squares in matrix</t>
        </is>
      </c>
      <c r="D161" s="43">
        <f>COUNTIFS(Master!$C$2:$C$918,$B161,Master!$D$2:$D$918,$C161)</f>
        <v/>
      </c>
      <c r="E161" s="43">
        <f>COUNTIFS(Master!$C$2:$C$918,$B161,Master!$D$2:$D$918,$C161,Master!$G$2:$G$918,"Core")</f>
        <v/>
      </c>
      <c r="F161" s="43">
        <f>COUNTIFS(Master!$C$2:$C$918,$B161,Master!$D$2:$D$918,$C161,Master!$J$2:$J$918,"Solved")+COUNTIFS(Master!$C$2:$C$918,$B161,Master!$D$2:$D$918,$C161,Master!$J$2:$J$918,"Mastered")</f>
        <v/>
      </c>
      <c r="G161" s="56">
        <f>IFERROR(AVERAGEIFS(Master!$K$2:$K$918,Master!$C$2:$C$918,$B161,Master!$D$2:$D$918,$C161,Master!$K$2:$K$918,"&gt;0"),"")</f>
        <v/>
      </c>
      <c r="H161" s="46">
        <f>IF($F161=0,"Untouched",IF($G161="","No rating",IF($G161&lt;=3,"Weak","Solid")))</f>
        <v/>
      </c>
    </row>
    <row r="162" ht="15" customHeight="1" s="32">
      <c r="B162" s="42" t="inlineStr">
        <is>
          <t>21. Dynamic Programming</t>
        </is>
      </c>
      <c r="C162" s="42" t="inlineStr">
        <is>
          <t>String DP</t>
        </is>
      </c>
      <c r="D162" s="43">
        <f>COUNTIFS(Master!$C$2:$C$918,$B162,Master!$D$2:$D$918,$C162)</f>
        <v/>
      </c>
      <c r="E162" s="43">
        <f>COUNTIFS(Master!$C$2:$C$918,$B162,Master!$D$2:$D$918,$C162,Master!$G$2:$G$918,"Core")</f>
        <v/>
      </c>
      <c r="F162" s="43">
        <f>COUNTIFS(Master!$C$2:$C$918,$B162,Master!$D$2:$D$918,$C162,Master!$J$2:$J$918,"Solved")+COUNTIFS(Master!$C$2:$C$918,$B162,Master!$D$2:$D$918,$C162,Master!$J$2:$J$918,"Mastered")</f>
        <v/>
      </c>
      <c r="G162" s="56">
        <f>IFERROR(AVERAGEIFS(Master!$K$2:$K$918,Master!$C$2:$C$918,$B162,Master!$D$2:$D$918,$C162,Master!$K$2:$K$918,"&gt;0"),"")</f>
        <v/>
      </c>
      <c r="H162" s="46">
        <f>IF($F162=0,"Untouched",IF($G162="","No rating",IF($G162&lt;=3,"Weak","Solid")))</f>
        <v/>
      </c>
    </row>
    <row r="163" ht="15" customHeight="1" s="32">
      <c r="B163" s="42" t="inlineStr">
        <is>
          <t>21. Dynamic Programming</t>
        </is>
      </c>
      <c r="C163" s="42" t="inlineStr">
        <is>
          <t>Partition DP</t>
        </is>
      </c>
      <c r="D163" s="43">
        <f>COUNTIFS(Master!$C$2:$C$918,$B163,Master!$D$2:$D$918,$C163)</f>
        <v/>
      </c>
      <c r="E163" s="43">
        <f>COUNTIFS(Master!$C$2:$C$918,$B163,Master!$D$2:$D$918,$C163,Master!$G$2:$G$918,"Core")</f>
        <v/>
      </c>
      <c r="F163" s="43">
        <f>COUNTIFS(Master!$C$2:$C$918,$B163,Master!$D$2:$D$918,$C163,Master!$J$2:$J$918,"Solved")+COUNTIFS(Master!$C$2:$C$918,$B163,Master!$D$2:$D$918,$C163,Master!$J$2:$J$918,"Mastered")</f>
        <v/>
      </c>
      <c r="G163" s="56">
        <f>IFERROR(AVERAGEIFS(Master!$K$2:$K$918,Master!$C$2:$C$918,$B163,Master!$D$2:$D$918,$C163,Master!$K$2:$K$918,"&gt;0"),"")</f>
        <v/>
      </c>
      <c r="H163" s="46">
        <f>IF($F163=0,"Untouched",IF($G163="","No rating",IF($G163&lt;=3,"Weak","Solid")))</f>
        <v/>
      </c>
    </row>
    <row r="164" ht="15" customHeight="1" s="32">
      <c r="B164" s="42" t="inlineStr">
        <is>
          <t>21. Dynamic Programming</t>
        </is>
      </c>
      <c r="C164" s="42" t="inlineStr">
        <is>
          <t>DP on trees</t>
        </is>
      </c>
      <c r="D164" s="43">
        <f>COUNTIFS(Master!$C$2:$C$918,$B164,Master!$D$2:$D$918,$C164)</f>
        <v/>
      </c>
      <c r="E164" s="43">
        <f>COUNTIFS(Master!$C$2:$C$918,$B164,Master!$D$2:$D$918,$C164,Master!$G$2:$G$918,"Core")</f>
        <v/>
      </c>
      <c r="F164" s="43">
        <f>COUNTIFS(Master!$C$2:$C$918,$B164,Master!$D$2:$D$918,$C164,Master!$J$2:$J$918,"Solved")+COUNTIFS(Master!$C$2:$C$918,$B164,Master!$D$2:$D$918,$C164,Master!$J$2:$J$918,"Mastered")</f>
        <v/>
      </c>
      <c r="G164" s="56">
        <f>IFERROR(AVERAGEIFS(Master!$K$2:$K$918,Master!$C$2:$C$918,$B164,Master!$D$2:$D$918,$C164,Master!$K$2:$K$918,"&gt;0"),"")</f>
        <v/>
      </c>
      <c r="H164" s="46">
        <f>IF($F164=0,"Untouched",IF($G164="","No rating",IF($G164&lt;=3,"Weak","Solid")))</f>
        <v/>
      </c>
    </row>
    <row r="165" ht="15" customHeight="1" s="32">
      <c r="B165" s="42" t="inlineStr">
        <is>
          <t>21. Dynamic Programming</t>
        </is>
      </c>
      <c r="C165" s="42" t="inlineStr">
        <is>
          <t>Game DP</t>
        </is>
      </c>
      <c r="D165" s="43">
        <f>COUNTIFS(Master!$C$2:$C$918,$B165,Master!$D$2:$D$918,$C165)</f>
        <v/>
      </c>
      <c r="E165" s="43">
        <f>COUNTIFS(Master!$C$2:$C$918,$B165,Master!$D$2:$D$918,$C165,Master!$G$2:$G$918,"Core")</f>
        <v/>
      </c>
      <c r="F165" s="43">
        <f>COUNTIFS(Master!$C$2:$C$918,$B165,Master!$D$2:$D$918,$C165,Master!$J$2:$J$918,"Solved")+COUNTIFS(Master!$C$2:$C$918,$B165,Master!$D$2:$D$918,$C165,Master!$J$2:$J$918,"Mastered")</f>
        <v/>
      </c>
      <c r="G165" s="56">
        <f>IFERROR(AVERAGEIFS(Master!$K$2:$K$918,Master!$C$2:$C$918,$B165,Master!$D$2:$D$918,$C165,Master!$K$2:$K$918,"&gt;0"),"")</f>
        <v/>
      </c>
      <c r="H165" s="46">
        <f>IF($F165=0,"Untouched",IF($G165="","No rating",IF($G165&lt;=3,"Weak","Solid")))</f>
        <v/>
      </c>
    </row>
    <row r="166" ht="15" customHeight="1" s="32">
      <c r="B166" s="42" t="inlineStr">
        <is>
          <t>21. Dynamic Programming</t>
        </is>
      </c>
      <c r="C166" s="42" t="inlineStr">
        <is>
          <t>Counting DP</t>
        </is>
      </c>
      <c r="D166" s="43">
        <f>COUNTIFS(Master!$C$2:$C$918,$B166,Master!$D$2:$D$918,$C166)</f>
        <v/>
      </c>
      <c r="E166" s="43">
        <f>COUNTIFS(Master!$C$2:$C$918,$B166,Master!$D$2:$D$918,$C166,Master!$G$2:$G$918,"Core")</f>
        <v/>
      </c>
      <c r="F166" s="43">
        <f>COUNTIFS(Master!$C$2:$C$918,$B166,Master!$D$2:$D$918,$C166,Master!$J$2:$J$918,"Solved")+COUNTIFS(Master!$C$2:$C$918,$B166,Master!$D$2:$D$918,$C166,Master!$J$2:$J$918,"Mastered")</f>
        <v/>
      </c>
      <c r="G166" s="56">
        <f>IFERROR(AVERAGEIFS(Master!$K$2:$K$918,Master!$C$2:$C$918,$B166,Master!$D$2:$D$918,$C166,Master!$K$2:$K$918,"&gt;0"),"")</f>
        <v/>
      </c>
      <c r="H166" s="46">
        <f>IF($F166=0,"Untouched",IF($G166="","No rating",IF($G166&lt;=3,"Weak","Solid")))</f>
        <v/>
      </c>
    </row>
    <row r="167" ht="15" customHeight="1" s="32">
      <c r="B167" s="42" t="inlineStr">
        <is>
          <t>22. Design</t>
        </is>
      </c>
      <c r="C167" s="42" t="inlineStr">
        <is>
          <t>Hash structures</t>
        </is>
      </c>
      <c r="D167" s="43">
        <f>COUNTIFS(Master!$C$2:$C$918,$B167,Master!$D$2:$D$918,$C167)</f>
        <v/>
      </c>
      <c r="E167" s="43">
        <f>COUNTIFS(Master!$C$2:$C$918,$B167,Master!$D$2:$D$918,$C167,Master!$G$2:$G$918,"Core")</f>
        <v/>
      </c>
      <c r="F167" s="43">
        <f>COUNTIFS(Master!$C$2:$C$918,$B167,Master!$D$2:$D$918,$C167,Master!$J$2:$J$918,"Solved")+COUNTIFS(Master!$C$2:$C$918,$B167,Master!$D$2:$D$918,$C167,Master!$J$2:$J$918,"Mastered")</f>
        <v/>
      </c>
      <c r="G167" s="56">
        <f>IFERROR(AVERAGEIFS(Master!$K$2:$K$918,Master!$C$2:$C$918,$B167,Master!$D$2:$D$918,$C167,Master!$K$2:$K$918,"&gt;0"),"")</f>
        <v/>
      </c>
      <c r="H167" s="46">
        <f>IF($F167=0,"Untouched",IF($G167="","No rating",IF($G167&lt;=3,"Weak","Solid")))</f>
        <v/>
      </c>
    </row>
    <row r="168" ht="15" customHeight="1" s="32">
      <c r="B168" s="42" t="inlineStr">
        <is>
          <t>22. Design</t>
        </is>
      </c>
      <c r="C168" s="42" t="inlineStr">
        <is>
          <t>Cache</t>
        </is>
      </c>
      <c r="D168" s="43">
        <f>COUNTIFS(Master!$C$2:$C$918,$B168,Master!$D$2:$D$918,$C168)</f>
        <v/>
      </c>
      <c r="E168" s="43">
        <f>COUNTIFS(Master!$C$2:$C$918,$B168,Master!$D$2:$D$918,$C168,Master!$G$2:$G$918,"Core")</f>
        <v/>
      </c>
      <c r="F168" s="43">
        <f>COUNTIFS(Master!$C$2:$C$918,$B168,Master!$D$2:$D$918,$C168,Master!$J$2:$J$918,"Solved")+COUNTIFS(Master!$C$2:$C$918,$B168,Master!$D$2:$D$918,$C168,Master!$J$2:$J$918,"Mastered")</f>
        <v/>
      </c>
      <c r="G168" s="56">
        <f>IFERROR(AVERAGEIFS(Master!$K$2:$K$918,Master!$C$2:$C$918,$B168,Master!$D$2:$D$918,$C168,Master!$K$2:$K$918,"&gt;0"),"")</f>
        <v/>
      </c>
      <c r="H168" s="46">
        <f>IF($F168=0,"Untouched",IF($G168="","No rating",IF($G168&lt;=3,"Weak","Solid")))</f>
        <v/>
      </c>
    </row>
    <row r="169" ht="15" customHeight="1" s="32">
      <c r="B169" s="42" t="inlineStr">
        <is>
          <t>22. Design</t>
        </is>
      </c>
      <c r="C169" s="42" t="inlineStr">
        <is>
          <t>Systems</t>
        </is>
      </c>
      <c r="D169" s="43">
        <f>COUNTIFS(Master!$C$2:$C$918,$B169,Master!$D$2:$D$918,$C169)</f>
        <v/>
      </c>
      <c r="E169" s="43">
        <f>COUNTIFS(Master!$C$2:$C$918,$B169,Master!$D$2:$D$918,$C169,Master!$G$2:$G$918,"Core")</f>
        <v/>
      </c>
      <c r="F169" s="43">
        <f>COUNTIFS(Master!$C$2:$C$918,$B169,Master!$D$2:$D$918,$C169,Master!$J$2:$J$918,"Solved")+COUNTIFS(Master!$C$2:$C$918,$B169,Master!$D$2:$D$918,$C169,Master!$J$2:$J$918,"Mastered")</f>
        <v/>
      </c>
      <c r="G169" s="56">
        <f>IFERROR(AVERAGEIFS(Master!$K$2:$K$918,Master!$C$2:$C$918,$B169,Master!$D$2:$D$918,$C169,Master!$K$2:$K$918,"&gt;0"),"")</f>
        <v/>
      </c>
      <c r="H169" s="46">
        <f>IF($F169=0,"Untouched",IF($G169="","No rating",IF($G169&lt;=3,"Weak","Solid")))</f>
        <v/>
      </c>
    </row>
    <row r="170" ht="15" customHeight="1" s="32">
      <c r="B170" s="42" t="inlineStr">
        <is>
          <t>22. Design</t>
        </is>
      </c>
      <c r="C170" s="42" t="inlineStr">
        <is>
          <t>Versioned data</t>
        </is>
      </c>
      <c r="D170" s="43">
        <f>COUNTIFS(Master!$C$2:$C$918,$B170,Master!$D$2:$D$918,$C170)</f>
        <v/>
      </c>
      <c r="E170" s="43">
        <f>COUNTIFS(Master!$C$2:$C$918,$B170,Master!$D$2:$D$918,$C170,Master!$G$2:$G$918,"Core")</f>
        <v/>
      </c>
      <c r="F170" s="43">
        <f>COUNTIFS(Master!$C$2:$C$918,$B170,Master!$D$2:$D$918,$C170,Master!$J$2:$J$918,"Solved")+COUNTIFS(Master!$C$2:$C$918,$B170,Master!$D$2:$D$918,$C170,Master!$J$2:$J$918,"Mastered")</f>
        <v/>
      </c>
      <c r="G170" s="56">
        <f>IFERROR(AVERAGEIFS(Master!$K$2:$K$918,Master!$C$2:$C$918,$B170,Master!$D$2:$D$918,$C170,Master!$K$2:$K$918,"&gt;0"),"")</f>
        <v/>
      </c>
      <c r="H170" s="46">
        <f>IF($F170=0,"Untouched",IF($G170="","No rating",IF($G170&lt;=3,"Weak","Solid")))</f>
        <v/>
      </c>
    </row>
    <row r="171" ht="15" customHeight="1" s="32">
      <c r="B171" s="42" t="inlineStr">
        <is>
          <t>22. Design</t>
        </is>
      </c>
      <c r="C171" s="42" t="inlineStr">
        <is>
          <t>Randomized / sampling</t>
        </is>
      </c>
      <c r="D171" s="43">
        <f>COUNTIFS(Master!$C$2:$C$918,$B171,Master!$D$2:$D$918,$C171)</f>
        <v/>
      </c>
      <c r="E171" s="43">
        <f>COUNTIFS(Master!$C$2:$C$918,$B171,Master!$D$2:$D$918,$C171,Master!$G$2:$G$918,"Core")</f>
        <v/>
      </c>
      <c r="F171" s="43">
        <f>COUNTIFS(Master!$C$2:$C$918,$B171,Master!$D$2:$D$918,$C171,Master!$J$2:$J$918,"Solved")+COUNTIFS(Master!$C$2:$C$918,$B171,Master!$D$2:$D$918,$C171,Master!$J$2:$J$918,"Mastered")</f>
        <v/>
      </c>
      <c r="G171" s="56">
        <f>IFERROR(AVERAGEIFS(Master!$K$2:$K$918,Master!$C$2:$C$918,$B171,Master!$D$2:$D$918,$C171,Master!$K$2:$K$918,"&gt;0"),"")</f>
        <v/>
      </c>
      <c r="H171" s="46">
        <f>IF($F171=0,"Untouched",IF($G171="","No rating",IF($G171&lt;=3,"Weak","Solid")))</f>
        <v/>
      </c>
    </row>
    <row r="172" ht="15" customHeight="1" s="32">
      <c r="B172" s="42" t="inlineStr">
        <is>
          <t>23. Advanced DS</t>
        </is>
      </c>
      <c r="C172" s="42" t="inlineStr">
        <is>
          <t>Fenwick tree</t>
        </is>
      </c>
      <c r="D172" s="43">
        <f>COUNTIFS(Master!$C$2:$C$918,$B172,Master!$D$2:$D$918,$C172)</f>
        <v/>
      </c>
      <c r="E172" s="43">
        <f>COUNTIFS(Master!$C$2:$C$918,$B172,Master!$D$2:$D$918,$C172,Master!$G$2:$G$918,"Core")</f>
        <v/>
      </c>
      <c r="F172" s="43">
        <f>COUNTIFS(Master!$C$2:$C$918,$B172,Master!$D$2:$D$918,$C172,Master!$J$2:$J$918,"Solved")+COUNTIFS(Master!$C$2:$C$918,$B172,Master!$D$2:$D$918,$C172,Master!$J$2:$J$918,"Mastered")</f>
        <v/>
      </c>
      <c r="G172" s="56">
        <f>IFERROR(AVERAGEIFS(Master!$K$2:$K$918,Master!$C$2:$C$918,$B172,Master!$D$2:$D$918,$C172,Master!$K$2:$K$918,"&gt;0"),"")</f>
        <v/>
      </c>
      <c r="H172" s="46">
        <f>IF($F172=0,"Untouched",IF($G172="","No rating",IF($G172&lt;=3,"Weak","Solid")))</f>
        <v/>
      </c>
    </row>
    <row r="173" ht="15" customHeight="1" s="32">
      <c r="B173" s="42" t="inlineStr">
        <is>
          <t>23. Advanced DS</t>
        </is>
      </c>
      <c r="C173" s="42" t="inlineStr">
        <is>
          <t>Segment tree</t>
        </is>
      </c>
      <c r="D173" s="43">
        <f>COUNTIFS(Master!$C$2:$C$918,$B173,Master!$D$2:$D$918,$C173)</f>
        <v/>
      </c>
      <c r="E173" s="43">
        <f>COUNTIFS(Master!$C$2:$C$918,$B173,Master!$D$2:$D$918,$C173,Master!$G$2:$G$918,"Core")</f>
        <v/>
      </c>
      <c r="F173" s="43">
        <f>COUNTIFS(Master!$C$2:$C$918,$B173,Master!$D$2:$D$918,$C173,Master!$J$2:$J$918,"Solved")+COUNTIFS(Master!$C$2:$C$918,$B173,Master!$D$2:$D$918,$C173,Master!$J$2:$J$918,"Mastered")</f>
        <v/>
      </c>
      <c r="G173" s="56">
        <f>IFERROR(AVERAGEIFS(Master!$K$2:$K$918,Master!$C$2:$C$918,$B173,Master!$D$2:$D$918,$C173,Master!$K$2:$K$918,"&gt;0"),"")</f>
        <v/>
      </c>
      <c r="H173" s="46">
        <f>IF($F173=0,"Untouched",IF($G173="","No rating",IF($G173&lt;=3,"Weak","Solid")))</f>
        <v/>
      </c>
    </row>
    <row r="174" ht="15" customHeight="1" s="32">
      <c r="B174" s="42" t="inlineStr">
        <is>
          <t>23. Advanced DS</t>
        </is>
      </c>
      <c r="C174" s="42" t="inlineStr">
        <is>
          <t>Sparse table</t>
        </is>
      </c>
      <c r="D174" s="43">
        <f>COUNTIFS(Master!$C$2:$C$918,$B174,Master!$D$2:$D$918,$C174)</f>
        <v/>
      </c>
      <c r="E174" s="43">
        <f>COUNTIFS(Master!$C$2:$C$918,$B174,Master!$D$2:$D$918,$C174,Master!$G$2:$G$918,"Core")</f>
        <v/>
      </c>
      <c r="F174" s="43">
        <f>COUNTIFS(Master!$C$2:$C$918,$B174,Master!$D$2:$D$918,$C174,Master!$J$2:$J$918,"Solved")+COUNTIFS(Master!$C$2:$C$918,$B174,Master!$D$2:$D$918,$C174,Master!$J$2:$J$918,"Mastered")</f>
        <v/>
      </c>
      <c r="G174" s="56">
        <f>IFERROR(AVERAGEIFS(Master!$K$2:$K$918,Master!$C$2:$C$918,$B174,Master!$D$2:$D$918,$C174,Master!$K$2:$K$918,"&gt;0"),"")</f>
        <v/>
      </c>
      <c r="H174" s="46">
        <f>IF($F174=0,"Untouched",IF($G174="","No rating",IF($G174&lt;=3,"Weak","Solid")))</f>
        <v/>
      </c>
    </row>
    <row r="175" ht="15" customHeight="1" s="32">
      <c r="B175" s="42" t="inlineStr">
        <is>
          <t>23. Advanced DS</t>
        </is>
      </c>
      <c r="C175" s="42" t="inlineStr">
        <is>
          <t>Sweep line</t>
        </is>
      </c>
      <c r="D175" s="43">
        <f>COUNTIFS(Master!$C$2:$C$918,$B175,Master!$D$2:$D$918,$C175)</f>
        <v/>
      </c>
      <c r="E175" s="43">
        <f>COUNTIFS(Master!$C$2:$C$918,$B175,Master!$D$2:$D$918,$C175,Master!$G$2:$G$918,"Core")</f>
        <v/>
      </c>
      <c r="F175" s="43">
        <f>COUNTIFS(Master!$C$2:$C$918,$B175,Master!$D$2:$D$918,$C175,Master!$J$2:$J$918,"Solved")+COUNTIFS(Master!$C$2:$C$918,$B175,Master!$D$2:$D$918,$C175,Master!$J$2:$J$918,"Mastered")</f>
        <v/>
      </c>
      <c r="G175" s="56">
        <f>IFERROR(AVERAGEIFS(Master!$K$2:$K$918,Master!$C$2:$C$918,$B175,Master!$D$2:$D$918,$C175,Master!$K$2:$K$918,"&gt;0"),"")</f>
        <v/>
      </c>
      <c r="H175" s="46">
        <f>IF($F175=0,"Untouched",IF($G175="","No rating",IF($G175&lt;=3,"Weak","Solid")))</f>
        <v/>
      </c>
    </row>
    <row r="176" ht="15" customHeight="1" s="32">
      <c r="B176" s="42" t="inlineStr">
        <is>
          <t>23. Advanced DS</t>
        </is>
      </c>
      <c r="C176" s="42" t="inlineStr">
        <is>
          <t>Ordered set</t>
        </is>
      </c>
      <c r="D176" s="43">
        <f>COUNTIFS(Master!$C$2:$C$918,$B176,Master!$D$2:$D$918,$C176)</f>
        <v/>
      </c>
      <c r="E176" s="43">
        <f>COUNTIFS(Master!$C$2:$C$918,$B176,Master!$D$2:$D$918,$C176,Master!$G$2:$G$918,"Core")</f>
        <v/>
      </c>
      <c r="F176" s="43">
        <f>COUNTIFS(Master!$C$2:$C$918,$B176,Master!$D$2:$D$918,$C176,Master!$J$2:$J$918,"Solved")+COUNTIFS(Master!$C$2:$C$918,$B176,Master!$D$2:$D$918,$C176,Master!$J$2:$J$918,"Mastered")</f>
        <v/>
      </c>
      <c r="G176" s="56">
        <f>IFERROR(AVERAGEIFS(Master!$K$2:$K$918,Master!$C$2:$C$918,$B176,Master!$D$2:$D$918,$C176,Master!$K$2:$K$918,"&gt;0"),"")</f>
        <v/>
      </c>
      <c r="H176" s="46">
        <f>IF($F176=0,"Untouched",IF($G176="","No rating",IF($G176&lt;=3,"Weak","Solid")))</f>
        <v/>
      </c>
    </row>
    <row r="177" ht="15" customHeight="1" s="32">
      <c r="B177" s="42" t="inlineStr">
        <is>
          <t>21. Dynamic Programming</t>
        </is>
      </c>
      <c r="C177" s="42" t="inlineStr">
        <is>
          <t>Bitmask DP</t>
        </is>
      </c>
      <c r="D177" s="43">
        <f>COUNTIFS(Master!$C$2:$C$918,$B177,Master!$D$2:$D$918,$C177)</f>
        <v/>
      </c>
      <c r="E177" s="43">
        <f>COUNTIFS(Master!$C$2:$C$918,$B177,Master!$D$2:$D$918,$C177,Master!$G$2:$G$918,"Core")</f>
        <v/>
      </c>
      <c r="F177" s="43">
        <f>COUNTIFS(Master!$C$2:$C$918,$B177,Master!$D$2:$D$918,$C177,Master!$J$2:$J$918,"Solved")+COUNTIFS(Master!$C$2:$C$918,$B177,Master!$D$2:$D$918,$C177,Master!$J$2:$J$918,"Mastered")</f>
        <v/>
      </c>
      <c r="G177" s="56">
        <f>IFERROR(AVERAGEIFS(Master!$K$2:$K$918,Master!$C$2:$C$918,$B177,Master!$D$2:$D$918,$C177,Master!$K$2:$K$918,"&gt;0"),"")</f>
        <v/>
      </c>
      <c r="H177" s="46">
        <f>IF($F177=0,"Untouched",IF($G177="","No rating",IF($G177&lt;=3,"Weak","Solid")))</f>
        <v/>
      </c>
    </row>
  </sheetData>
  <autoFilter ref="B5:H177"/>
  <conditionalFormatting sqref="H6:H177">
    <cfRule type="cellIs" rank="0" priority="2" equalAverage="0" operator="equal" aboveAverage="0" dxfId="17" text="" percent="0" bottom="0">
      <formula>"Untouched"</formula>
    </cfRule>
    <cfRule type="cellIs" rank="0" priority="3" equalAverage="0" operator="equal" aboveAverage="0" dxfId="18" text="" percent="0" bottom="0">
      <formula>"Weak"</formula>
    </cfRule>
    <cfRule type="cellIs" rank="0" priority="4" equalAverage="0" operator="equal" aboveAverage="0" dxfId="19" text="" percent="0" bottom="0">
      <formula>"Solid"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2" min="1" max="1"/>
    <col width="26" customWidth="1" style="32" min="2" max="2"/>
    <col width="10" customWidth="1" style="32" min="3" max="3"/>
    <col width="10" customWidth="1" style="32" min="4" max="4"/>
    <col width="9" customWidth="1" style="32" min="5" max="5"/>
  </cols>
  <sheetData>
    <row r="1">
      <c r="A1" s="60" t="inlineStr">
        <is>
          <t>Topic</t>
        </is>
      </c>
      <c r="B1" s="60" t="inlineStr">
        <is>
          <t>Pattern</t>
        </is>
      </c>
      <c r="C1" s="60" t="inlineStr">
        <is>
          <t>Core</t>
        </is>
      </c>
      <c r="D1" s="60" t="inlineStr">
        <is>
          <t>Depth</t>
        </is>
      </c>
      <c r="E1" s="60" t="inlineStr">
        <is>
          <t>Stretch</t>
        </is>
      </c>
    </row>
    <row r="2">
      <c r="A2" s="31" t="inlineStr">
        <is>
          <t>01. Basics &amp; Recursion</t>
        </is>
      </c>
      <c r="B2" s="31" t="inlineStr">
        <is>
          <t>Recursion warm-up</t>
        </is>
      </c>
      <c r="C2" s="31" t="n">
        <v>10</v>
      </c>
      <c r="D2" s="31" t="n">
        <v>0</v>
      </c>
      <c r="E2" s="31" t="n">
        <v>0</v>
      </c>
    </row>
    <row r="3">
      <c r="A3" s="31" t="inlineStr">
        <is>
          <t>01. Basics &amp; Recursion</t>
        </is>
      </c>
      <c r="B3" s="31" t="inlineStr">
        <is>
          <t>Divide &amp; Conquer</t>
        </is>
      </c>
      <c r="C3" s="31" t="n">
        <v>4</v>
      </c>
      <c r="D3" s="31" t="n">
        <v>0</v>
      </c>
      <c r="E3" s="31" t="n">
        <v>0</v>
      </c>
    </row>
    <row r="4">
      <c r="A4" s="31" t="inlineStr">
        <is>
          <t>02. Arrays &amp; Two Pointers</t>
        </is>
      </c>
      <c r="B4" s="31" t="inlineStr">
        <is>
          <t>Basics</t>
        </is>
      </c>
      <c r="C4" s="31" t="n">
        <v>3</v>
      </c>
      <c r="D4" s="31" t="n">
        <v>0</v>
      </c>
      <c r="E4" s="31" t="n">
        <v>0</v>
      </c>
    </row>
    <row r="5">
      <c r="A5" s="31" t="inlineStr">
        <is>
          <t>02. Arrays &amp; Two Pointers</t>
        </is>
      </c>
      <c r="B5" s="31" t="inlineStr">
        <is>
          <t>Two pointers</t>
        </is>
      </c>
      <c r="C5" s="31" t="n">
        <v>4</v>
      </c>
      <c r="D5" s="31" t="n">
        <v>10</v>
      </c>
      <c r="E5" s="31" t="n">
        <v>1</v>
      </c>
    </row>
    <row r="6">
      <c r="A6" s="31" t="inlineStr">
        <is>
          <t>02. Arrays &amp; Two Pointers</t>
        </is>
      </c>
      <c r="B6" s="31" t="inlineStr">
        <is>
          <t>Dutch National Flag</t>
        </is>
      </c>
      <c r="C6" s="31" t="n">
        <v>2</v>
      </c>
      <c r="D6" s="31" t="n">
        <v>2</v>
      </c>
      <c r="E6" s="31" t="n">
        <v>0</v>
      </c>
    </row>
    <row r="7">
      <c r="A7" s="31" t="inlineStr">
        <is>
          <t>02. Arrays &amp; Two Pointers</t>
        </is>
      </c>
      <c r="B7" s="31" t="inlineStr">
        <is>
          <t>Frequency scan</t>
        </is>
      </c>
      <c r="C7" s="31" t="n">
        <v>2</v>
      </c>
      <c r="D7" s="31" t="n">
        <v>0</v>
      </c>
      <c r="E7" s="31" t="n">
        <v>0</v>
      </c>
    </row>
    <row r="8">
      <c r="A8" s="31" t="inlineStr">
        <is>
          <t>02. Arrays &amp; Two Pointers</t>
        </is>
      </c>
      <c r="B8" s="31" t="inlineStr">
        <is>
          <t>Voting / counting</t>
        </is>
      </c>
      <c r="C8" s="31" t="n">
        <v>2</v>
      </c>
      <c r="D8" s="31" t="n">
        <v>0</v>
      </c>
      <c r="E8" s="31" t="n">
        <v>0</v>
      </c>
    </row>
    <row r="9">
      <c r="A9" s="31" t="inlineStr">
        <is>
          <t>02. Arrays &amp; Two Pointers</t>
        </is>
      </c>
      <c r="B9" s="31" t="inlineStr">
        <is>
          <t>Rearrangement</t>
        </is>
      </c>
      <c r="C9" s="31" t="n">
        <v>2</v>
      </c>
      <c r="D9" s="31" t="n">
        <v>3</v>
      </c>
      <c r="E9" s="31" t="n">
        <v>0</v>
      </c>
    </row>
    <row r="10">
      <c r="A10" s="31" t="inlineStr">
        <is>
          <t>02. Arrays &amp; Two Pointers</t>
        </is>
      </c>
      <c r="B10" s="31" t="inlineStr">
        <is>
          <t>K-Sum</t>
        </is>
      </c>
      <c r="C10" s="31" t="n">
        <v>3</v>
      </c>
      <c r="D10" s="31" t="n">
        <v>2</v>
      </c>
      <c r="E10" s="31" t="n">
        <v>0</v>
      </c>
    </row>
    <row r="11">
      <c r="A11" s="31" t="inlineStr">
        <is>
          <t>03. Sorting &amp; Cyclic Sort</t>
        </is>
      </c>
      <c r="B11" s="31" t="inlineStr">
        <is>
          <t>Custom comparator</t>
        </is>
      </c>
      <c r="C11" s="31" t="n">
        <v>3</v>
      </c>
      <c r="D11" s="31" t="n">
        <v>2</v>
      </c>
      <c r="E11" s="31" t="n">
        <v>0</v>
      </c>
    </row>
    <row r="12">
      <c r="A12" s="31" t="inlineStr">
        <is>
          <t>03. Sorting &amp; Cyclic Sort</t>
        </is>
      </c>
      <c r="B12" s="31" t="inlineStr">
        <is>
          <t>Counting sort</t>
        </is>
      </c>
      <c r="C12" s="31" t="n">
        <v>4</v>
      </c>
      <c r="D12" s="31" t="n">
        <v>1</v>
      </c>
      <c r="E12" s="31" t="n">
        <v>0</v>
      </c>
    </row>
    <row r="13">
      <c r="A13" s="31" t="inlineStr">
        <is>
          <t>03. Sorting &amp; Cyclic Sort</t>
        </is>
      </c>
      <c r="B13" s="31" t="inlineStr">
        <is>
          <t>Cyclic sort</t>
        </is>
      </c>
      <c r="C13" s="31" t="n">
        <v>2</v>
      </c>
      <c r="D13" s="31" t="n">
        <v>3</v>
      </c>
      <c r="E13" s="31" t="n">
        <v>1</v>
      </c>
    </row>
    <row r="14">
      <c r="A14" s="31" t="inlineStr">
        <is>
          <t>03. Sorting &amp; Cyclic Sort</t>
        </is>
      </c>
      <c r="B14" s="31" t="inlineStr">
        <is>
          <t>Sorting application</t>
        </is>
      </c>
      <c r="C14" s="31" t="n">
        <v>4</v>
      </c>
      <c r="D14" s="31" t="n">
        <v>1</v>
      </c>
      <c r="E14" s="31" t="n">
        <v>1</v>
      </c>
    </row>
    <row r="15">
      <c r="A15" s="31" t="inlineStr">
        <is>
          <t>04. Hashing</t>
        </is>
      </c>
      <c r="B15" s="31" t="inlineStr">
        <is>
          <t>Set basics</t>
        </is>
      </c>
      <c r="C15" s="31" t="n">
        <v>4</v>
      </c>
      <c r="D15" s="31" t="n">
        <v>2</v>
      </c>
      <c r="E15" s="31" t="n">
        <v>0</v>
      </c>
    </row>
    <row r="16">
      <c r="A16" s="31" t="inlineStr">
        <is>
          <t>04. Hashing</t>
        </is>
      </c>
      <c r="B16" s="31" t="inlineStr">
        <is>
          <t>Complement lookup</t>
        </is>
      </c>
      <c r="C16" s="31" t="n">
        <v>1</v>
      </c>
      <c r="D16" s="31" t="n">
        <v>0</v>
      </c>
      <c r="E16" s="31" t="n">
        <v>0</v>
      </c>
    </row>
    <row r="17">
      <c r="A17" s="31" t="inlineStr">
        <is>
          <t>04. Hashing</t>
        </is>
      </c>
      <c r="B17" s="31" t="inlineStr">
        <is>
          <t>Frequency map</t>
        </is>
      </c>
      <c r="C17" s="31" t="n">
        <v>2</v>
      </c>
      <c r="D17" s="31" t="n">
        <v>5</v>
      </c>
      <c r="E17" s="31" t="n">
        <v>0</v>
      </c>
    </row>
    <row r="18">
      <c r="A18" s="31" t="inlineStr">
        <is>
          <t>04. Hashing</t>
        </is>
      </c>
      <c r="B18" s="31" t="inlineStr">
        <is>
          <t>Set + scan</t>
        </is>
      </c>
      <c r="C18" s="31" t="n">
        <v>4</v>
      </c>
      <c r="D18" s="31" t="n">
        <v>1</v>
      </c>
      <c r="E18" s="31" t="n">
        <v>0</v>
      </c>
    </row>
    <row r="19">
      <c r="A19" s="31" t="inlineStr">
        <is>
          <t>04. Hashing</t>
        </is>
      </c>
      <c r="B19" s="31" t="inlineStr">
        <is>
          <t>Cycle detection</t>
        </is>
      </c>
      <c r="C19" s="31" t="n">
        <v>1</v>
      </c>
      <c r="D19" s="31" t="n">
        <v>0</v>
      </c>
      <c r="E19" s="31" t="n">
        <v>0</v>
      </c>
    </row>
    <row r="20">
      <c r="A20" s="31" t="inlineStr">
        <is>
          <t>04. Hashing</t>
        </is>
      </c>
      <c r="B20" s="31" t="inlineStr">
        <is>
          <t>Grid hashing</t>
        </is>
      </c>
      <c r="C20" s="31" t="n">
        <v>3</v>
      </c>
      <c r="D20" s="31" t="n">
        <v>2</v>
      </c>
      <c r="E20" s="31" t="n">
        <v>0</v>
      </c>
    </row>
    <row r="21">
      <c r="A21" s="31" t="inlineStr">
        <is>
          <t>04. Hashing</t>
        </is>
      </c>
      <c r="B21" s="31" t="inlineStr">
        <is>
          <t>Line hashing</t>
        </is>
      </c>
      <c r="C21" s="31" t="n">
        <v>2</v>
      </c>
      <c r="D21" s="31" t="n">
        <v>3</v>
      </c>
      <c r="E21" s="31" t="n">
        <v>0</v>
      </c>
    </row>
    <row r="22">
      <c r="A22" s="31" t="inlineStr">
        <is>
          <t>04. Hashing</t>
        </is>
      </c>
      <c r="B22" s="31" t="inlineStr">
        <is>
          <t>Meet in the middle</t>
        </is>
      </c>
      <c r="C22" s="31" t="n">
        <v>1</v>
      </c>
      <c r="D22" s="31" t="n">
        <v>1</v>
      </c>
      <c r="E22" s="31" t="n">
        <v>3</v>
      </c>
    </row>
    <row r="23">
      <c r="A23" s="31" t="inlineStr">
        <is>
          <t>05. Prefix Sum &amp; Kadane</t>
        </is>
      </c>
      <c r="B23" s="31" t="inlineStr">
        <is>
          <t>Prefix basics</t>
        </is>
      </c>
      <c r="C23" s="31" t="n">
        <v>3</v>
      </c>
      <c r="D23" s="31" t="n">
        <v>2</v>
      </c>
      <c r="E23" s="31" t="n">
        <v>0</v>
      </c>
    </row>
    <row r="24">
      <c r="A24" s="31" t="inlineStr">
        <is>
          <t>05. Prefix Sum &amp; Kadane</t>
        </is>
      </c>
      <c r="B24" s="31" t="inlineStr">
        <is>
          <t>Kadane</t>
        </is>
      </c>
      <c r="C24" s="31" t="n">
        <v>4</v>
      </c>
      <c r="D24" s="31" t="n">
        <v>3</v>
      </c>
      <c r="E24" s="31" t="n">
        <v>0</v>
      </c>
    </row>
    <row r="25">
      <c r="A25" s="31" t="inlineStr">
        <is>
          <t>05. Prefix Sum &amp; Kadane</t>
        </is>
      </c>
      <c r="B25" s="31" t="inlineStr">
        <is>
          <t>Prefix + HashMap</t>
        </is>
      </c>
      <c r="C25" s="31" t="n">
        <v>2</v>
      </c>
      <c r="D25" s="31" t="n">
        <v>3</v>
      </c>
      <c r="E25" s="31" t="n">
        <v>0</v>
      </c>
    </row>
    <row r="26">
      <c r="A26" s="31" t="inlineStr">
        <is>
          <t>05. Prefix Sum &amp; Kadane</t>
        </is>
      </c>
      <c r="B26" s="31" t="inlineStr">
        <is>
          <t>Difference array</t>
        </is>
      </c>
      <c r="C26" s="31" t="n">
        <v>3</v>
      </c>
      <c r="D26" s="31" t="n">
        <v>1</v>
      </c>
      <c r="E26" s="31" t="n">
        <v>1</v>
      </c>
    </row>
    <row r="27">
      <c r="A27" s="31" t="inlineStr">
        <is>
          <t>06. Sliding Window</t>
        </is>
      </c>
      <c r="B27" s="31" t="inlineStr">
        <is>
          <t>Fixed window</t>
        </is>
      </c>
      <c r="C27" s="31" t="n">
        <v>3</v>
      </c>
      <c r="D27" s="31" t="n">
        <v>2</v>
      </c>
      <c r="E27" s="31" t="n">
        <v>0</v>
      </c>
    </row>
    <row r="28">
      <c r="A28" s="31" t="inlineStr">
        <is>
          <t>06. Sliding Window</t>
        </is>
      </c>
      <c r="B28" s="31" t="inlineStr">
        <is>
          <t>Variable window</t>
        </is>
      </c>
      <c r="C28" s="31" t="n">
        <v>4</v>
      </c>
      <c r="D28" s="31" t="n">
        <v>4</v>
      </c>
      <c r="E28" s="31" t="n">
        <v>0</v>
      </c>
    </row>
    <row r="29">
      <c r="A29" s="31" t="inlineStr">
        <is>
          <t>06. Sliding Window</t>
        </is>
      </c>
      <c r="B29" s="31" t="inlineStr">
        <is>
          <t>Anagram window</t>
        </is>
      </c>
      <c r="C29" s="31" t="n">
        <v>2</v>
      </c>
      <c r="D29" s="31" t="n">
        <v>3</v>
      </c>
      <c r="E29" s="31" t="n">
        <v>0</v>
      </c>
    </row>
    <row r="30">
      <c r="A30" s="31" t="inlineStr">
        <is>
          <t>06. Sliding Window</t>
        </is>
      </c>
      <c r="B30" s="31" t="inlineStr">
        <is>
          <t>Count exactly-K trick</t>
        </is>
      </c>
      <c r="C30" s="31" t="n">
        <v>2</v>
      </c>
      <c r="D30" s="31" t="n">
        <v>2</v>
      </c>
      <c r="E30" s="31" t="n">
        <v>1</v>
      </c>
    </row>
    <row r="31">
      <c r="A31" s="31" t="inlineStr">
        <is>
          <t>06. Sliding Window</t>
        </is>
      </c>
      <c r="B31" s="31" t="inlineStr">
        <is>
          <t>Hard window</t>
        </is>
      </c>
      <c r="C31" s="31" t="n">
        <v>1</v>
      </c>
      <c r="D31" s="31" t="n">
        <v>2</v>
      </c>
      <c r="E31" s="31" t="n">
        <v>2</v>
      </c>
    </row>
    <row r="32">
      <c r="A32" s="31" t="inlineStr">
        <is>
          <t>02. Arrays &amp; Two Pointers</t>
        </is>
      </c>
      <c r="B32" s="31" t="inlineStr">
        <is>
          <t>Index cycles</t>
        </is>
      </c>
      <c r="C32" s="31" t="n">
        <v>0</v>
      </c>
      <c r="D32" s="31" t="n">
        <v>2</v>
      </c>
      <c r="E32" s="31" t="n">
        <v>0</v>
      </c>
    </row>
    <row r="33">
      <c r="A33" s="31" t="inlineStr">
        <is>
          <t>05. Prefix Sum &amp; Kadane</t>
        </is>
      </c>
      <c r="B33" s="31" t="inlineStr">
        <is>
          <t>Prefix applications</t>
        </is>
      </c>
      <c r="C33" s="31" t="n">
        <v>0</v>
      </c>
      <c r="D33" s="31" t="n">
        <v>4</v>
      </c>
      <c r="E33" s="31" t="n">
        <v>0</v>
      </c>
    </row>
    <row r="34">
      <c r="A34" s="31" t="inlineStr">
        <is>
          <t>07. Binary Search</t>
        </is>
      </c>
      <c r="B34" s="31" t="inlineStr">
        <is>
          <t>Vanilla BS</t>
        </is>
      </c>
      <c r="C34" s="31" t="n">
        <v>3</v>
      </c>
      <c r="D34" s="31" t="n">
        <v>0</v>
      </c>
      <c r="E34" s="31" t="n">
        <v>0</v>
      </c>
    </row>
    <row r="35">
      <c r="A35" s="31" t="inlineStr">
        <is>
          <t>07. Binary Search</t>
        </is>
      </c>
      <c r="B35" s="31" t="inlineStr">
        <is>
          <t>BS on answer</t>
        </is>
      </c>
      <c r="C35" s="31" t="n">
        <v>5</v>
      </c>
      <c r="D35" s="31" t="n">
        <v>9</v>
      </c>
      <c r="E35" s="31" t="n">
        <v>2</v>
      </c>
    </row>
    <row r="36">
      <c r="A36" s="31" t="inlineStr">
        <is>
          <t>07. Binary Search</t>
        </is>
      </c>
      <c r="B36" s="31" t="inlineStr">
        <is>
          <t>Lower/Upper bound</t>
        </is>
      </c>
      <c r="C36" s="31" t="n">
        <v>4</v>
      </c>
      <c r="D36" s="31" t="n">
        <v>1</v>
      </c>
      <c r="E36" s="31" t="n">
        <v>0</v>
      </c>
    </row>
    <row r="37">
      <c r="A37" s="31" t="inlineStr">
        <is>
          <t>07. Binary Search</t>
        </is>
      </c>
      <c r="B37" s="31" t="inlineStr">
        <is>
          <t>Interactive</t>
        </is>
      </c>
      <c r="C37" s="31" t="n">
        <v>2</v>
      </c>
      <c r="D37" s="31" t="n">
        <v>1</v>
      </c>
      <c r="E37" s="31" t="n">
        <v>2</v>
      </c>
    </row>
    <row r="38">
      <c r="A38" s="31" t="inlineStr">
        <is>
          <t>07. Binary Search</t>
        </is>
      </c>
      <c r="B38" s="31" t="inlineStr">
        <is>
          <t>Rotated array</t>
        </is>
      </c>
      <c r="C38" s="31" t="n">
        <v>3</v>
      </c>
      <c r="D38" s="31" t="n">
        <v>1</v>
      </c>
      <c r="E38" s="31" t="n">
        <v>1</v>
      </c>
    </row>
    <row r="39">
      <c r="A39" s="31" t="inlineStr">
        <is>
          <t>07. Binary Search</t>
        </is>
      </c>
      <c r="B39" s="31" t="inlineStr">
        <is>
          <t>Peak finding</t>
        </is>
      </c>
      <c r="C39" s="31" t="n">
        <v>3</v>
      </c>
      <c r="D39" s="31" t="n">
        <v>2</v>
      </c>
      <c r="E39" s="31" t="n">
        <v>0</v>
      </c>
    </row>
    <row r="40">
      <c r="A40" s="31" t="inlineStr">
        <is>
          <t>07. Binary Search</t>
        </is>
      </c>
      <c r="B40" s="31" t="inlineStr">
        <is>
          <t>Parity trick</t>
        </is>
      </c>
      <c r="C40" s="31" t="n">
        <v>4</v>
      </c>
      <c r="D40" s="31" t="n">
        <v>1</v>
      </c>
      <c r="E40" s="31" t="n">
        <v>0</v>
      </c>
    </row>
    <row r="41">
      <c r="A41" s="31" t="inlineStr">
        <is>
          <t>07. Binary Search</t>
        </is>
      </c>
      <c r="B41" s="31" t="inlineStr">
        <is>
          <t>Unbounded BS</t>
        </is>
      </c>
      <c r="C41" s="31" t="n">
        <v>2</v>
      </c>
      <c r="D41" s="31" t="n">
        <v>3</v>
      </c>
      <c r="E41" s="31" t="n">
        <v>0</v>
      </c>
    </row>
    <row r="42">
      <c r="A42" s="31" t="inlineStr">
        <is>
          <t>07. Binary Search</t>
        </is>
      </c>
      <c r="B42" s="31" t="inlineStr">
        <is>
          <t>BS on matrix</t>
        </is>
      </c>
      <c r="C42" s="31" t="n">
        <v>2</v>
      </c>
      <c r="D42" s="31" t="n">
        <v>1</v>
      </c>
      <c r="E42" s="31" t="n">
        <v>2</v>
      </c>
    </row>
    <row r="43">
      <c r="A43" s="31" t="inlineStr">
        <is>
          <t>08. Strings</t>
        </is>
      </c>
      <c r="B43" s="31" t="inlineStr">
        <is>
          <t>Basics</t>
        </is>
      </c>
      <c r="C43" s="31" t="n">
        <v>4</v>
      </c>
      <c r="D43" s="31" t="n">
        <v>1</v>
      </c>
      <c r="E43" s="31" t="n">
        <v>0</v>
      </c>
    </row>
    <row r="44">
      <c r="A44" s="31" t="inlineStr">
        <is>
          <t>08. Strings</t>
        </is>
      </c>
      <c r="B44" s="31" t="inlineStr">
        <is>
          <t>Anagram</t>
        </is>
      </c>
      <c r="C44" s="31" t="n">
        <v>3</v>
      </c>
      <c r="D44" s="31" t="n">
        <v>2</v>
      </c>
      <c r="E44" s="31" t="n">
        <v>0</v>
      </c>
    </row>
    <row r="45">
      <c r="A45" s="31" t="inlineStr">
        <is>
          <t>08. Strings</t>
        </is>
      </c>
      <c r="B45" s="31" t="inlineStr">
        <is>
          <t>Mapping</t>
        </is>
      </c>
      <c r="C45" s="31" t="n">
        <v>3</v>
      </c>
      <c r="D45" s="31" t="n">
        <v>2</v>
      </c>
      <c r="E45" s="31" t="n">
        <v>0</v>
      </c>
    </row>
    <row r="46">
      <c r="A46" s="31" t="inlineStr">
        <is>
          <t>08. Strings</t>
        </is>
      </c>
      <c r="B46" s="31" t="inlineStr">
        <is>
          <t>Palindrome</t>
        </is>
      </c>
      <c r="C46" s="31" t="n">
        <v>2</v>
      </c>
      <c r="D46" s="31" t="n">
        <v>2</v>
      </c>
      <c r="E46" s="31" t="n">
        <v>1</v>
      </c>
    </row>
    <row r="47">
      <c r="A47" s="31" t="inlineStr">
        <is>
          <t>08. Strings</t>
        </is>
      </c>
      <c r="B47" s="31" t="inlineStr">
        <is>
          <t>Parsing</t>
        </is>
      </c>
      <c r="C47" s="31" t="n">
        <v>2</v>
      </c>
      <c r="D47" s="31" t="n">
        <v>5</v>
      </c>
      <c r="E47" s="31" t="n">
        <v>0</v>
      </c>
    </row>
    <row r="48">
      <c r="A48" s="31" t="inlineStr">
        <is>
          <t>08. Strings</t>
        </is>
      </c>
      <c r="B48" s="31" t="inlineStr">
        <is>
          <t>Simulation</t>
        </is>
      </c>
      <c r="C48" s="31" t="n">
        <v>2</v>
      </c>
      <c r="D48" s="31" t="n">
        <v>1</v>
      </c>
      <c r="E48" s="31" t="n">
        <v>1</v>
      </c>
    </row>
    <row r="49">
      <c r="A49" s="31" t="inlineStr">
        <is>
          <t>08. Strings</t>
        </is>
      </c>
      <c r="B49" s="31" t="inlineStr">
        <is>
          <t>Pattern matching</t>
        </is>
      </c>
      <c r="C49" s="31" t="n">
        <v>2</v>
      </c>
      <c r="D49" s="31" t="n">
        <v>3</v>
      </c>
      <c r="E49" s="31" t="n">
        <v>1</v>
      </c>
    </row>
    <row r="50">
      <c r="A50" s="31" t="inlineStr">
        <is>
          <t>09. Bit Manipulation</t>
        </is>
      </c>
      <c r="B50" s="31" t="inlineStr">
        <is>
          <t>Basics</t>
        </is>
      </c>
      <c r="C50" s="31" t="n">
        <v>2</v>
      </c>
      <c r="D50" s="31" t="n">
        <v>5</v>
      </c>
      <c r="E50" s="31" t="n">
        <v>0</v>
      </c>
    </row>
    <row r="51">
      <c r="A51" s="31" t="inlineStr">
        <is>
          <t>09. Bit Manipulation</t>
        </is>
      </c>
      <c r="B51" s="31" t="inlineStr">
        <is>
          <t>XOR tricks</t>
        </is>
      </c>
      <c r="C51" s="31" t="n">
        <v>2</v>
      </c>
      <c r="D51" s="31" t="n">
        <v>5</v>
      </c>
      <c r="E51" s="31" t="n">
        <v>0</v>
      </c>
    </row>
    <row r="52">
      <c r="A52" s="31" t="inlineStr">
        <is>
          <t>09. Bit Manipulation</t>
        </is>
      </c>
      <c r="B52" s="31" t="inlineStr">
        <is>
          <t>Bit arithmetic</t>
        </is>
      </c>
      <c r="C52" s="31" t="n">
        <v>4</v>
      </c>
      <c r="D52" s="31" t="n">
        <v>1</v>
      </c>
      <c r="E52" s="31" t="n">
        <v>0</v>
      </c>
    </row>
    <row r="53">
      <c r="A53" s="31" t="inlineStr">
        <is>
          <t>09. Bit Manipulation</t>
        </is>
      </c>
      <c r="B53" s="31" t="inlineStr">
        <is>
          <t>Counting</t>
        </is>
      </c>
      <c r="C53" s="31" t="n">
        <v>4</v>
      </c>
      <c r="D53" s="31" t="n">
        <v>1</v>
      </c>
      <c r="E53" s="31" t="n">
        <v>0</v>
      </c>
    </row>
    <row r="54">
      <c r="A54" s="31" t="inlineStr">
        <is>
          <t>09. Bit Manipulation</t>
        </is>
      </c>
      <c r="B54" s="31" t="inlineStr">
        <is>
          <t>Bitmask</t>
        </is>
      </c>
      <c r="C54" s="31" t="n">
        <v>2</v>
      </c>
      <c r="D54" s="31" t="n">
        <v>2</v>
      </c>
      <c r="E54" s="31" t="n">
        <v>1</v>
      </c>
    </row>
    <row r="55">
      <c r="A55" s="31" t="inlineStr">
        <is>
          <t>10. Math &amp; Number Theory</t>
        </is>
      </c>
      <c r="B55" s="31" t="inlineStr">
        <is>
          <t>Digits</t>
        </is>
      </c>
      <c r="C55" s="31" t="n">
        <v>3</v>
      </c>
      <c r="D55" s="31" t="n">
        <v>1</v>
      </c>
      <c r="E55" s="31" t="n">
        <v>1</v>
      </c>
    </row>
    <row r="56">
      <c r="A56" s="31" t="inlineStr">
        <is>
          <t>10. Math &amp; Number Theory</t>
        </is>
      </c>
      <c r="B56" s="31" t="inlineStr">
        <is>
          <t>GCD/LCM</t>
        </is>
      </c>
      <c r="C56" s="31" t="n">
        <v>3</v>
      </c>
      <c r="D56" s="31" t="n">
        <v>1</v>
      </c>
      <c r="E56" s="31" t="n">
        <v>1</v>
      </c>
    </row>
    <row r="57">
      <c r="A57" s="31" t="inlineStr">
        <is>
          <t>10. Math &amp; Number Theory</t>
        </is>
      </c>
      <c r="B57" s="31" t="inlineStr">
        <is>
          <t>Base conversion</t>
        </is>
      </c>
      <c r="C57" s="31" t="n">
        <v>4</v>
      </c>
      <c r="D57" s="31" t="n">
        <v>1</v>
      </c>
      <c r="E57" s="31" t="n">
        <v>0</v>
      </c>
    </row>
    <row r="58">
      <c r="A58" s="31" t="inlineStr">
        <is>
          <t>10. Math &amp; Number Theory</t>
        </is>
      </c>
      <c r="B58" s="31" t="inlineStr">
        <is>
          <t>Primes</t>
        </is>
      </c>
      <c r="C58" s="31" t="n">
        <v>2</v>
      </c>
      <c r="D58" s="31" t="n">
        <v>3</v>
      </c>
      <c r="E58" s="31" t="n">
        <v>0</v>
      </c>
    </row>
    <row r="59">
      <c r="A59" s="31" t="inlineStr">
        <is>
          <t>10. Math &amp; Number Theory</t>
        </is>
      </c>
      <c r="B59" s="31" t="inlineStr">
        <is>
          <t>Sequences</t>
        </is>
      </c>
      <c r="C59" s="31" t="n">
        <v>3</v>
      </c>
      <c r="D59" s="31" t="n">
        <v>1</v>
      </c>
      <c r="E59" s="31" t="n">
        <v>1</v>
      </c>
    </row>
    <row r="60">
      <c r="A60" s="31" t="inlineStr">
        <is>
          <t>10. Math &amp; Number Theory</t>
        </is>
      </c>
      <c r="B60" s="31" t="inlineStr">
        <is>
          <t>Modular</t>
        </is>
      </c>
      <c r="C60" s="31" t="n">
        <v>1</v>
      </c>
      <c r="D60" s="31" t="n">
        <v>3</v>
      </c>
      <c r="E60" s="31" t="n">
        <v>1</v>
      </c>
    </row>
    <row r="61">
      <c r="A61" s="31" t="inlineStr">
        <is>
          <t>10. Math &amp; Number Theory</t>
        </is>
      </c>
      <c r="B61" s="31" t="inlineStr">
        <is>
          <t>Factorials</t>
        </is>
      </c>
      <c r="C61" s="31" t="n">
        <v>1</v>
      </c>
      <c r="D61" s="31" t="n">
        <v>3</v>
      </c>
      <c r="E61" s="31" t="n">
        <v>1</v>
      </c>
    </row>
    <row r="62">
      <c r="A62" s="31" t="inlineStr">
        <is>
          <t>10. Math &amp; Number Theory</t>
        </is>
      </c>
      <c r="B62" s="31" t="inlineStr">
        <is>
          <t>Classic</t>
        </is>
      </c>
      <c r="C62" s="31" t="n">
        <v>2</v>
      </c>
      <c r="D62" s="31" t="n">
        <v>2</v>
      </c>
      <c r="E62" s="31" t="n">
        <v>1</v>
      </c>
    </row>
    <row r="63">
      <c r="A63" s="31" t="inlineStr">
        <is>
          <t>11. Matrix / 2D</t>
        </is>
      </c>
      <c r="B63" s="31" t="inlineStr">
        <is>
          <t>Traversal</t>
        </is>
      </c>
      <c r="C63" s="31" t="n">
        <v>2</v>
      </c>
      <c r="D63" s="31" t="n">
        <v>3</v>
      </c>
      <c r="E63" s="31" t="n">
        <v>0</v>
      </c>
    </row>
    <row r="64">
      <c r="A64" s="31" t="inlineStr">
        <is>
          <t>11. Matrix / 2D</t>
        </is>
      </c>
      <c r="B64" s="31" t="inlineStr">
        <is>
          <t>Properties</t>
        </is>
      </c>
      <c r="C64" s="31" t="n">
        <v>5</v>
      </c>
      <c r="D64" s="31" t="n">
        <v>0</v>
      </c>
      <c r="E64" s="31" t="n">
        <v>0</v>
      </c>
    </row>
    <row r="65">
      <c r="A65" s="31" t="inlineStr">
        <is>
          <t>11. Matrix / 2D</t>
        </is>
      </c>
      <c r="B65" s="31" t="inlineStr">
        <is>
          <t>In-place ops</t>
        </is>
      </c>
      <c r="C65" s="31" t="n">
        <v>4</v>
      </c>
      <c r="D65" s="31" t="n">
        <v>1</v>
      </c>
      <c r="E65" s="31" t="n">
        <v>0</v>
      </c>
    </row>
    <row r="66">
      <c r="A66" s="31" t="inlineStr">
        <is>
          <t>11. Matrix / 2D</t>
        </is>
      </c>
      <c r="B66" s="31" t="inlineStr">
        <is>
          <t>Construction</t>
        </is>
      </c>
      <c r="C66" s="31" t="n">
        <v>4</v>
      </c>
      <c r="D66" s="31" t="n">
        <v>1</v>
      </c>
      <c r="E66" s="31" t="n">
        <v>0</v>
      </c>
    </row>
    <row r="67">
      <c r="A67" s="31" t="inlineStr">
        <is>
          <t>07. Binary Search</t>
        </is>
      </c>
      <c r="B67" s="31" t="inlineStr">
        <is>
          <t>Partition BS</t>
        </is>
      </c>
      <c r="C67" s="31" t="n">
        <v>0</v>
      </c>
      <c r="D67" s="31" t="n">
        <v>2</v>
      </c>
      <c r="E67" s="31" t="n">
        <v>3</v>
      </c>
    </row>
    <row r="68">
      <c r="A68" s="31" t="inlineStr">
        <is>
          <t>12. Linked List</t>
        </is>
      </c>
      <c r="B68" s="31" t="inlineStr">
        <is>
          <t>Reversal</t>
        </is>
      </c>
      <c r="C68" s="31" t="n">
        <v>2</v>
      </c>
      <c r="D68" s="31" t="n">
        <v>2</v>
      </c>
      <c r="E68" s="31" t="n">
        <v>1</v>
      </c>
    </row>
    <row r="69">
      <c r="A69" s="31" t="inlineStr">
        <is>
          <t>12. Linked List</t>
        </is>
      </c>
      <c r="B69" s="31" t="inlineStr">
        <is>
          <t>Fast &amp; slow</t>
        </is>
      </c>
      <c r="C69" s="31" t="n">
        <v>2</v>
      </c>
      <c r="D69" s="31" t="n">
        <v>4</v>
      </c>
      <c r="E69" s="31" t="n">
        <v>0</v>
      </c>
    </row>
    <row r="70">
      <c r="A70" s="31" t="inlineStr">
        <is>
          <t>12. Linked List</t>
        </is>
      </c>
      <c r="B70" s="31" t="inlineStr">
        <is>
          <t>Deletion</t>
        </is>
      </c>
      <c r="C70" s="31" t="n">
        <v>2</v>
      </c>
      <c r="D70" s="31" t="n">
        <v>3</v>
      </c>
      <c r="E70" s="31" t="n">
        <v>0</v>
      </c>
    </row>
    <row r="71">
      <c r="A71" s="31" t="inlineStr">
        <is>
          <t>12. Linked List</t>
        </is>
      </c>
      <c r="B71" s="31" t="inlineStr">
        <is>
          <t>Merging</t>
        </is>
      </c>
      <c r="C71" s="31" t="n">
        <v>2</v>
      </c>
      <c r="D71" s="31" t="n">
        <v>1</v>
      </c>
      <c r="E71" s="31" t="n">
        <v>1</v>
      </c>
    </row>
    <row r="72">
      <c r="A72" s="31" t="inlineStr">
        <is>
          <t>12. Linked List</t>
        </is>
      </c>
      <c r="B72" s="31" t="inlineStr">
        <is>
          <t>Rearrangement</t>
        </is>
      </c>
      <c r="C72" s="31" t="n">
        <v>2</v>
      </c>
      <c r="D72" s="31" t="n">
        <v>3</v>
      </c>
      <c r="E72" s="31" t="n">
        <v>0</v>
      </c>
    </row>
    <row r="73">
      <c r="A73" s="31" t="inlineStr">
        <is>
          <t>12. Linked List</t>
        </is>
      </c>
      <c r="B73" s="31" t="inlineStr">
        <is>
          <t>Arithmetic</t>
        </is>
      </c>
      <c r="C73" s="31" t="n">
        <v>2</v>
      </c>
      <c r="D73" s="31" t="n">
        <v>3</v>
      </c>
      <c r="E73" s="31" t="n">
        <v>0</v>
      </c>
    </row>
    <row r="74">
      <c r="A74" s="31" t="inlineStr">
        <is>
          <t>12. Linked List</t>
        </is>
      </c>
      <c r="B74" s="31" t="inlineStr">
        <is>
          <t>Pointers</t>
        </is>
      </c>
      <c r="C74" s="31" t="n">
        <v>3</v>
      </c>
      <c r="D74" s="31" t="n">
        <v>2</v>
      </c>
      <c r="E74" s="31" t="n">
        <v>0</v>
      </c>
    </row>
    <row r="75">
      <c r="A75" s="31" t="inlineStr">
        <is>
          <t>12. Linked List</t>
        </is>
      </c>
      <c r="B75" s="31" t="inlineStr">
        <is>
          <t>Design</t>
        </is>
      </c>
      <c r="C75" s="31" t="n">
        <v>2</v>
      </c>
      <c r="D75" s="31" t="n">
        <v>0</v>
      </c>
      <c r="E75" s="31" t="n">
        <v>1</v>
      </c>
    </row>
    <row r="76">
      <c r="A76" s="31" t="inlineStr">
        <is>
          <t>13. Stack &amp; Queue</t>
        </is>
      </c>
      <c r="B76" s="31" t="inlineStr">
        <is>
          <t>Parentheses</t>
        </is>
      </c>
      <c r="C76" s="31" t="n">
        <v>4</v>
      </c>
      <c r="D76" s="31" t="n">
        <v>1</v>
      </c>
      <c r="E76" s="31" t="n">
        <v>1</v>
      </c>
    </row>
    <row r="77">
      <c r="A77" s="31" t="inlineStr">
        <is>
          <t>13. Stack &amp; Queue</t>
        </is>
      </c>
      <c r="B77" s="31" t="inlineStr">
        <is>
          <t>Design</t>
        </is>
      </c>
      <c r="C77" s="31" t="n">
        <v>3</v>
      </c>
      <c r="D77" s="31" t="n">
        <v>3</v>
      </c>
      <c r="E77" s="31" t="n">
        <v>1</v>
      </c>
    </row>
    <row r="78">
      <c r="A78" s="31" t="inlineStr">
        <is>
          <t>13. Stack &amp; Queue</t>
        </is>
      </c>
      <c r="B78" s="31" t="inlineStr">
        <is>
          <t>Simulation</t>
        </is>
      </c>
      <c r="C78" s="31" t="n">
        <v>3</v>
      </c>
      <c r="D78" s="31" t="n">
        <v>4</v>
      </c>
      <c r="E78" s="31" t="n">
        <v>0</v>
      </c>
    </row>
    <row r="79">
      <c r="A79" s="31" t="inlineStr">
        <is>
          <t>13. Stack &amp; Queue</t>
        </is>
      </c>
      <c r="B79" s="31" t="inlineStr">
        <is>
          <t>Expression</t>
        </is>
      </c>
      <c r="C79" s="31" t="n">
        <v>2</v>
      </c>
      <c r="D79" s="31" t="n">
        <v>1</v>
      </c>
      <c r="E79" s="31" t="n">
        <v>2</v>
      </c>
    </row>
    <row r="80">
      <c r="A80" s="31" t="inlineStr">
        <is>
          <t>13. Stack &amp; Queue</t>
        </is>
      </c>
      <c r="B80" s="31" t="inlineStr">
        <is>
          <t>Monotonic stack</t>
        </is>
      </c>
      <c r="C80" s="31" t="n">
        <v>3</v>
      </c>
      <c r="D80" s="31" t="n">
        <v>5</v>
      </c>
      <c r="E80" s="31" t="n">
        <v>3</v>
      </c>
    </row>
    <row r="81">
      <c r="A81" s="31" t="inlineStr">
        <is>
          <t>13. Stack &amp; Queue</t>
        </is>
      </c>
      <c r="B81" s="31" t="inlineStr">
        <is>
          <t>Monotonic deque</t>
        </is>
      </c>
      <c r="C81" s="31" t="n">
        <v>1</v>
      </c>
      <c r="D81" s="31" t="n">
        <v>2</v>
      </c>
      <c r="E81" s="31" t="n">
        <v>3</v>
      </c>
    </row>
    <row r="82">
      <c r="A82" s="31" t="inlineStr">
        <is>
          <t>14. Heap &amp; Priority Queue</t>
        </is>
      </c>
      <c r="B82" s="31" t="inlineStr">
        <is>
          <t>Kth element</t>
        </is>
      </c>
      <c r="C82" s="31" t="n">
        <v>2</v>
      </c>
      <c r="D82" s="31" t="n">
        <v>2</v>
      </c>
      <c r="E82" s="31" t="n">
        <v>0</v>
      </c>
    </row>
    <row r="83">
      <c r="A83" s="31" t="inlineStr">
        <is>
          <t>14. Heap &amp; Priority Queue</t>
        </is>
      </c>
      <c r="B83" s="31" t="inlineStr">
        <is>
          <t>Top K</t>
        </is>
      </c>
      <c r="C83" s="31" t="n">
        <v>4</v>
      </c>
      <c r="D83" s="31" t="n">
        <v>1</v>
      </c>
      <c r="E83" s="31" t="n">
        <v>0</v>
      </c>
    </row>
    <row r="84">
      <c r="A84" s="31" t="inlineStr">
        <is>
          <t>14. Heap &amp; Priority Queue</t>
        </is>
      </c>
      <c r="B84" s="31" t="inlineStr">
        <is>
          <t>K-way merge</t>
        </is>
      </c>
      <c r="C84" s="31" t="n">
        <v>1</v>
      </c>
      <c r="D84" s="31" t="n">
        <v>3</v>
      </c>
      <c r="E84" s="31" t="n">
        <v>1</v>
      </c>
    </row>
    <row r="85">
      <c r="A85" s="31" t="inlineStr">
        <is>
          <t>14. Heap &amp; Priority Queue</t>
        </is>
      </c>
      <c r="B85" s="31" t="inlineStr">
        <is>
          <t>Two heaps</t>
        </is>
      </c>
      <c r="C85" s="31" t="n">
        <v>1</v>
      </c>
      <c r="D85" s="31" t="n">
        <v>1</v>
      </c>
      <c r="E85" s="31" t="n">
        <v>3</v>
      </c>
    </row>
    <row r="86">
      <c r="A86" s="31" t="inlineStr">
        <is>
          <t>14. Heap &amp; Priority Queue</t>
        </is>
      </c>
      <c r="B86" s="31" t="inlineStr">
        <is>
          <t>Greedy + heap</t>
        </is>
      </c>
      <c r="C86" s="31" t="n">
        <v>3</v>
      </c>
      <c r="D86" s="31" t="n">
        <v>4</v>
      </c>
      <c r="E86" s="31" t="n">
        <v>3</v>
      </c>
    </row>
    <row r="87">
      <c r="A87" s="31" t="inlineStr">
        <is>
          <t>14. Heap &amp; Priority Queue</t>
        </is>
      </c>
      <c r="B87" s="31" t="inlineStr">
        <is>
          <t>Design</t>
        </is>
      </c>
      <c r="C87" s="31" t="n">
        <v>2</v>
      </c>
      <c r="D87" s="31" t="n">
        <v>3</v>
      </c>
      <c r="E87" s="31" t="n">
        <v>0</v>
      </c>
    </row>
    <row r="88">
      <c r="A88" s="31" t="inlineStr">
        <is>
          <t>12. Linked List</t>
        </is>
      </c>
      <c r="B88" s="31" t="inlineStr">
        <is>
          <t>Sorting</t>
        </is>
      </c>
      <c r="C88" s="31" t="n">
        <v>0</v>
      </c>
      <c r="D88" s="31" t="n">
        <v>1</v>
      </c>
      <c r="E88" s="31" t="n">
        <v>0</v>
      </c>
    </row>
    <row r="89">
      <c r="A89" s="31" t="inlineStr">
        <is>
          <t>15. Intervals</t>
        </is>
      </c>
      <c r="B89" s="31" t="inlineStr">
        <is>
          <t>Merging</t>
        </is>
      </c>
      <c r="C89" s="31" t="n">
        <v>3</v>
      </c>
      <c r="D89" s="31" t="n">
        <v>2</v>
      </c>
      <c r="E89" s="31" t="n">
        <v>0</v>
      </c>
    </row>
    <row r="90">
      <c r="A90" s="31" t="inlineStr">
        <is>
          <t>15. Intervals</t>
        </is>
      </c>
      <c r="B90" s="31" t="inlineStr">
        <is>
          <t>Scheduling</t>
        </is>
      </c>
      <c r="C90" s="31" t="n">
        <v>3</v>
      </c>
      <c r="D90" s="31" t="n">
        <v>3</v>
      </c>
      <c r="E90" s="31" t="n">
        <v>2</v>
      </c>
    </row>
    <row r="91">
      <c r="A91" s="31" t="inlineStr">
        <is>
          <t>15. Intervals</t>
        </is>
      </c>
      <c r="B91" s="31" t="inlineStr">
        <is>
          <t>Booking</t>
        </is>
      </c>
      <c r="C91" s="31" t="n">
        <v>2</v>
      </c>
      <c r="D91" s="31" t="n">
        <v>1</v>
      </c>
      <c r="E91" s="31" t="n">
        <v>2</v>
      </c>
    </row>
    <row r="92">
      <c r="A92" s="31" t="inlineStr">
        <is>
          <t>16. Greedy</t>
        </is>
      </c>
      <c r="B92" s="31" t="inlineStr">
        <is>
          <t>Sort + pick</t>
        </is>
      </c>
      <c r="C92" s="31" t="n">
        <v>2</v>
      </c>
      <c r="D92" s="31" t="n">
        <v>3</v>
      </c>
      <c r="E92" s="31" t="n">
        <v>0</v>
      </c>
    </row>
    <row r="93">
      <c r="A93" s="31" t="inlineStr">
        <is>
          <t>16. Greedy</t>
        </is>
      </c>
      <c r="B93" s="31" t="inlineStr">
        <is>
          <t>Classic greedy</t>
        </is>
      </c>
      <c r="C93" s="31" t="n">
        <v>3</v>
      </c>
      <c r="D93" s="31" t="n">
        <v>2</v>
      </c>
      <c r="E93" s="31" t="n">
        <v>0</v>
      </c>
    </row>
    <row r="94">
      <c r="A94" s="31" t="inlineStr">
        <is>
          <t>16. Greedy</t>
        </is>
      </c>
      <c r="B94" s="31" t="inlineStr">
        <is>
          <t>Simulation</t>
        </is>
      </c>
      <c r="C94" s="31" t="n">
        <v>1</v>
      </c>
      <c r="D94" s="31" t="n">
        <v>4</v>
      </c>
      <c r="E94" s="31" t="n">
        <v>0</v>
      </c>
    </row>
    <row r="95">
      <c r="A95" s="31" t="inlineStr">
        <is>
          <t>16. Greedy</t>
        </is>
      </c>
      <c r="B95" s="31" t="inlineStr">
        <is>
          <t>Prefix scan</t>
        </is>
      </c>
      <c r="C95" s="31" t="n">
        <v>4</v>
      </c>
      <c r="D95" s="31" t="n">
        <v>0</v>
      </c>
      <c r="E95" s="31" t="n">
        <v>1</v>
      </c>
    </row>
    <row r="96">
      <c r="A96" s="31" t="inlineStr">
        <is>
          <t>16. Greedy</t>
        </is>
      </c>
      <c r="B96" s="31" t="inlineStr">
        <is>
          <t>Two pass</t>
        </is>
      </c>
      <c r="C96" s="31" t="n">
        <v>3</v>
      </c>
      <c r="D96" s="31" t="n">
        <v>2</v>
      </c>
      <c r="E96" s="31" t="n">
        <v>0</v>
      </c>
    </row>
    <row r="97">
      <c r="A97" s="31" t="inlineStr">
        <is>
          <t>16. Greedy</t>
        </is>
      </c>
      <c r="B97" s="31" t="inlineStr">
        <is>
          <t>Validation</t>
        </is>
      </c>
      <c r="C97" s="31" t="n">
        <v>3</v>
      </c>
      <c r="D97" s="31" t="n">
        <v>2</v>
      </c>
      <c r="E97" s="31" t="n">
        <v>0</v>
      </c>
    </row>
    <row r="98">
      <c r="A98" s="31" t="inlineStr">
        <is>
          <t>16. Greedy</t>
        </is>
      </c>
      <c r="B98" s="31" t="inlineStr">
        <is>
          <t>Reachability</t>
        </is>
      </c>
      <c r="C98" s="31" t="n">
        <v>2</v>
      </c>
      <c r="D98" s="31" t="n">
        <v>3</v>
      </c>
      <c r="E98" s="31" t="n">
        <v>0</v>
      </c>
    </row>
    <row r="99">
      <c r="A99" s="31" t="inlineStr">
        <is>
          <t>16. Greedy</t>
        </is>
      </c>
      <c r="B99" s="31" t="inlineStr">
        <is>
          <t>Partitioning</t>
        </is>
      </c>
      <c r="C99" s="31" t="n">
        <v>1</v>
      </c>
      <c r="D99" s="31" t="n">
        <v>3</v>
      </c>
      <c r="E99" s="31" t="n">
        <v>1</v>
      </c>
    </row>
    <row r="100">
      <c r="A100" s="31" t="inlineStr">
        <is>
          <t>16. Greedy</t>
        </is>
      </c>
      <c r="B100" s="31" t="inlineStr">
        <is>
          <t>Reconstruction</t>
        </is>
      </c>
      <c r="C100" s="31" t="n">
        <v>1</v>
      </c>
      <c r="D100" s="31" t="n">
        <v>2</v>
      </c>
      <c r="E100" s="31" t="n">
        <v>2</v>
      </c>
    </row>
    <row r="101">
      <c r="A101" s="31" t="inlineStr">
        <is>
          <t>17. Backtracking</t>
        </is>
      </c>
      <c r="B101" s="31" t="inlineStr">
        <is>
          <t>Subsets</t>
        </is>
      </c>
      <c r="C101" s="31" t="n">
        <v>2</v>
      </c>
      <c r="D101" s="31" t="n">
        <v>3</v>
      </c>
      <c r="E101" s="31" t="n">
        <v>0</v>
      </c>
    </row>
    <row r="102">
      <c r="A102" s="31" t="inlineStr">
        <is>
          <t>17. Backtracking</t>
        </is>
      </c>
      <c r="B102" s="31" t="inlineStr">
        <is>
          <t>Permutations</t>
        </is>
      </c>
      <c r="C102" s="31" t="n">
        <v>2</v>
      </c>
      <c r="D102" s="31" t="n">
        <v>2</v>
      </c>
      <c r="E102" s="31" t="n">
        <v>2</v>
      </c>
    </row>
    <row r="103">
      <c r="A103" s="31" t="inlineStr">
        <is>
          <t>17. Backtracking</t>
        </is>
      </c>
      <c r="B103" s="31" t="inlineStr">
        <is>
          <t>Combinations</t>
        </is>
      </c>
      <c r="C103" s="31" t="n">
        <v>4</v>
      </c>
      <c r="D103" s="31" t="n">
        <v>1</v>
      </c>
      <c r="E103" s="31" t="n">
        <v>0</v>
      </c>
    </row>
    <row r="104">
      <c r="A104" s="31" t="inlineStr">
        <is>
          <t>17. Backtracking</t>
        </is>
      </c>
      <c r="B104" s="31" t="inlineStr">
        <is>
          <t>String building</t>
        </is>
      </c>
      <c r="C104" s="31" t="n">
        <v>2</v>
      </c>
      <c r="D104" s="31" t="n">
        <v>2</v>
      </c>
      <c r="E104" s="31" t="n">
        <v>0</v>
      </c>
    </row>
    <row r="105">
      <c r="A105" s="31" t="inlineStr">
        <is>
          <t>17. Backtracking</t>
        </is>
      </c>
      <c r="B105" s="31" t="inlineStr">
        <is>
          <t>String partition</t>
        </is>
      </c>
      <c r="C105" s="31" t="n">
        <v>1</v>
      </c>
      <c r="D105" s="31" t="n">
        <v>3</v>
      </c>
      <c r="E105" s="31" t="n">
        <v>0</v>
      </c>
    </row>
    <row r="106">
      <c r="A106" s="31" t="inlineStr">
        <is>
          <t>17. Backtracking</t>
        </is>
      </c>
      <c r="B106" s="31" t="inlineStr">
        <is>
          <t>Grid backtracking</t>
        </is>
      </c>
      <c r="C106" s="31" t="n">
        <v>2</v>
      </c>
      <c r="D106" s="31" t="n">
        <v>0</v>
      </c>
      <c r="E106" s="31" t="n">
        <v>3</v>
      </c>
    </row>
    <row r="107">
      <c r="A107" s="31" t="inlineStr">
        <is>
          <t>17. Backtracking</t>
        </is>
      </c>
      <c r="B107" s="31" t="inlineStr">
        <is>
          <t>Partition into K</t>
        </is>
      </c>
      <c r="C107" s="31" t="n">
        <v>2</v>
      </c>
      <c r="D107" s="31" t="n">
        <v>1</v>
      </c>
      <c r="E107" s="31" t="n">
        <v>2</v>
      </c>
    </row>
    <row r="108">
      <c r="A108" s="31" t="inlineStr">
        <is>
          <t>17. Backtracking</t>
        </is>
      </c>
      <c r="B108" s="31" t="inlineStr">
        <is>
          <t>Counting</t>
        </is>
      </c>
      <c r="C108" s="31" t="n">
        <v>1</v>
      </c>
      <c r="D108" s="31" t="n">
        <v>2</v>
      </c>
      <c r="E108" s="31" t="n">
        <v>2</v>
      </c>
    </row>
    <row r="109">
      <c r="A109" s="31" t="inlineStr">
        <is>
          <t>16. Greedy</t>
        </is>
      </c>
      <c r="B109" s="31" t="inlineStr">
        <is>
          <t>Interval greedy</t>
        </is>
      </c>
      <c r="C109" s="31" t="n">
        <v>0</v>
      </c>
      <c r="D109" s="31" t="n">
        <v>1</v>
      </c>
      <c r="E109" s="31" t="n">
        <v>0</v>
      </c>
    </row>
    <row r="110">
      <c r="A110" s="31" t="inlineStr">
        <is>
          <t>17. Backtracking</t>
        </is>
      </c>
      <c r="B110" s="31" t="inlineStr">
        <is>
          <t>Expression</t>
        </is>
      </c>
      <c r="C110" s="31" t="n">
        <v>0</v>
      </c>
      <c r="D110" s="31" t="n">
        <v>2</v>
      </c>
      <c r="E110" s="31" t="n">
        <v>2</v>
      </c>
    </row>
    <row r="111">
      <c r="A111" s="31" t="inlineStr">
        <is>
          <t>17. Backtracking</t>
        </is>
      </c>
      <c r="B111" s="31" t="inlineStr">
        <is>
          <t>Bitmask assignment</t>
        </is>
      </c>
      <c r="C111" s="31" t="n">
        <v>0</v>
      </c>
      <c r="D111" s="31" t="n">
        <v>1</v>
      </c>
      <c r="E111" s="31" t="n">
        <v>0</v>
      </c>
    </row>
    <row r="112">
      <c r="A112" s="31" t="inlineStr">
        <is>
          <t>15. Intervals</t>
        </is>
      </c>
      <c r="B112" s="31" t="inlineStr">
        <is>
          <t>Streaming</t>
        </is>
      </c>
      <c r="C112" s="31" t="n">
        <v>0</v>
      </c>
      <c r="D112" s="31" t="n">
        <v>0</v>
      </c>
      <c r="E112" s="31" t="n">
        <v>5</v>
      </c>
    </row>
    <row r="113">
      <c r="A113" s="31" t="inlineStr">
        <is>
          <t>17. Backtracking</t>
        </is>
      </c>
      <c r="B113" s="31" t="inlineStr">
        <is>
          <t>Greedy + backtracking</t>
        </is>
      </c>
      <c r="C113" s="31" t="n">
        <v>0</v>
      </c>
      <c r="D113" s="31" t="n">
        <v>0</v>
      </c>
      <c r="E113" s="31" t="n">
        <v>1</v>
      </c>
    </row>
    <row r="114">
      <c r="A114" s="31" t="inlineStr">
        <is>
          <t>18. Trees &amp; BST</t>
        </is>
      </c>
      <c r="B114" s="31" t="inlineStr">
        <is>
          <t>Traversal</t>
        </is>
      </c>
      <c r="C114" s="31" t="n">
        <v>3</v>
      </c>
      <c r="D114" s="31" t="n">
        <v>2</v>
      </c>
      <c r="E114" s="31" t="n">
        <v>0</v>
      </c>
    </row>
    <row r="115">
      <c r="A115" s="31" t="inlineStr">
        <is>
          <t>18. Trees &amp; BST</t>
        </is>
      </c>
      <c r="B115" s="31" t="inlineStr">
        <is>
          <t>Depth &amp; balance</t>
        </is>
      </c>
      <c r="C115" s="31" t="n">
        <v>5</v>
      </c>
      <c r="D115" s="31" t="n">
        <v>0</v>
      </c>
      <c r="E115" s="31" t="n">
        <v>0</v>
      </c>
    </row>
    <row r="116">
      <c r="A116" s="31" t="inlineStr">
        <is>
          <t>18. Trees &amp; BST</t>
        </is>
      </c>
      <c r="B116" s="31" t="inlineStr">
        <is>
          <t>Structure</t>
        </is>
      </c>
      <c r="C116" s="31" t="n">
        <v>4</v>
      </c>
      <c r="D116" s="31" t="n">
        <v>3</v>
      </c>
      <c r="E116" s="31" t="n">
        <v>0</v>
      </c>
    </row>
    <row r="117">
      <c r="A117" s="31" t="inlineStr">
        <is>
          <t>18. Trees &amp; BST</t>
        </is>
      </c>
      <c r="B117" s="31" t="inlineStr">
        <is>
          <t>BFS</t>
        </is>
      </c>
      <c r="C117" s="31" t="n">
        <v>2</v>
      </c>
      <c r="D117" s="31" t="n">
        <v>4</v>
      </c>
      <c r="E117" s="31" t="n">
        <v>0</v>
      </c>
    </row>
    <row r="118">
      <c r="A118" s="31" t="inlineStr">
        <is>
          <t>18. Trees &amp; BST</t>
        </is>
      </c>
      <c r="B118" s="31" t="inlineStr">
        <is>
          <t>Views</t>
        </is>
      </c>
      <c r="C118" s="31" t="n">
        <v>2</v>
      </c>
      <c r="D118" s="31" t="n">
        <v>2</v>
      </c>
      <c r="E118" s="31" t="n">
        <v>1</v>
      </c>
    </row>
    <row r="119">
      <c r="A119" s="31" t="inlineStr">
        <is>
          <t>18. Trees &amp; BST</t>
        </is>
      </c>
      <c r="B119" s="31" t="inlineStr">
        <is>
          <t>Path sum</t>
        </is>
      </c>
      <c r="C119" s="31" t="n">
        <v>3</v>
      </c>
      <c r="D119" s="31" t="n">
        <v>2</v>
      </c>
      <c r="E119" s="31" t="n">
        <v>1</v>
      </c>
    </row>
    <row r="120">
      <c r="A120" s="31" t="inlineStr">
        <is>
          <t>18. Trees &amp; BST</t>
        </is>
      </c>
      <c r="B120" s="31" t="inlineStr">
        <is>
          <t>Construction</t>
        </is>
      </c>
      <c r="C120" s="31" t="n">
        <v>2</v>
      </c>
      <c r="D120" s="31" t="n">
        <v>4</v>
      </c>
      <c r="E120" s="31" t="n">
        <v>0</v>
      </c>
    </row>
    <row r="121">
      <c r="A121" s="31" t="inlineStr">
        <is>
          <t>18. Trees &amp; BST</t>
        </is>
      </c>
      <c r="B121" s="31" t="inlineStr">
        <is>
          <t>LCA</t>
        </is>
      </c>
      <c r="C121" s="31" t="n">
        <v>2</v>
      </c>
      <c r="D121" s="31" t="n">
        <v>3</v>
      </c>
      <c r="E121" s="31" t="n">
        <v>0</v>
      </c>
    </row>
    <row r="122">
      <c r="A122" s="31" t="inlineStr">
        <is>
          <t>18. Trees &amp; BST</t>
        </is>
      </c>
      <c r="B122" s="31" t="inlineStr">
        <is>
          <t>Distance</t>
        </is>
      </c>
      <c r="C122" s="31" t="n">
        <v>3</v>
      </c>
      <c r="D122" s="31" t="n">
        <v>2</v>
      </c>
      <c r="E122" s="31" t="n">
        <v>0</v>
      </c>
    </row>
    <row r="123">
      <c r="A123" s="31" t="inlineStr">
        <is>
          <t>18. Trees &amp; BST</t>
        </is>
      </c>
      <c r="B123" s="31" t="inlineStr">
        <is>
          <t>BST basics</t>
        </is>
      </c>
      <c r="C123" s="31" t="n">
        <v>2</v>
      </c>
      <c r="D123" s="31" t="n">
        <v>3</v>
      </c>
      <c r="E123" s="31" t="n">
        <v>0</v>
      </c>
    </row>
    <row r="124">
      <c r="A124" s="31" t="inlineStr">
        <is>
          <t>18. Trees &amp; BST</t>
        </is>
      </c>
      <c r="B124" s="31" t="inlineStr">
        <is>
          <t>BST properties</t>
        </is>
      </c>
      <c r="C124" s="31" t="n">
        <v>3</v>
      </c>
      <c r="D124" s="31" t="n">
        <v>3</v>
      </c>
      <c r="E124" s="31" t="n">
        <v>1</v>
      </c>
    </row>
    <row r="125">
      <c r="A125" s="31" t="inlineStr">
        <is>
          <t>19. Tries</t>
        </is>
      </c>
      <c r="B125" s="31" t="inlineStr">
        <is>
          <t>Design</t>
        </is>
      </c>
      <c r="C125" s="31" t="n">
        <v>2</v>
      </c>
      <c r="D125" s="31" t="n">
        <v>2</v>
      </c>
      <c r="E125" s="31" t="n">
        <v>1</v>
      </c>
    </row>
    <row r="126">
      <c r="A126" s="31" t="inlineStr">
        <is>
          <t>19. Tries</t>
        </is>
      </c>
      <c r="B126" s="31" t="inlineStr">
        <is>
          <t>Prefix search</t>
        </is>
      </c>
      <c r="C126" s="31" t="n">
        <v>2</v>
      </c>
      <c r="D126" s="31" t="n">
        <v>2</v>
      </c>
      <c r="E126" s="31" t="n">
        <v>1</v>
      </c>
    </row>
    <row r="127">
      <c r="A127" s="31" t="inlineStr">
        <is>
          <t>19. Tries</t>
        </is>
      </c>
      <c r="B127" s="31" t="inlineStr">
        <is>
          <t>Counting</t>
        </is>
      </c>
      <c r="C127" s="31" t="n">
        <v>1</v>
      </c>
      <c r="D127" s="31" t="n">
        <v>3</v>
      </c>
      <c r="E127" s="31" t="n">
        <v>1</v>
      </c>
    </row>
    <row r="128">
      <c r="A128" s="31" t="inlineStr">
        <is>
          <t>19. Tries</t>
        </is>
      </c>
      <c r="B128" s="31" t="inlineStr">
        <is>
          <t>Trie + grid</t>
        </is>
      </c>
      <c r="C128" s="31" t="n">
        <v>1</v>
      </c>
      <c r="D128" s="31" t="n">
        <v>2</v>
      </c>
      <c r="E128" s="31" t="n">
        <v>3</v>
      </c>
    </row>
    <row r="129">
      <c r="A129" s="31" t="inlineStr">
        <is>
          <t>19. Tries</t>
        </is>
      </c>
      <c r="B129" s="31" t="inlineStr">
        <is>
          <t>Bit trie</t>
        </is>
      </c>
      <c r="C129" s="31" t="n">
        <v>1</v>
      </c>
      <c r="D129" s="31" t="n">
        <v>1</v>
      </c>
      <c r="E129" s="31" t="n">
        <v>3</v>
      </c>
    </row>
    <row r="130">
      <c r="A130" s="31" t="inlineStr">
        <is>
          <t>20. Graphs</t>
        </is>
      </c>
      <c r="B130" s="31" t="inlineStr">
        <is>
          <t>Representation</t>
        </is>
      </c>
      <c r="C130" s="31" t="n">
        <v>5</v>
      </c>
      <c r="D130" s="31" t="n">
        <v>0</v>
      </c>
      <c r="E130" s="31" t="n">
        <v>0</v>
      </c>
    </row>
    <row r="131">
      <c r="A131" s="31" t="inlineStr">
        <is>
          <t>20. Graphs</t>
        </is>
      </c>
      <c r="B131" s="31" t="inlineStr">
        <is>
          <t>Traversal</t>
        </is>
      </c>
      <c r="C131" s="31" t="n">
        <v>4</v>
      </c>
      <c r="D131" s="31" t="n">
        <v>1</v>
      </c>
      <c r="E131" s="31" t="n">
        <v>0</v>
      </c>
    </row>
    <row r="132">
      <c r="A132" s="31" t="inlineStr">
        <is>
          <t>20. Graphs</t>
        </is>
      </c>
      <c r="B132" s="31" t="inlineStr">
        <is>
          <t>Grid DFS/BFS</t>
        </is>
      </c>
      <c r="C132" s="31" t="n">
        <v>4</v>
      </c>
      <c r="D132" s="31" t="n">
        <v>3</v>
      </c>
      <c r="E132" s="31" t="n">
        <v>0</v>
      </c>
    </row>
    <row r="133">
      <c r="A133" s="31" t="inlineStr">
        <is>
          <t>20. Graphs</t>
        </is>
      </c>
      <c r="B133" s="31" t="inlineStr">
        <is>
          <t>Multi-source BFS</t>
        </is>
      </c>
      <c r="C133" s="31" t="n">
        <v>2</v>
      </c>
      <c r="D133" s="31" t="n">
        <v>3</v>
      </c>
      <c r="E133" s="31" t="n">
        <v>0</v>
      </c>
    </row>
    <row r="134">
      <c r="A134" s="31" t="inlineStr">
        <is>
          <t>20. Graphs</t>
        </is>
      </c>
      <c r="B134" s="31" t="inlineStr">
        <is>
          <t>Connected components</t>
        </is>
      </c>
      <c r="C134" s="31" t="n">
        <v>1</v>
      </c>
      <c r="D134" s="31" t="n">
        <v>4</v>
      </c>
      <c r="E134" s="31" t="n">
        <v>0</v>
      </c>
    </row>
    <row r="135">
      <c r="A135" s="31" t="inlineStr">
        <is>
          <t>20. Graphs</t>
        </is>
      </c>
      <c r="B135" s="31" t="inlineStr">
        <is>
          <t>Coloring</t>
        </is>
      </c>
      <c r="C135" s="31" t="n">
        <v>2</v>
      </c>
      <c r="D135" s="31" t="n">
        <v>3</v>
      </c>
      <c r="E135" s="31" t="n">
        <v>2</v>
      </c>
    </row>
    <row r="136">
      <c r="A136" s="31" t="inlineStr">
        <is>
          <t>20. Graphs</t>
        </is>
      </c>
      <c r="B136" s="31" t="inlineStr">
        <is>
          <t>Cycle detection</t>
        </is>
      </c>
      <c r="C136" s="31" t="n">
        <v>2</v>
      </c>
      <c r="D136" s="31" t="n">
        <v>1</v>
      </c>
      <c r="E136" s="31" t="n">
        <v>2</v>
      </c>
    </row>
    <row r="137">
      <c r="A137" s="31" t="inlineStr">
        <is>
          <t>20. Graphs</t>
        </is>
      </c>
      <c r="B137" s="31" t="inlineStr">
        <is>
          <t>BFS shortest path</t>
        </is>
      </c>
      <c r="C137" s="31" t="n">
        <v>2</v>
      </c>
      <c r="D137" s="31" t="n">
        <v>1</v>
      </c>
      <c r="E137" s="31" t="n">
        <v>2</v>
      </c>
    </row>
    <row r="138">
      <c r="A138" s="31" t="inlineStr">
        <is>
          <t>20. Graphs</t>
        </is>
      </c>
      <c r="B138" s="31" t="inlineStr">
        <is>
          <t>Topological sort</t>
        </is>
      </c>
      <c r="C138" s="31" t="n">
        <v>3</v>
      </c>
      <c r="D138" s="31" t="n">
        <v>2</v>
      </c>
      <c r="E138" s="31" t="n">
        <v>1</v>
      </c>
    </row>
    <row r="139">
      <c r="A139" s="31" t="inlineStr">
        <is>
          <t>20. Graphs</t>
        </is>
      </c>
      <c r="B139" s="31" t="inlineStr">
        <is>
          <t>DSU</t>
        </is>
      </c>
      <c r="C139" s="31" t="n">
        <v>3</v>
      </c>
      <c r="D139" s="31" t="n">
        <v>3</v>
      </c>
      <c r="E139" s="31" t="n">
        <v>2</v>
      </c>
    </row>
    <row r="140">
      <c r="A140" s="31" t="inlineStr">
        <is>
          <t>20. Graphs</t>
        </is>
      </c>
      <c r="B140" s="31" t="inlineStr">
        <is>
          <t>Dijkstra</t>
        </is>
      </c>
      <c r="C140" s="31" t="n">
        <v>2</v>
      </c>
      <c r="D140" s="31" t="n">
        <v>3</v>
      </c>
      <c r="E140" s="31" t="n">
        <v>1</v>
      </c>
    </row>
    <row r="141">
      <c r="A141" s="31" t="inlineStr">
        <is>
          <t>20. Graphs</t>
        </is>
      </c>
      <c r="B141" s="31" t="inlineStr">
        <is>
          <t>Bellman-Ford</t>
        </is>
      </c>
      <c r="C141" s="31" t="n">
        <v>2</v>
      </c>
      <c r="D141" s="31" t="n">
        <v>2</v>
      </c>
      <c r="E141" s="31" t="n">
        <v>1</v>
      </c>
    </row>
    <row r="142">
      <c r="A142" s="31" t="inlineStr">
        <is>
          <t>20. Graphs</t>
        </is>
      </c>
      <c r="B142" s="31" t="inlineStr">
        <is>
          <t>Floyd-Warshall</t>
        </is>
      </c>
      <c r="C142" s="31" t="n">
        <v>2</v>
      </c>
      <c r="D142" s="31" t="n">
        <v>3</v>
      </c>
      <c r="E142" s="31" t="n">
        <v>0</v>
      </c>
    </row>
    <row r="143">
      <c r="A143" s="31" t="inlineStr">
        <is>
          <t>20. Graphs</t>
        </is>
      </c>
      <c r="B143" s="31" t="inlineStr">
        <is>
          <t>MST</t>
        </is>
      </c>
      <c r="C143" s="31" t="n">
        <v>2</v>
      </c>
      <c r="D143" s="31" t="n">
        <v>1</v>
      </c>
      <c r="E143" s="31" t="n">
        <v>2</v>
      </c>
    </row>
    <row r="144">
      <c r="A144" s="31" t="inlineStr">
        <is>
          <t>20. Graphs</t>
        </is>
      </c>
      <c r="B144" s="31" t="inlineStr">
        <is>
          <t>Misc</t>
        </is>
      </c>
      <c r="C144" s="31" t="n">
        <v>2</v>
      </c>
      <c r="D144" s="31" t="n">
        <v>3</v>
      </c>
      <c r="E144" s="31" t="n">
        <v>0</v>
      </c>
    </row>
    <row r="145">
      <c r="A145" s="31" t="inlineStr">
        <is>
          <t>18. Trees &amp; BST</t>
        </is>
      </c>
      <c r="B145" s="31" t="inlineStr">
        <is>
          <t>Serialization</t>
        </is>
      </c>
      <c r="C145" s="31" t="n">
        <v>0</v>
      </c>
      <c r="D145" s="31" t="n">
        <v>5</v>
      </c>
      <c r="E145" s="31" t="n">
        <v>0</v>
      </c>
    </row>
    <row r="146">
      <c r="A146" s="31" t="inlineStr">
        <is>
          <t>20. Graphs</t>
        </is>
      </c>
      <c r="B146" s="31" t="inlineStr">
        <is>
          <t>Bridges &amp; APs</t>
        </is>
      </c>
      <c r="C146" s="31" t="n">
        <v>0</v>
      </c>
      <c r="D146" s="31" t="n">
        <v>3</v>
      </c>
      <c r="E146" s="31" t="n">
        <v>2</v>
      </c>
    </row>
    <row r="147">
      <c r="A147" s="31" t="inlineStr">
        <is>
          <t>20. Graphs</t>
        </is>
      </c>
      <c r="B147" s="31" t="inlineStr">
        <is>
          <t>SCC</t>
        </is>
      </c>
      <c r="C147" s="31" t="n">
        <v>0</v>
      </c>
      <c r="D147" s="31" t="n">
        <v>2</v>
      </c>
      <c r="E147" s="31" t="n">
        <v>3</v>
      </c>
    </row>
    <row r="148">
      <c r="A148" s="31" t="inlineStr">
        <is>
          <t>20. Graphs</t>
        </is>
      </c>
      <c r="B148" s="31" t="inlineStr">
        <is>
          <t>Euler path</t>
        </is>
      </c>
      <c r="C148" s="31" t="n">
        <v>0</v>
      </c>
      <c r="D148" s="31" t="n">
        <v>2</v>
      </c>
      <c r="E148" s="31" t="n">
        <v>3</v>
      </c>
    </row>
    <row r="149">
      <c r="A149" s="31" t="inlineStr">
        <is>
          <t>20. Graphs</t>
        </is>
      </c>
      <c r="B149" s="31" t="inlineStr">
        <is>
          <t>0-1 BFS</t>
        </is>
      </c>
      <c r="C149" s="31" t="n">
        <v>0</v>
      </c>
      <c r="D149" s="31" t="n">
        <v>2</v>
      </c>
      <c r="E149" s="31" t="n">
        <v>3</v>
      </c>
    </row>
    <row r="150">
      <c r="A150" s="31" t="inlineStr">
        <is>
          <t>20. Graphs</t>
        </is>
      </c>
      <c r="B150" s="31" t="inlineStr">
        <is>
          <t>Binary lifting</t>
        </is>
      </c>
      <c r="C150" s="31" t="n">
        <v>0</v>
      </c>
      <c r="D150" s="31" t="n">
        <v>1</v>
      </c>
      <c r="E150" s="31" t="n">
        <v>4</v>
      </c>
    </row>
    <row r="151">
      <c r="A151" s="31" t="inlineStr">
        <is>
          <t>21. Dynamic Programming</t>
        </is>
      </c>
      <c r="B151" s="31" t="inlineStr">
        <is>
          <t>1D DP</t>
        </is>
      </c>
      <c r="C151" s="31" t="n">
        <v>6</v>
      </c>
      <c r="D151" s="31" t="n">
        <v>3</v>
      </c>
      <c r="E151" s="31" t="n">
        <v>0</v>
      </c>
    </row>
    <row r="152">
      <c r="A152" s="31" t="inlineStr">
        <is>
          <t>21. Dynamic Programming</t>
        </is>
      </c>
      <c r="B152" s="31" t="inlineStr">
        <is>
          <t>Grid DP</t>
        </is>
      </c>
      <c r="C152" s="31" t="n">
        <v>2</v>
      </c>
      <c r="D152" s="31" t="n">
        <v>3</v>
      </c>
      <c r="E152" s="31" t="n">
        <v>3</v>
      </c>
    </row>
    <row r="153">
      <c r="A153" s="31" t="inlineStr">
        <is>
          <t>21. Dynamic Programming</t>
        </is>
      </c>
      <c r="B153" s="31" t="inlineStr">
        <is>
          <t>0/1 Knapsack</t>
        </is>
      </c>
      <c r="C153" s="31" t="n">
        <v>3</v>
      </c>
      <c r="D153" s="31" t="n">
        <v>3</v>
      </c>
      <c r="E153" s="31" t="n">
        <v>1</v>
      </c>
    </row>
    <row r="154">
      <c r="A154" s="31" t="inlineStr">
        <is>
          <t>21. Dynamic Programming</t>
        </is>
      </c>
      <c r="B154" s="31" t="inlineStr">
        <is>
          <t>Unbounded Knapsack</t>
        </is>
      </c>
      <c r="C154" s="31" t="n">
        <v>4</v>
      </c>
      <c r="D154" s="31" t="n">
        <v>2</v>
      </c>
      <c r="E154" s="31" t="n">
        <v>0</v>
      </c>
    </row>
    <row r="155">
      <c r="A155" s="31" t="inlineStr">
        <is>
          <t>21. Dynamic Programming</t>
        </is>
      </c>
      <c r="B155" s="31" t="inlineStr">
        <is>
          <t>LIS</t>
        </is>
      </c>
      <c r="C155" s="31" t="n">
        <v>2</v>
      </c>
      <c r="D155" s="31" t="n">
        <v>4</v>
      </c>
      <c r="E155" s="31" t="n">
        <v>1</v>
      </c>
    </row>
    <row r="156">
      <c r="A156" s="31" t="inlineStr">
        <is>
          <t>21. Dynamic Programming</t>
        </is>
      </c>
      <c r="B156" s="31" t="inlineStr">
        <is>
          <t>Stocks DP</t>
        </is>
      </c>
      <c r="C156" s="31" t="n">
        <v>3</v>
      </c>
      <c r="D156" s="31" t="n">
        <v>0</v>
      </c>
      <c r="E156" s="31" t="n">
        <v>2</v>
      </c>
    </row>
    <row r="157">
      <c r="A157" s="31" t="inlineStr">
        <is>
          <t>21. Dynamic Programming</t>
        </is>
      </c>
      <c r="B157" s="31" t="inlineStr">
        <is>
          <t>Squares in matrix</t>
        </is>
      </c>
      <c r="C157" s="31" t="n">
        <v>2</v>
      </c>
      <c r="D157" s="31" t="n">
        <v>3</v>
      </c>
      <c r="E157" s="31" t="n">
        <v>0</v>
      </c>
    </row>
    <row r="158">
      <c r="A158" s="31" t="inlineStr">
        <is>
          <t>21. Dynamic Programming</t>
        </is>
      </c>
      <c r="B158" s="31" t="inlineStr">
        <is>
          <t>String DP</t>
        </is>
      </c>
      <c r="C158" s="31" t="n">
        <v>3</v>
      </c>
      <c r="D158" s="31" t="n">
        <v>3</v>
      </c>
      <c r="E158" s="31" t="n">
        <v>6</v>
      </c>
    </row>
    <row r="159">
      <c r="A159" s="31" t="inlineStr">
        <is>
          <t>21. Dynamic Programming</t>
        </is>
      </c>
      <c r="B159" s="31" t="inlineStr">
        <is>
          <t>Partition DP</t>
        </is>
      </c>
      <c r="C159" s="31" t="n">
        <v>1</v>
      </c>
      <c r="D159" s="31" t="n">
        <v>1</v>
      </c>
      <c r="E159" s="31" t="n">
        <v>4</v>
      </c>
    </row>
    <row r="160">
      <c r="A160" s="31" t="inlineStr">
        <is>
          <t>21. Dynamic Programming</t>
        </is>
      </c>
      <c r="B160" s="31" t="inlineStr">
        <is>
          <t>DP on trees</t>
        </is>
      </c>
      <c r="C160" s="31" t="n">
        <v>1</v>
      </c>
      <c r="D160" s="31" t="n">
        <v>1</v>
      </c>
      <c r="E160" s="31" t="n">
        <v>3</v>
      </c>
    </row>
    <row r="161">
      <c r="A161" s="31" t="inlineStr">
        <is>
          <t>21. Dynamic Programming</t>
        </is>
      </c>
      <c r="B161" s="31" t="inlineStr">
        <is>
          <t>Game DP</t>
        </is>
      </c>
      <c r="C161" s="31" t="n">
        <v>3</v>
      </c>
      <c r="D161" s="31" t="n">
        <v>2</v>
      </c>
      <c r="E161" s="31" t="n">
        <v>0</v>
      </c>
    </row>
    <row r="162">
      <c r="A162" s="31" t="inlineStr">
        <is>
          <t>21. Dynamic Programming</t>
        </is>
      </c>
      <c r="B162" s="31" t="inlineStr">
        <is>
          <t>Counting DP</t>
        </is>
      </c>
      <c r="C162" s="31" t="n">
        <v>2</v>
      </c>
      <c r="D162" s="31" t="n">
        <v>1</v>
      </c>
      <c r="E162" s="31" t="n">
        <v>2</v>
      </c>
    </row>
    <row r="163">
      <c r="A163" s="31" t="inlineStr">
        <is>
          <t>22. Design</t>
        </is>
      </c>
      <c r="B163" s="31" t="inlineStr">
        <is>
          <t>Hash structures</t>
        </is>
      </c>
      <c r="C163" s="31" t="n">
        <v>2</v>
      </c>
      <c r="D163" s="31" t="n">
        <v>2</v>
      </c>
      <c r="E163" s="31" t="n">
        <v>1</v>
      </c>
    </row>
    <row r="164">
      <c r="A164" s="31" t="inlineStr">
        <is>
          <t>22. Design</t>
        </is>
      </c>
      <c r="B164" s="31" t="inlineStr">
        <is>
          <t>Cache</t>
        </is>
      </c>
      <c r="C164" s="31" t="n">
        <v>1</v>
      </c>
      <c r="D164" s="31" t="n">
        <v>4</v>
      </c>
      <c r="E164" s="31" t="n">
        <v>0</v>
      </c>
    </row>
    <row r="165">
      <c r="A165" s="31" t="inlineStr">
        <is>
          <t>22. Design</t>
        </is>
      </c>
      <c r="B165" s="31" t="inlineStr">
        <is>
          <t>Systems</t>
        </is>
      </c>
      <c r="C165" s="31" t="n">
        <v>3</v>
      </c>
      <c r="D165" s="31" t="n">
        <v>2</v>
      </c>
      <c r="E165" s="31" t="n">
        <v>0</v>
      </c>
    </row>
    <row r="166">
      <c r="A166" s="31" t="inlineStr">
        <is>
          <t>22. Design</t>
        </is>
      </c>
      <c r="B166" s="31" t="inlineStr">
        <is>
          <t>Versioned data</t>
        </is>
      </c>
      <c r="C166" s="31" t="n">
        <v>2</v>
      </c>
      <c r="D166" s="31" t="n">
        <v>1</v>
      </c>
      <c r="E166" s="31" t="n">
        <v>2</v>
      </c>
    </row>
    <row r="167">
      <c r="A167" s="31" t="inlineStr">
        <is>
          <t>22. Design</t>
        </is>
      </c>
      <c r="B167" s="31" t="inlineStr">
        <is>
          <t>Randomized / sampling</t>
        </is>
      </c>
      <c r="C167" s="31" t="n">
        <v>0</v>
      </c>
      <c r="D167" s="31" t="n">
        <v>4</v>
      </c>
      <c r="E167" s="31" t="n">
        <v>1</v>
      </c>
    </row>
    <row r="168">
      <c r="A168" s="31" t="inlineStr">
        <is>
          <t>23. Advanced DS</t>
        </is>
      </c>
      <c r="B168" s="31" t="inlineStr">
        <is>
          <t>Fenwick tree</t>
        </is>
      </c>
      <c r="C168" s="31" t="n">
        <v>0</v>
      </c>
      <c r="D168" s="31" t="n">
        <v>3</v>
      </c>
      <c r="E168" s="31" t="n">
        <v>5</v>
      </c>
    </row>
    <row r="169" s="32">
      <c r="A169" s="31" t="inlineStr">
        <is>
          <t>23. Advanced DS</t>
        </is>
      </c>
      <c r="B169" s="31" t="inlineStr">
        <is>
          <t>Segment tree</t>
        </is>
      </c>
      <c r="C169" s="31" t="n">
        <v>0</v>
      </c>
      <c r="D169" s="31" t="n">
        <v>3</v>
      </c>
      <c r="E169" s="31" t="n">
        <v>2</v>
      </c>
    </row>
    <row r="170" s="32">
      <c r="A170" s="31" t="inlineStr">
        <is>
          <t>23. Advanced DS</t>
        </is>
      </c>
      <c r="B170" s="31" t="inlineStr">
        <is>
          <t>Sparse table</t>
        </is>
      </c>
      <c r="C170" s="31" t="n">
        <v>0</v>
      </c>
      <c r="D170" s="31" t="n">
        <v>3</v>
      </c>
      <c r="E170" s="31" t="n">
        <v>2</v>
      </c>
    </row>
    <row r="171" s="32">
      <c r="A171" s="31" t="inlineStr">
        <is>
          <t>23. Advanced DS</t>
        </is>
      </c>
      <c r="B171" s="31" t="inlineStr">
        <is>
          <t>Sweep line</t>
        </is>
      </c>
      <c r="C171" s="31" t="n">
        <v>0</v>
      </c>
      <c r="D171" s="31" t="n">
        <v>1</v>
      </c>
      <c r="E171" s="31" t="n">
        <v>4</v>
      </c>
    </row>
    <row r="172" s="32">
      <c r="A172" s="31" t="inlineStr">
        <is>
          <t>23. Advanced DS</t>
        </is>
      </c>
      <c r="B172" s="31" t="inlineStr">
        <is>
          <t>Ordered set</t>
        </is>
      </c>
      <c r="C172" s="31" t="n">
        <v>0</v>
      </c>
      <c r="D172" s="31" t="n">
        <v>1</v>
      </c>
      <c r="E172" s="31" t="n">
        <v>4</v>
      </c>
    </row>
    <row r="173" s="32">
      <c r="A173" s="31" t="inlineStr">
        <is>
          <t>21. Dynamic Programming</t>
        </is>
      </c>
      <c r="B173" s="31" t="inlineStr">
        <is>
          <t>Bitmask DP</t>
        </is>
      </c>
      <c r="C173" s="31" t="n">
        <v>0</v>
      </c>
      <c r="D173" s="31" t="n">
        <v>0</v>
      </c>
      <c r="E173" s="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2026-09-13T17:24:31Z</dcterms:created>
  <dcterms:modified xmlns:dcterms="http://purl.org/dc/terms/" xmlns:xsi="http://www.w3.org/2001/XMLSchema-instance" xsi:type="dcterms:W3CDTF">2026-09-24T18:02:17Z</dcterms:modified>
  <cp:revision>0</cp:revision>
</cp:coreProperties>
</file>